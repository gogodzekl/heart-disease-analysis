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d10ed0f8cacf7006/Рабочий стол/проектик/"/>
    </mc:Choice>
  </mc:AlternateContent>
  <xr:revisionPtr revIDLastSave="95" documentId="8_{DFD17484-7DDA-4FF4-BE0E-3E5C5031F3BF}" xr6:coauthVersionLast="47" xr6:coauthVersionMax="47" xr10:uidLastSave="{C7A1E5C5-523A-454F-947D-07889920AA59}"/>
  <bookViews>
    <workbookView xWindow="-108" yWindow="-108" windowWidth="23256" windowHeight="12456" firstSheet="3" activeTab="7" xr2:uid="{8EAF3B4C-C7A9-474F-969E-BB4C2233BB32}"/>
  </bookViews>
  <sheets>
    <sheet name="raw_data" sheetId="2" r:id="rId1"/>
    <sheet name="HeartData" sheetId="9" r:id="rId2"/>
    <sheet name="data quality" sheetId="1" r:id="rId3"/>
    <sheet name="analysis" sheetId="3" r:id="rId4"/>
    <sheet name="PivotTables" sheetId="4" r:id="rId5"/>
    <sheet name="Dashboard" sheetId="5" r:id="rId6"/>
    <sheet name="Patient Lookup" sheetId="7" r:id="rId7"/>
    <sheet name="Summary Stats" sheetId="8" r:id="rId8"/>
  </sheets>
  <definedNames>
    <definedName name="ExternalData_1" localSheetId="0" hidden="1">raw_data!$A$1:$P$921</definedName>
    <definedName name="ExternalData_2" localSheetId="1" hidden="1">HeartData!$A$1:$O$749</definedName>
    <definedName name="Slicer_Age_Group">#N/A</definedName>
    <definedName name="Slicer_Sex">#N/A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 i="8" l="1"/>
  <c r="D9" i="8"/>
  <c r="C9" i="8"/>
  <c r="B9" i="8"/>
  <c r="E8" i="8"/>
  <c r="D8" i="8"/>
  <c r="C8" i="8"/>
  <c r="B8" i="8"/>
  <c r="E7" i="8"/>
  <c r="E6" i="8"/>
  <c r="D6" i="8"/>
  <c r="C6" i="8"/>
  <c r="B6" i="8"/>
  <c r="D7" i="8"/>
  <c r="C7" i="8"/>
  <c r="B7" i="8"/>
  <c r="B5" i="8"/>
  <c r="E5" i="8"/>
  <c r="D5" i="8"/>
  <c r="C5" i="8"/>
  <c r="C18" i="7"/>
  <c r="C17" i="7"/>
  <c r="C16" i="7"/>
  <c r="C15" i="7"/>
  <c r="C14" i="7"/>
  <c r="C13" i="7"/>
  <c r="C12" i="7"/>
  <c r="C11" i="7"/>
  <c r="C10" i="7"/>
  <c r="C9" i="7"/>
  <c r="C8" i="7"/>
  <c r="C7" i="7"/>
  <c r="C6" i="7"/>
  <c r="C5" i="7"/>
  <c r="C4" i="7"/>
  <c r="C212" i="3"/>
  <c r="H6" i="5"/>
  <c r="E6" i="5"/>
  <c r="B6" i="5"/>
  <c r="K6" i="5" s="1"/>
  <c r="Q5" i="4"/>
  <c r="Q6" i="4"/>
  <c r="Q7" i="4"/>
  <c r="Q8" i="4"/>
  <c r="Q4" i="4"/>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2" i="3"/>
  <c r="S4" i="3"/>
  <c r="S3" i="3"/>
  <c r="S2" i="3"/>
  <c r="L7" i="4"/>
  <c r="L8" i="4"/>
  <c r="L9" i="4"/>
  <c r="L10" i="4"/>
  <c r="L6" i="4"/>
  <c r="K7" i="4"/>
  <c r="K8" i="4"/>
  <c r="K9" i="4"/>
  <c r="K10" i="4"/>
  <c r="K6" i="4"/>
  <c r="D11" i="4"/>
  <c r="D5" i="4"/>
  <c r="B702" i="4" s="1"/>
  <c r="D6" i="4"/>
  <c r="B703" i="4" s="1"/>
  <c r="D7" i="4"/>
  <c r="B704" i="4" s="1"/>
  <c r="D8" i="4"/>
  <c r="B705" i="4" s="1"/>
  <c r="D9" i="4"/>
  <c r="B706" i="4" s="1"/>
  <c r="D10" i="4"/>
  <c r="B707" i="4" s="1"/>
  <c r="D4" i="4"/>
  <c r="B701" i="4" s="1"/>
  <c r="N12" i="3"/>
  <c r="N29" i="3"/>
  <c r="N300" i="3"/>
  <c r="N410" i="3"/>
  <c r="N461"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2"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M183" i="3" s="1"/>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2" i="3"/>
  <c r="G3" i="3"/>
  <c r="G4" i="3"/>
  <c r="G5" i="3"/>
  <c r="G6" i="3"/>
  <c r="G7" i="3"/>
  <c r="G8" i="3"/>
  <c r="G9" i="3"/>
  <c r="G10" i="3"/>
  <c r="G11" i="3"/>
  <c r="M11" i="3" s="1"/>
  <c r="G12" i="3"/>
  <c r="G13" i="3"/>
  <c r="G14" i="3"/>
  <c r="G15" i="3"/>
  <c r="G16" i="3"/>
  <c r="G17" i="3"/>
  <c r="G18" i="3"/>
  <c r="G19" i="3"/>
  <c r="G20" i="3"/>
  <c r="G21" i="3"/>
  <c r="G22" i="3"/>
  <c r="G23" i="3"/>
  <c r="M23" i="3" s="1"/>
  <c r="G24" i="3"/>
  <c r="G25" i="3"/>
  <c r="G26" i="3"/>
  <c r="G27" i="3"/>
  <c r="G28" i="3"/>
  <c r="G29" i="3"/>
  <c r="G30" i="3"/>
  <c r="G31" i="3"/>
  <c r="G32" i="3"/>
  <c r="G33" i="3"/>
  <c r="G34" i="3"/>
  <c r="G35" i="3"/>
  <c r="M35" i="3" s="1"/>
  <c r="G36" i="3"/>
  <c r="G37" i="3"/>
  <c r="G38" i="3"/>
  <c r="G39" i="3"/>
  <c r="G40" i="3"/>
  <c r="G41" i="3"/>
  <c r="G42" i="3"/>
  <c r="G43" i="3"/>
  <c r="G44" i="3"/>
  <c r="G45" i="3"/>
  <c r="G46" i="3"/>
  <c r="G47" i="3"/>
  <c r="M47" i="3" s="1"/>
  <c r="G48" i="3"/>
  <c r="G49" i="3"/>
  <c r="G50" i="3"/>
  <c r="G51" i="3"/>
  <c r="G52" i="3"/>
  <c r="G53" i="3"/>
  <c r="G54" i="3"/>
  <c r="G55" i="3"/>
  <c r="G56" i="3"/>
  <c r="G57" i="3"/>
  <c r="G58" i="3"/>
  <c r="G59" i="3"/>
  <c r="M59" i="3" s="1"/>
  <c r="G60" i="3"/>
  <c r="G61" i="3"/>
  <c r="G62" i="3"/>
  <c r="G63" i="3"/>
  <c r="G64" i="3"/>
  <c r="G65" i="3"/>
  <c r="G66" i="3"/>
  <c r="G67" i="3"/>
  <c r="G68" i="3"/>
  <c r="G69" i="3"/>
  <c r="G70" i="3"/>
  <c r="G71" i="3"/>
  <c r="M71" i="3" s="1"/>
  <c r="G72" i="3"/>
  <c r="G73" i="3"/>
  <c r="G74" i="3"/>
  <c r="G75" i="3"/>
  <c r="G76" i="3"/>
  <c r="G77" i="3"/>
  <c r="G78" i="3"/>
  <c r="G79" i="3"/>
  <c r="G80" i="3"/>
  <c r="G81" i="3"/>
  <c r="G82" i="3"/>
  <c r="G83" i="3"/>
  <c r="M83" i="3" s="1"/>
  <c r="G84" i="3"/>
  <c r="G85" i="3"/>
  <c r="G86" i="3"/>
  <c r="G87" i="3"/>
  <c r="G88" i="3"/>
  <c r="G89" i="3"/>
  <c r="G90" i="3"/>
  <c r="G91" i="3"/>
  <c r="G92" i="3"/>
  <c r="G93" i="3"/>
  <c r="G94" i="3"/>
  <c r="G95" i="3"/>
  <c r="M95" i="3" s="1"/>
  <c r="G96" i="3"/>
  <c r="G97" i="3"/>
  <c r="G98" i="3"/>
  <c r="G99" i="3"/>
  <c r="G100" i="3"/>
  <c r="G101" i="3"/>
  <c r="G102" i="3"/>
  <c r="G103" i="3"/>
  <c r="G104" i="3"/>
  <c r="G105" i="3"/>
  <c r="G106" i="3"/>
  <c r="G107" i="3"/>
  <c r="M107" i="3" s="1"/>
  <c r="G108" i="3"/>
  <c r="G109" i="3"/>
  <c r="G110" i="3"/>
  <c r="G111" i="3"/>
  <c r="G112" i="3"/>
  <c r="G113" i="3"/>
  <c r="G114" i="3"/>
  <c r="G115" i="3"/>
  <c r="G116" i="3"/>
  <c r="G117" i="3"/>
  <c r="G118" i="3"/>
  <c r="G119" i="3"/>
  <c r="M119" i="3" s="1"/>
  <c r="G120" i="3"/>
  <c r="G121" i="3"/>
  <c r="G122" i="3"/>
  <c r="G123" i="3"/>
  <c r="G124" i="3"/>
  <c r="G125" i="3"/>
  <c r="G126" i="3"/>
  <c r="G127" i="3"/>
  <c r="G128" i="3"/>
  <c r="G129" i="3"/>
  <c r="G130" i="3"/>
  <c r="G131" i="3"/>
  <c r="M131" i="3" s="1"/>
  <c r="G132" i="3"/>
  <c r="G133" i="3"/>
  <c r="G134" i="3"/>
  <c r="G135" i="3"/>
  <c r="G136" i="3"/>
  <c r="G137" i="3"/>
  <c r="G138" i="3"/>
  <c r="G139" i="3"/>
  <c r="G140" i="3"/>
  <c r="G141" i="3"/>
  <c r="G142" i="3"/>
  <c r="G143" i="3"/>
  <c r="M143" i="3" s="1"/>
  <c r="G144" i="3"/>
  <c r="G145" i="3"/>
  <c r="G146" i="3"/>
  <c r="G147" i="3"/>
  <c r="G148" i="3"/>
  <c r="G149" i="3"/>
  <c r="G150" i="3"/>
  <c r="G151" i="3"/>
  <c r="G152" i="3"/>
  <c r="G153" i="3"/>
  <c r="G154" i="3"/>
  <c r="G155" i="3"/>
  <c r="M155" i="3" s="1"/>
  <c r="G156" i="3"/>
  <c r="G157" i="3"/>
  <c r="G158" i="3"/>
  <c r="G159" i="3"/>
  <c r="G160" i="3"/>
  <c r="G161" i="3"/>
  <c r="G162" i="3"/>
  <c r="G163" i="3"/>
  <c r="G164" i="3"/>
  <c r="G165" i="3"/>
  <c r="G166" i="3"/>
  <c r="G167" i="3"/>
  <c r="M167" i="3" s="1"/>
  <c r="G168" i="3"/>
  <c r="G169" i="3"/>
  <c r="G170" i="3"/>
  <c r="G171" i="3"/>
  <c r="G172" i="3"/>
  <c r="G173" i="3"/>
  <c r="G174" i="3"/>
  <c r="G175" i="3"/>
  <c r="G176" i="3"/>
  <c r="G177" i="3"/>
  <c r="G178" i="3"/>
  <c r="G179" i="3"/>
  <c r="M179" i="3" s="1"/>
  <c r="G180" i="3"/>
  <c r="G181" i="3"/>
  <c r="G182" i="3"/>
  <c r="G183" i="3"/>
  <c r="G184" i="3"/>
  <c r="G185" i="3"/>
  <c r="G186" i="3"/>
  <c r="G187" i="3"/>
  <c r="G188" i="3"/>
  <c r="G189" i="3"/>
  <c r="G190" i="3"/>
  <c r="G191" i="3"/>
  <c r="M191" i="3" s="1"/>
  <c r="G192" i="3"/>
  <c r="G193" i="3"/>
  <c r="G194" i="3"/>
  <c r="G195" i="3"/>
  <c r="G196" i="3"/>
  <c r="G197" i="3"/>
  <c r="G198" i="3"/>
  <c r="G199" i="3"/>
  <c r="G200" i="3"/>
  <c r="G201" i="3"/>
  <c r="G202" i="3"/>
  <c r="G203" i="3"/>
  <c r="M203" i="3" s="1"/>
  <c r="G204" i="3"/>
  <c r="G205" i="3"/>
  <c r="G206" i="3"/>
  <c r="G207" i="3"/>
  <c r="G208" i="3"/>
  <c r="G209" i="3"/>
  <c r="G210" i="3"/>
  <c r="G211" i="3"/>
  <c r="G212" i="3"/>
  <c r="G213" i="3"/>
  <c r="G214" i="3"/>
  <c r="G215" i="3"/>
  <c r="M215" i="3" s="1"/>
  <c r="G216" i="3"/>
  <c r="G217" i="3"/>
  <c r="G218" i="3"/>
  <c r="G219" i="3"/>
  <c r="G220" i="3"/>
  <c r="G221" i="3"/>
  <c r="G222" i="3"/>
  <c r="G223" i="3"/>
  <c r="G224" i="3"/>
  <c r="G225" i="3"/>
  <c r="G226" i="3"/>
  <c r="G227" i="3"/>
  <c r="M227" i="3" s="1"/>
  <c r="G228" i="3"/>
  <c r="G229" i="3"/>
  <c r="G230" i="3"/>
  <c r="G231" i="3"/>
  <c r="G232" i="3"/>
  <c r="G233" i="3"/>
  <c r="G234" i="3"/>
  <c r="G235" i="3"/>
  <c r="G236" i="3"/>
  <c r="G237" i="3"/>
  <c r="G238" i="3"/>
  <c r="G239" i="3"/>
  <c r="M239" i="3" s="1"/>
  <c r="G240" i="3"/>
  <c r="G241" i="3"/>
  <c r="G242" i="3"/>
  <c r="G243" i="3"/>
  <c r="G244" i="3"/>
  <c r="G245" i="3"/>
  <c r="G246" i="3"/>
  <c r="G247" i="3"/>
  <c r="G248" i="3"/>
  <c r="G249" i="3"/>
  <c r="G250" i="3"/>
  <c r="G251" i="3"/>
  <c r="M251" i="3" s="1"/>
  <c r="G252" i="3"/>
  <c r="G253" i="3"/>
  <c r="G254" i="3"/>
  <c r="G255" i="3"/>
  <c r="G256" i="3"/>
  <c r="G257" i="3"/>
  <c r="G258" i="3"/>
  <c r="G259" i="3"/>
  <c r="G260" i="3"/>
  <c r="G261" i="3"/>
  <c r="G262" i="3"/>
  <c r="G263" i="3"/>
  <c r="M263" i="3" s="1"/>
  <c r="G264" i="3"/>
  <c r="G265" i="3"/>
  <c r="G266" i="3"/>
  <c r="G267" i="3"/>
  <c r="G268" i="3"/>
  <c r="G269" i="3"/>
  <c r="G270" i="3"/>
  <c r="G271" i="3"/>
  <c r="G272" i="3"/>
  <c r="G273" i="3"/>
  <c r="G274" i="3"/>
  <c r="G275" i="3"/>
  <c r="M275" i="3" s="1"/>
  <c r="G276" i="3"/>
  <c r="G277" i="3"/>
  <c r="G278" i="3"/>
  <c r="G279" i="3"/>
  <c r="G280" i="3"/>
  <c r="G281" i="3"/>
  <c r="G282" i="3"/>
  <c r="G283" i="3"/>
  <c r="G284" i="3"/>
  <c r="G285" i="3"/>
  <c r="G286" i="3"/>
  <c r="G287" i="3"/>
  <c r="M287" i="3" s="1"/>
  <c r="G288" i="3"/>
  <c r="G289" i="3"/>
  <c r="G290" i="3"/>
  <c r="G291" i="3"/>
  <c r="G292" i="3"/>
  <c r="G293" i="3"/>
  <c r="G294" i="3"/>
  <c r="G295" i="3"/>
  <c r="G296" i="3"/>
  <c r="G297" i="3"/>
  <c r="G298" i="3"/>
  <c r="G299" i="3"/>
  <c r="M299" i="3" s="1"/>
  <c r="G300" i="3"/>
  <c r="G301" i="3"/>
  <c r="G302" i="3"/>
  <c r="G303" i="3"/>
  <c r="G304" i="3"/>
  <c r="G305" i="3"/>
  <c r="G306" i="3"/>
  <c r="G307" i="3"/>
  <c r="G308" i="3"/>
  <c r="G309" i="3"/>
  <c r="G310" i="3"/>
  <c r="G311" i="3"/>
  <c r="M311" i="3" s="1"/>
  <c r="G312" i="3"/>
  <c r="G313" i="3"/>
  <c r="G314" i="3"/>
  <c r="G315" i="3"/>
  <c r="G316" i="3"/>
  <c r="G317" i="3"/>
  <c r="G318" i="3"/>
  <c r="G319" i="3"/>
  <c r="G320" i="3"/>
  <c r="G321" i="3"/>
  <c r="G322" i="3"/>
  <c r="G323" i="3"/>
  <c r="M323" i="3" s="1"/>
  <c r="G324" i="3"/>
  <c r="G325" i="3"/>
  <c r="G326" i="3"/>
  <c r="G327" i="3"/>
  <c r="G328" i="3"/>
  <c r="G329" i="3"/>
  <c r="G330" i="3"/>
  <c r="G331" i="3"/>
  <c r="G332" i="3"/>
  <c r="G333" i="3"/>
  <c r="G334" i="3"/>
  <c r="G335" i="3"/>
  <c r="M335" i="3" s="1"/>
  <c r="G336" i="3"/>
  <c r="G337" i="3"/>
  <c r="G338" i="3"/>
  <c r="G339" i="3"/>
  <c r="G340" i="3"/>
  <c r="G341" i="3"/>
  <c r="G342" i="3"/>
  <c r="G343" i="3"/>
  <c r="G344" i="3"/>
  <c r="G345" i="3"/>
  <c r="G346" i="3"/>
  <c r="G347" i="3"/>
  <c r="M347" i="3" s="1"/>
  <c r="G348" i="3"/>
  <c r="G349" i="3"/>
  <c r="G350" i="3"/>
  <c r="G351" i="3"/>
  <c r="G352" i="3"/>
  <c r="G353" i="3"/>
  <c r="G354" i="3"/>
  <c r="G355" i="3"/>
  <c r="G356" i="3"/>
  <c r="G357" i="3"/>
  <c r="G358" i="3"/>
  <c r="G359" i="3"/>
  <c r="M359" i="3" s="1"/>
  <c r="G360" i="3"/>
  <c r="G361" i="3"/>
  <c r="G362" i="3"/>
  <c r="G363" i="3"/>
  <c r="G364" i="3"/>
  <c r="G365" i="3"/>
  <c r="G366" i="3"/>
  <c r="G367" i="3"/>
  <c r="G368" i="3"/>
  <c r="G369" i="3"/>
  <c r="G370" i="3"/>
  <c r="G371" i="3"/>
  <c r="M371" i="3" s="1"/>
  <c r="G372" i="3"/>
  <c r="G373" i="3"/>
  <c r="G374" i="3"/>
  <c r="G375" i="3"/>
  <c r="G376" i="3"/>
  <c r="G377" i="3"/>
  <c r="G378" i="3"/>
  <c r="G379" i="3"/>
  <c r="G380" i="3"/>
  <c r="G381" i="3"/>
  <c r="G382" i="3"/>
  <c r="G383" i="3"/>
  <c r="M383" i="3" s="1"/>
  <c r="G384" i="3"/>
  <c r="G385" i="3"/>
  <c r="G386" i="3"/>
  <c r="G387" i="3"/>
  <c r="G388" i="3"/>
  <c r="G389" i="3"/>
  <c r="G390" i="3"/>
  <c r="G391" i="3"/>
  <c r="G392" i="3"/>
  <c r="G393" i="3"/>
  <c r="G394" i="3"/>
  <c r="G395" i="3"/>
  <c r="M395" i="3" s="1"/>
  <c r="G396" i="3"/>
  <c r="G397" i="3"/>
  <c r="G398" i="3"/>
  <c r="G399" i="3"/>
  <c r="G400" i="3"/>
  <c r="G401" i="3"/>
  <c r="G402" i="3"/>
  <c r="G403" i="3"/>
  <c r="G404" i="3"/>
  <c r="G405" i="3"/>
  <c r="G406" i="3"/>
  <c r="G407" i="3"/>
  <c r="M407" i="3" s="1"/>
  <c r="G408" i="3"/>
  <c r="G409" i="3"/>
  <c r="G410" i="3"/>
  <c r="G411" i="3"/>
  <c r="G412" i="3"/>
  <c r="G413" i="3"/>
  <c r="G414" i="3"/>
  <c r="G415" i="3"/>
  <c r="G416" i="3"/>
  <c r="G417" i="3"/>
  <c r="G418" i="3"/>
  <c r="G419" i="3"/>
  <c r="M419" i="3" s="1"/>
  <c r="G420" i="3"/>
  <c r="G421" i="3"/>
  <c r="G422" i="3"/>
  <c r="G423" i="3"/>
  <c r="G424" i="3"/>
  <c r="G425" i="3"/>
  <c r="G426" i="3"/>
  <c r="G427" i="3"/>
  <c r="G428" i="3"/>
  <c r="G429" i="3"/>
  <c r="G430" i="3"/>
  <c r="G431" i="3"/>
  <c r="M431" i="3" s="1"/>
  <c r="G432" i="3"/>
  <c r="G433" i="3"/>
  <c r="G434" i="3"/>
  <c r="G435" i="3"/>
  <c r="G436" i="3"/>
  <c r="G437" i="3"/>
  <c r="G438" i="3"/>
  <c r="G439" i="3"/>
  <c r="G440" i="3"/>
  <c r="G441" i="3"/>
  <c r="G442" i="3"/>
  <c r="G443" i="3"/>
  <c r="M443" i="3" s="1"/>
  <c r="G444" i="3"/>
  <c r="G445" i="3"/>
  <c r="G446" i="3"/>
  <c r="G447" i="3"/>
  <c r="G448" i="3"/>
  <c r="G449" i="3"/>
  <c r="G450" i="3"/>
  <c r="G451" i="3"/>
  <c r="G452" i="3"/>
  <c r="G453" i="3"/>
  <c r="G454" i="3"/>
  <c r="G455" i="3"/>
  <c r="M455" i="3" s="1"/>
  <c r="G456" i="3"/>
  <c r="G457" i="3"/>
  <c r="G458" i="3"/>
  <c r="G459" i="3"/>
  <c r="G460" i="3"/>
  <c r="G461" i="3"/>
  <c r="G462" i="3"/>
  <c r="G463" i="3"/>
  <c r="G464" i="3"/>
  <c r="G465" i="3"/>
  <c r="G466" i="3"/>
  <c r="G467" i="3"/>
  <c r="M467" i="3" s="1"/>
  <c r="G468" i="3"/>
  <c r="G469" i="3"/>
  <c r="G470" i="3"/>
  <c r="G471" i="3"/>
  <c r="G472" i="3"/>
  <c r="G473" i="3"/>
  <c r="G474" i="3"/>
  <c r="G475" i="3"/>
  <c r="G476" i="3"/>
  <c r="G477" i="3"/>
  <c r="G478" i="3"/>
  <c r="G479" i="3"/>
  <c r="M479" i="3" s="1"/>
  <c r="G480" i="3"/>
  <c r="G481" i="3"/>
  <c r="G482" i="3"/>
  <c r="G483" i="3"/>
  <c r="G484" i="3"/>
  <c r="G485" i="3"/>
  <c r="G486" i="3"/>
  <c r="G487" i="3"/>
  <c r="G488" i="3"/>
  <c r="G489" i="3"/>
  <c r="G490" i="3"/>
  <c r="G491" i="3"/>
  <c r="M491" i="3" s="1"/>
  <c r="G492" i="3"/>
  <c r="G493" i="3"/>
  <c r="G494" i="3"/>
  <c r="G495" i="3"/>
  <c r="G496" i="3"/>
  <c r="G497" i="3"/>
  <c r="G498" i="3"/>
  <c r="G499" i="3"/>
  <c r="G500" i="3"/>
  <c r="G501" i="3"/>
  <c r="G502" i="3"/>
  <c r="G503" i="3"/>
  <c r="M503" i="3" s="1"/>
  <c r="G504" i="3"/>
  <c r="G505" i="3"/>
  <c r="G506" i="3"/>
  <c r="G507" i="3"/>
  <c r="G508" i="3"/>
  <c r="G509" i="3"/>
  <c r="G510" i="3"/>
  <c r="G511" i="3"/>
  <c r="G512" i="3"/>
  <c r="G513" i="3"/>
  <c r="G514" i="3"/>
  <c r="G515" i="3"/>
  <c r="M515" i="3" s="1"/>
  <c r="G516" i="3"/>
  <c r="G517" i="3"/>
  <c r="G518" i="3"/>
  <c r="G519" i="3"/>
  <c r="G520" i="3"/>
  <c r="G521" i="3"/>
  <c r="G522" i="3"/>
  <c r="G523" i="3"/>
  <c r="G524" i="3"/>
  <c r="G525" i="3"/>
  <c r="G526" i="3"/>
  <c r="G527" i="3"/>
  <c r="M527" i="3" s="1"/>
  <c r="G528" i="3"/>
  <c r="G529" i="3"/>
  <c r="G530" i="3"/>
  <c r="G531" i="3"/>
  <c r="G532" i="3"/>
  <c r="G533" i="3"/>
  <c r="G534" i="3"/>
  <c r="G535" i="3"/>
  <c r="G536" i="3"/>
  <c r="G537" i="3"/>
  <c r="G538" i="3"/>
  <c r="G539" i="3"/>
  <c r="M539" i="3" s="1"/>
  <c r="G540" i="3"/>
  <c r="G541" i="3"/>
  <c r="G542" i="3"/>
  <c r="G543" i="3"/>
  <c r="G544" i="3"/>
  <c r="G545" i="3"/>
  <c r="G546" i="3"/>
  <c r="G547" i="3"/>
  <c r="G548" i="3"/>
  <c r="G549" i="3"/>
  <c r="G550" i="3"/>
  <c r="G551" i="3"/>
  <c r="M551" i="3" s="1"/>
  <c r="G552" i="3"/>
  <c r="G553" i="3"/>
  <c r="G554" i="3"/>
  <c r="G555" i="3"/>
  <c r="G556" i="3"/>
  <c r="G557" i="3"/>
  <c r="G558" i="3"/>
  <c r="G559" i="3"/>
  <c r="G560" i="3"/>
  <c r="G561" i="3"/>
  <c r="G562" i="3"/>
  <c r="G563" i="3"/>
  <c r="M563" i="3" s="1"/>
  <c r="G564" i="3"/>
  <c r="G565" i="3"/>
  <c r="G566" i="3"/>
  <c r="G567" i="3"/>
  <c r="G568" i="3"/>
  <c r="G569" i="3"/>
  <c r="G570" i="3"/>
  <c r="G571" i="3"/>
  <c r="G572" i="3"/>
  <c r="G573" i="3"/>
  <c r="G574" i="3"/>
  <c r="G575" i="3"/>
  <c r="M575" i="3" s="1"/>
  <c r="G576" i="3"/>
  <c r="G577" i="3"/>
  <c r="G578" i="3"/>
  <c r="G579" i="3"/>
  <c r="G580" i="3"/>
  <c r="G581" i="3"/>
  <c r="G582" i="3"/>
  <c r="G583" i="3"/>
  <c r="G584" i="3"/>
  <c r="G585" i="3"/>
  <c r="G586" i="3"/>
  <c r="G587" i="3"/>
  <c r="M587" i="3" s="1"/>
  <c r="G588" i="3"/>
  <c r="G589" i="3"/>
  <c r="G590" i="3"/>
  <c r="G591" i="3"/>
  <c r="G592" i="3"/>
  <c r="G593" i="3"/>
  <c r="G594" i="3"/>
  <c r="G595" i="3"/>
  <c r="G596" i="3"/>
  <c r="G597" i="3"/>
  <c r="G598" i="3"/>
  <c r="G599" i="3"/>
  <c r="M599" i="3" s="1"/>
  <c r="G600" i="3"/>
  <c r="G601" i="3"/>
  <c r="G602" i="3"/>
  <c r="G603" i="3"/>
  <c r="G604" i="3"/>
  <c r="G605" i="3"/>
  <c r="G606" i="3"/>
  <c r="G607" i="3"/>
  <c r="G608" i="3"/>
  <c r="G609" i="3"/>
  <c r="G610" i="3"/>
  <c r="G611" i="3"/>
  <c r="M611" i="3" s="1"/>
  <c r="G612" i="3"/>
  <c r="G613" i="3"/>
  <c r="G614" i="3"/>
  <c r="G615" i="3"/>
  <c r="G616" i="3"/>
  <c r="G617" i="3"/>
  <c r="G618" i="3"/>
  <c r="G619" i="3"/>
  <c r="G620" i="3"/>
  <c r="G621" i="3"/>
  <c r="G622" i="3"/>
  <c r="G623" i="3"/>
  <c r="M623" i="3" s="1"/>
  <c r="G624" i="3"/>
  <c r="G625" i="3"/>
  <c r="G626" i="3"/>
  <c r="G627" i="3"/>
  <c r="G628" i="3"/>
  <c r="G629" i="3"/>
  <c r="G630" i="3"/>
  <c r="G631" i="3"/>
  <c r="G632" i="3"/>
  <c r="G633" i="3"/>
  <c r="G634" i="3"/>
  <c r="G635" i="3"/>
  <c r="M635" i="3" s="1"/>
  <c r="G636" i="3"/>
  <c r="G637" i="3"/>
  <c r="G638" i="3"/>
  <c r="G639" i="3"/>
  <c r="G640" i="3"/>
  <c r="G641" i="3"/>
  <c r="G642" i="3"/>
  <c r="G643" i="3"/>
  <c r="G644" i="3"/>
  <c r="G645" i="3"/>
  <c r="G646" i="3"/>
  <c r="G647" i="3"/>
  <c r="M647" i="3" s="1"/>
  <c r="G648" i="3"/>
  <c r="G649" i="3"/>
  <c r="G650" i="3"/>
  <c r="G651" i="3"/>
  <c r="G652" i="3"/>
  <c r="G653" i="3"/>
  <c r="G654" i="3"/>
  <c r="G655" i="3"/>
  <c r="G656" i="3"/>
  <c r="G657" i="3"/>
  <c r="G658" i="3"/>
  <c r="G659" i="3"/>
  <c r="M659" i="3" s="1"/>
  <c r="G660" i="3"/>
  <c r="G661" i="3"/>
  <c r="G662" i="3"/>
  <c r="G663" i="3"/>
  <c r="G664" i="3"/>
  <c r="G665" i="3"/>
  <c r="G666" i="3"/>
  <c r="G667" i="3"/>
  <c r="G668" i="3"/>
  <c r="G669" i="3"/>
  <c r="G670" i="3"/>
  <c r="G671" i="3"/>
  <c r="M671" i="3" s="1"/>
  <c r="G672" i="3"/>
  <c r="G673" i="3"/>
  <c r="G674" i="3"/>
  <c r="G675" i="3"/>
  <c r="G676" i="3"/>
  <c r="G677" i="3"/>
  <c r="G678" i="3"/>
  <c r="G679" i="3"/>
  <c r="G680" i="3"/>
  <c r="G681" i="3"/>
  <c r="G682" i="3"/>
  <c r="G683" i="3"/>
  <c r="M683" i="3" s="1"/>
  <c r="G684" i="3"/>
  <c r="G685" i="3"/>
  <c r="G686" i="3"/>
  <c r="G687" i="3"/>
  <c r="G688" i="3"/>
  <c r="G689" i="3"/>
  <c r="G690" i="3"/>
  <c r="G691" i="3"/>
  <c r="G692" i="3"/>
  <c r="G693" i="3"/>
  <c r="G694" i="3"/>
  <c r="G695" i="3"/>
  <c r="M695" i="3" s="1"/>
  <c r="G696" i="3"/>
  <c r="G697" i="3"/>
  <c r="G698" i="3"/>
  <c r="G699" i="3"/>
  <c r="G700" i="3"/>
  <c r="G701" i="3"/>
  <c r="G702" i="3"/>
  <c r="G703" i="3"/>
  <c r="G704" i="3"/>
  <c r="G705" i="3"/>
  <c r="G706" i="3"/>
  <c r="G707" i="3"/>
  <c r="M707" i="3" s="1"/>
  <c r="G708" i="3"/>
  <c r="G709" i="3"/>
  <c r="G710" i="3"/>
  <c r="G711" i="3"/>
  <c r="G712" i="3"/>
  <c r="G713" i="3"/>
  <c r="G714" i="3"/>
  <c r="G715" i="3"/>
  <c r="G716" i="3"/>
  <c r="G717" i="3"/>
  <c r="G718" i="3"/>
  <c r="G719" i="3"/>
  <c r="M719" i="3" s="1"/>
  <c r="G720" i="3"/>
  <c r="G721" i="3"/>
  <c r="G722" i="3"/>
  <c r="G723" i="3"/>
  <c r="G724" i="3"/>
  <c r="G725" i="3"/>
  <c r="G726" i="3"/>
  <c r="G727" i="3"/>
  <c r="G728" i="3"/>
  <c r="G729" i="3"/>
  <c r="G730" i="3"/>
  <c r="G731" i="3"/>
  <c r="M731" i="3" s="1"/>
  <c r="G732" i="3"/>
  <c r="G733" i="3"/>
  <c r="G734" i="3"/>
  <c r="G735" i="3"/>
  <c r="G736" i="3"/>
  <c r="G737" i="3"/>
  <c r="G738" i="3"/>
  <c r="G739" i="3"/>
  <c r="G740" i="3"/>
  <c r="G741" i="3"/>
  <c r="G742" i="3"/>
  <c r="G743" i="3"/>
  <c r="M743" i="3" s="1"/>
  <c r="G744" i="3"/>
  <c r="G745" i="3"/>
  <c r="G746" i="3"/>
  <c r="G747" i="3"/>
  <c r="G748" i="3"/>
  <c r="G749" i="3"/>
  <c r="G750" i="3"/>
  <c r="G751" i="3"/>
  <c r="G752" i="3"/>
  <c r="G753" i="3"/>
  <c r="G754" i="3"/>
  <c r="G755" i="3"/>
  <c r="M755" i="3" s="1"/>
  <c r="G756" i="3"/>
  <c r="G757" i="3"/>
  <c r="G758" i="3"/>
  <c r="G759" i="3"/>
  <c r="G760" i="3"/>
  <c r="G761" i="3"/>
  <c r="G762" i="3"/>
  <c r="G763" i="3"/>
  <c r="G764" i="3"/>
  <c r="G765" i="3"/>
  <c r="G766" i="3"/>
  <c r="G767" i="3"/>
  <c r="M767" i="3" s="1"/>
  <c r="G768" i="3"/>
  <c r="G769" i="3"/>
  <c r="G770" i="3"/>
  <c r="G771" i="3"/>
  <c r="G772" i="3"/>
  <c r="G773" i="3"/>
  <c r="G774" i="3"/>
  <c r="G775" i="3"/>
  <c r="G776" i="3"/>
  <c r="G777" i="3"/>
  <c r="G778" i="3"/>
  <c r="G779" i="3"/>
  <c r="M779" i="3" s="1"/>
  <c r="G780" i="3"/>
  <c r="G781" i="3"/>
  <c r="G782" i="3"/>
  <c r="G783" i="3"/>
  <c r="G784" i="3"/>
  <c r="G785" i="3"/>
  <c r="G786" i="3"/>
  <c r="G787" i="3"/>
  <c r="G788" i="3"/>
  <c r="G789" i="3"/>
  <c r="G790" i="3"/>
  <c r="G791" i="3"/>
  <c r="M791" i="3" s="1"/>
  <c r="G792" i="3"/>
  <c r="G793" i="3"/>
  <c r="G794" i="3"/>
  <c r="G795" i="3"/>
  <c r="G796" i="3"/>
  <c r="G797" i="3"/>
  <c r="G798" i="3"/>
  <c r="G799" i="3"/>
  <c r="G800" i="3"/>
  <c r="G801" i="3"/>
  <c r="G802" i="3"/>
  <c r="G803" i="3"/>
  <c r="M803" i="3" s="1"/>
  <c r="G804" i="3"/>
  <c r="G805" i="3"/>
  <c r="G806" i="3"/>
  <c r="G807" i="3"/>
  <c r="G808" i="3"/>
  <c r="G809" i="3"/>
  <c r="G810" i="3"/>
  <c r="G811" i="3"/>
  <c r="G812" i="3"/>
  <c r="G813" i="3"/>
  <c r="G814" i="3"/>
  <c r="G815" i="3"/>
  <c r="M815" i="3" s="1"/>
  <c r="G816" i="3"/>
  <c r="G817" i="3"/>
  <c r="G818" i="3"/>
  <c r="G819" i="3"/>
  <c r="G820" i="3"/>
  <c r="G821" i="3"/>
  <c r="G822" i="3"/>
  <c r="G823" i="3"/>
  <c r="G824" i="3"/>
  <c r="G825" i="3"/>
  <c r="G826" i="3"/>
  <c r="G827" i="3"/>
  <c r="M827" i="3" s="1"/>
  <c r="G828" i="3"/>
  <c r="G829" i="3"/>
  <c r="G830" i="3"/>
  <c r="G831" i="3"/>
  <c r="G832" i="3"/>
  <c r="G833" i="3"/>
  <c r="G834" i="3"/>
  <c r="G835" i="3"/>
  <c r="G836" i="3"/>
  <c r="G837" i="3"/>
  <c r="G838" i="3"/>
  <c r="G839" i="3"/>
  <c r="M839" i="3" s="1"/>
  <c r="G840" i="3"/>
  <c r="G841" i="3"/>
  <c r="G842" i="3"/>
  <c r="G843" i="3"/>
  <c r="G844" i="3"/>
  <c r="G845" i="3"/>
  <c r="G846" i="3"/>
  <c r="G847" i="3"/>
  <c r="G848" i="3"/>
  <c r="G849" i="3"/>
  <c r="G850" i="3"/>
  <c r="G851" i="3"/>
  <c r="M851" i="3" s="1"/>
  <c r="G852" i="3"/>
  <c r="G853" i="3"/>
  <c r="G854" i="3"/>
  <c r="G855" i="3"/>
  <c r="G856" i="3"/>
  <c r="G857" i="3"/>
  <c r="G858" i="3"/>
  <c r="G859" i="3"/>
  <c r="G860" i="3"/>
  <c r="G861" i="3"/>
  <c r="G862" i="3"/>
  <c r="G863" i="3"/>
  <c r="M863" i="3" s="1"/>
  <c r="G864" i="3"/>
  <c r="G865" i="3"/>
  <c r="G866" i="3"/>
  <c r="G867" i="3"/>
  <c r="G868" i="3"/>
  <c r="G869" i="3"/>
  <c r="G870" i="3"/>
  <c r="G871" i="3"/>
  <c r="G872" i="3"/>
  <c r="G873" i="3"/>
  <c r="G874" i="3"/>
  <c r="G875" i="3"/>
  <c r="M875" i="3" s="1"/>
  <c r="G876" i="3"/>
  <c r="G877" i="3"/>
  <c r="G878" i="3"/>
  <c r="G879" i="3"/>
  <c r="G880" i="3"/>
  <c r="G881" i="3"/>
  <c r="G882" i="3"/>
  <c r="G883" i="3"/>
  <c r="G884" i="3"/>
  <c r="G885" i="3"/>
  <c r="G886" i="3"/>
  <c r="G887" i="3"/>
  <c r="M887" i="3" s="1"/>
  <c r="G888" i="3"/>
  <c r="G889" i="3"/>
  <c r="G890" i="3"/>
  <c r="G891" i="3"/>
  <c r="G892" i="3"/>
  <c r="G893" i="3"/>
  <c r="G894" i="3"/>
  <c r="G895" i="3"/>
  <c r="G896" i="3"/>
  <c r="G897" i="3"/>
  <c r="G898" i="3"/>
  <c r="G899" i="3"/>
  <c r="M899" i="3" s="1"/>
  <c r="G900" i="3"/>
  <c r="G901" i="3"/>
  <c r="G902" i="3"/>
  <c r="G903" i="3"/>
  <c r="G904" i="3"/>
  <c r="G905" i="3"/>
  <c r="G906" i="3"/>
  <c r="G907" i="3"/>
  <c r="G908" i="3"/>
  <c r="G909" i="3"/>
  <c r="G910" i="3"/>
  <c r="G911" i="3"/>
  <c r="M911" i="3" s="1"/>
  <c r="G912" i="3"/>
  <c r="G913" i="3"/>
  <c r="G914" i="3"/>
  <c r="G915" i="3"/>
  <c r="G916" i="3"/>
  <c r="G917" i="3"/>
  <c r="G918" i="3"/>
  <c r="G919" i="3"/>
  <c r="G920" i="3"/>
  <c r="G921" i="3"/>
  <c r="G2" i="3"/>
  <c r="B2" i="3"/>
  <c r="B3" i="3"/>
  <c r="D3" i="3" s="1"/>
  <c r="B4" i="3"/>
  <c r="D4" i="3" s="1"/>
  <c r="B5" i="3"/>
  <c r="D5" i="3" s="1"/>
  <c r="B6" i="3"/>
  <c r="B7" i="3"/>
  <c r="B8" i="3"/>
  <c r="D8" i="3" s="1"/>
  <c r="B9" i="3"/>
  <c r="D9" i="3" s="1"/>
  <c r="B10" i="3"/>
  <c r="D10" i="3" s="1"/>
  <c r="B11" i="3"/>
  <c r="D11" i="3" s="1"/>
  <c r="B12" i="3"/>
  <c r="D12" i="3" s="1"/>
  <c r="B13" i="3"/>
  <c r="D13" i="3" s="1"/>
  <c r="B14" i="3"/>
  <c r="D14" i="3" s="1"/>
  <c r="B15" i="3"/>
  <c r="D15" i="3" s="1"/>
  <c r="B16" i="3"/>
  <c r="B17" i="3"/>
  <c r="B18" i="3"/>
  <c r="D18" i="3" s="1"/>
  <c r="B19" i="3"/>
  <c r="D19" i="3" s="1"/>
  <c r="B20" i="3"/>
  <c r="D20" i="3" s="1"/>
  <c r="B21" i="3"/>
  <c r="B22" i="3"/>
  <c r="D22" i="3" s="1"/>
  <c r="B23" i="3"/>
  <c r="D23" i="3" s="1"/>
  <c r="B24" i="3"/>
  <c r="D24" i="3" s="1"/>
  <c r="B25" i="3"/>
  <c r="D25" i="3" s="1"/>
  <c r="B26" i="3"/>
  <c r="D26" i="3" s="1"/>
  <c r="B27" i="3"/>
  <c r="D27" i="3" s="1"/>
  <c r="B28" i="3"/>
  <c r="D28" i="3" s="1"/>
  <c r="B29" i="3"/>
  <c r="B30" i="3"/>
  <c r="B31" i="3"/>
  <c r="D31" i="3" s="1"/>
  <c r="B32" i="3"/>
  <c r="B33" i="3"/>
  <c r="D33" i="3" s="1"/>
  <c r="B34" i="3"/>
  <c r="D34" i="3" s="1"/>
  <c r="B35" i="3"/>
  <c r="D35" i="3" s="1"/>
  <c r="B36" i="3"/>
  <c r="D36" i="3" s="1"/>
  <c r="B37" i="3"/>
  <c r="D37" i="3" s="1"/>
  <c r="B38" i="3"/>
  <c r="D38" i="3" s="1"/>
  <c r="B39" i="3"/>
  <c r="D39" i="3" s="1"/>
  <c r="B40" i="3"/>
  <c r="D40" i="3" s="1"/>
  <c r="B41" i="3"/>
  <c r="B42" i="3"/>
  <c r="B43" i="3"/>
  <c r="D43" i="3" s="1"/>
  <c r="B44" i="3"/>
  <c r="D44" i="3" s="1"/>
  <c r="B45" i="3"/>
  <c r="D45" i="3" s="1"/>
  <c r="B46" i="3"/>
  <c r="D46" i="3" s="1"/>
  <c r="B47" i="3"/>
  <c r="D47" i="3" s="1"/>
  <c r="B48" i="3"/>
  <c r="D48" i="3" s="1"/>
  <c r="B49" i="3"/>
  <c r="D49" i="3" s="1"/>
  <c r="B50" i="3"/>
  <c r="D50" i="3" s="1"/>
  <c r="B51" i="3"/>
  <c r="D51" i="3" s="1"/>
  <c r="B52" i="3"/>
  <c r="D52" i="3" s="1"/>
  <c r="B53" i="3"/>
  <c r="D53" i="3" s="1"/>
  <c r="B54" i="3"/>
  <c r="B55" i="3"/>
  <c r="D55" i="3" s="1"/>
  <c r="B56" i="3"/>
  <c r="B57" i="3"/>
  <c r="D57" i="3" s="1"/>
  <c r="B58" i="3"/>
  <c r="B59" i="3"/>
  <c r="D59" i="3" s="1"/>
  <c r="B60" i="3"/>
  <c r="D60" i="3" s="1"/>
  <c r="B61" i="3"/>
  <c r="D61" i="3" s="1"/>
  <c r="B62" i="3"/>
  <c r="D62" i="3" s="1"/>
  <c r="B63" i="3"/>
  <c r="D63" i="3" s="1"/>
  <c r="B64" i="3"/>
  <c r="D64" i="3" s="1"/>
  <c r="B65" i="3"/>
  <c r="B66" i="3"/>
  <c r="B67" i="3"/>
  <c r="D67" i="3" s="1"/>
  <c r="B68" i="3"/>
  <c r="B69" i="3"/>
  <c r="D69" i="3" s="1"/>
  <c r="B70" i="3"/>
  <c r="D70" i="3" s="1"/>
  <c r="B71" i="3"/>
  <c r="D71" i="3" s="1"/>
  <c r="B72" i="3"/>
  <c r="D72" i="3" s="1"/>
  <c r="B73" i="3"/>
  <c r="D73" i="3" s="1"/>
  <c r="B74" i="3"/>
  <c r="D74" i="3" s="1"/>
  <c r="B75" i="3"/>
  <c r="D75" i="3" s="1"/>
  <c r="B76" i="3"/>
  <c r="D76" i="3" s="1"/>
  <c r="B77" i="3"/>
  <c r="B78" i="3"/>
  <c r="B79" i="3"/>
  <c r="D79" i="3" s="1"/>
  <c r="B80" i="3"/>
  <c r="D80" i="3" s="1"/>
  <c r="B81" i="3"/>
  <c r="D81" i="3" s="1"/>
  <c r="B82" i="3"/>
  <c r="D82" i="3" s="1"/>
  <c r="B83" i="3"/>
  <c r="D83" i="3" s="1"/>
  <c r="B84" i="3"/>
  <c r="D84" i="3" s="1"/>
  <c r="B85" i="3"/>
  <c r="D85" i="3" s="1"/>
  <c r="B86" i="3"/>
  <c r="D86" i="3" s="1"/>
  <c r="B87" i="3"/>
  <c r="D87" i="3" s="1"/>
  <c r="B88" i="3"/>
  <c r="D88" i="3" s="1"/>
  <c r="B89" i="3"/>
  <c r="B90" i="3"/>
  <c r="D90" i="3" s="1"/>
  <c r="B91" i="3"/>
  <c r="D91" i="3" s="1"/>
  <c r="B92" i="3"/>
  <c r="D92" i="3" s="1"/>
  <c r="B93" i="3"/>
  <c r="B94" i="3"/>
  <c r="D94" i="3" s="1"/>
  <c r="B95" i="3"/>
  <c r="D95" i="3" s="1"/>
  <c r="B96" i="3"/>
  <c r="D96" i="3" s="1"/>
  <c r="B97" i="3"/>
  <c r="D97" i="3" s="1"/>
  <c r="B98" i="3"/>
  <c r="D98" i="3" s="1"/>
  <c r="B99" i="3"/>
  <c r="D99" i="3" s="1"/>
  <c r="B100" i="3"/>
  <c r="D100" i="3" s="1"/>
  <c r="B101" i="3"/>
  <c r="B102" i="3"/>
  <c r="D102" i="3" s="1"/>
  <c r="B103" i="3"/>
  <c r="B104" i="3"/>
  <c r="D104" i="3" s="1"/>
  <c r="B105" i="3"/>
  <c r="D105" i="3" s="1"/>
  <c r="B106" i="3"/>
  <c r="D106" i="3" s="1"/>
  <c r="B107" i="3"/>
  <c r="D107" i="3" s="1"/>
  <c r="B108" i="3"/>
  <c r="D108" i="3" s="1"/>
  <c r="B109" i="3"/>
  <c r="D109" i="3" s="1"/>
  <c r="B110" i="3"/>
  <c r="D110" i="3" s="1"/>
  <c r="B111" i="3"/>
  <c r="D111" i="3" s="1"/>
  <c r="B112" i="3"/>
  <c r="B113" i="3"/>
  <c r="D113" i="3" s="1"/>
  <c r="B114" i="3"/>
  <c r="B115" i="3"/>
  <c r="D115" i="3" s="1"/>
  <c r="B116" i="3"/>
  <c r="D116" i="3" s="1"/>
  <c r="B117" i="3"/>
  <c r="D117" i="3" s="1"/>
  <c r="B118" i="3"/>
  <c r="B119" i="3"/>
  <c r="D119" i="3" s="1"/>
  <c r="B120" i="3"/>
  <c r="D120" i="3" s="1"/>
  <c r="B121" i="3"/>
  <c r="D121" i="3" s="1"/>
  <c r="B122" i="3"/>
  <c r="D122" i="3" s="1"/>
  <c r="B123" i="3"/>
  <c r="D123" i="3" s="1"/>
  <c r="B124" i="3"/>
  <c r="D124" i="3" s="1"/>
  <c r="B125" i="3"/>
  <c r="B126" i="3"/>
  <c r="D126" i="3" s="1"/>
  <c r="B127" i="3"/>
  <c r="B128" i="3"/>
  <c r="B129" i="3"/>
  <c r="B130" i="3"/>
  <c r="D130" i="3" s="1"/>
  <c r="B131" i="3"/>
  <c r="D131" i="3" s="1"/>
  <c r="B132" i="3"/>
  <c r="D132" i="3" s="1"/>
  <c r="B133" i="3"/>
  <c r="D133" i="3" s="1"/>
  <c r="B134" i="3"/>
  <c r="D134" i="3" s="1"/>
  <c r="B135" i="3"/>
  <c r="D135" i="3" s="1"/>
  <c r="B136" i="3"/>
  <c r="D136" i="3" s="1"/>
  <c r="B137" i="3"/>
  <c r="B138" i="3"/>
  <c r="B139" i="3"/>
  <c r="B140" i="3"/>
  <c r="D140" i="3" s="1"/>
  <c r="B141" i="3"/>
  <c r="D141" i="3" s="1"/>
  <c r="B142" i="3"/>
  <c r="D142" i="3" s="1"/>
  <c r="B143" i="3"/>
  <c r="D143" i="3" s="1"/>
  <c r="B144" i="3"/>
  <c r="D144" i="3" s="1"/>
  <c r="B145" i="3"/>
  <c r="D145" i="3" s="1"/>
  <c r="B146" i="3"/>
  <c r="D146" i="3" s="1"/>
  <c r="B147" i="3"/>
  <c r="D147" i="3" s="1"/>
  <c r="B148" i="3"/>
  <c r="D148" i="3" s="1"/>
  <c r="B149" i="3"/>
  <c r="D149" i="3" s="1"/>
  <c r="B150" i="3"/>
  <c r="B151" i="3"/>
  <c r="D151" i="3" s="1"/>
  <c r="B152" i="3"/>
  <c r="D152" i="3" s="1"/>
  <c r="B153" i="3"/>
  <c r="B154" i="3"/>
  <c r="B155" i="3"/>
  <c r="D155" i="3" s="1"/>
  <c r="B156" i="3"/>
  <c r="D156" i="3" s="1"/>
  <c r="B157" i="3"/>
  <c r="D157" i="3" s="1"/>
  <c r="B158" i="3"/>
  <c r="D158" i="3" s="1"/>
  <c r="B159" i="3"/>
  <c r="D159" i="3" s="1"/>
  <c r="B160" i="3"/>
  <c r="D160" i="3" s="1"/>
  <c r="B161" i="3"/>
  <c r="B162" i="3"/>
  <c r="B163" i="3"/>
  <c r="B164" i="3"/>
  <c r="D164" i="3" s="1"/>
  <c r="B165" i="3"/>
  <c r="B166" i="3"/>
  <c r="D166" i="3" s="1"/>
  <c r="B167" i="3"/>
  <c r="D167" i="3" s="1"/>
  <c r="B168" i="3"/>
  <c r="D168" i="3" s="1"/>
  <c r="B169" i="3"/>
  <c r="D169" i="3" s="1"/>
  <c r="B170" i="3"/>
  <c r="D170" i="3" s="1"/>
  <c r="B171" i="3"/>
  <c r="D171" i="3" s="1"/>
  <c r="B172" i="3"/>
  <c r="D172" i="3" s="1"/>
  <c r="B173" i="3"/>
  <c r="D173" i="3" s="1"/>
  <c r="B174" i="3"/>
  <c r="B175" i="3"/>
  <c r="B176" i="3"/>
  <c r="D176" i="3" s="1"/>
  <c r="B177" i="3"/>
  <c r="D177" i="3" s="1"/>
  <c r="B178" i="3"/>
  <c r="D178" i="3" s="1"/>
  <c r="B179" i="3"/>
  <c r="D179" i="3" s="1"/>
  <c r="B180" i="3"/>
  <c r="D180" i="3" s="1"/>
  <c r="B181" i="3"/>
  <c r="D181" i="3" s="1"/>
  <c r="B182" i="3"/>
  <c r="D182" i="3" s="1"/>
  <c r="B183" i="3"/>
  <c r="D183" i="3" s="1"/>
  <c r="B184" i="3"/>
  <c r="D184" i="3" s="1"/>
  <c r="B185" i="3"/>
  <c r="B186" i="3"/>
  <c r="D186" i="3" s="1"/>
  <c r="B187" i="3"/>
  <c r="D187" i="3" s="1"/>
  <c r="B188" i="3"/>
  <c r="B189" i="3"/>
  <c r="B190" i="3"/>
  <c r="D190" i="3" s="1"/>
  <c r="B191" i="3"/>
  <c r="D191" i="3" s="1"/>
  <c r="B192" i="3"/>
  <c r="D192" i="3" s="1"/>
  <c r="B193" i="3"/>
  <c r="D193" i="3" s="1"/>
  <c r="B194" i="3"/>
  <c r="D194" i="3" s="1"/>
  <c r="B195" i="3"/>
  <c r="D195" i="3" s="1"/>
  <c r="B196" i="3"/>
  <c r="D196" i="3" s="1"/>
  <c r="B197" i="3"/>
  <c r="B198" i="3"/>
  <c r="B199" i="3"/>
  <c r="D199" i="3" s="1"/>
  <c r="B200" i="3"/>
  <c r="D200" i="3" s="1"/>
  <c r="B201" i="3"/>
  <c r="D201" i="3" s="1"/>
  <c r="B202" i="3"/>
  <c r="D202" i="3" s="1"/>
  <c r="B203" i="3"/>
  <c r="D203" i="3" s="1"/>
  <c r="B204" i="3"/>
  <c r="D204" i="3" s="1"/>
  <c r="B205" i="3"/>
  <c r="D205" i="3" s="1"/>
  <c r="B206" i="3"/>
  <c r="D206" i="3" s="1"/>
  <c r="B207" i="3"/>
  <c r="D207" i="3" s="1"/>
  <c r="B208" i="3"/>
  <c r="D208" i="3" s="1"/>
  <c r="B209" i="3"/>
  <c r="B210" i="3"/>
  <c r="D210" i="3" s="1"/>
  <c r="B211" i="3"/>
  <c r="D211" i="3" s="1"/>
  <c r="B212" i="3"/>
  <c r="D212" i="3" s="1"/>
  <c r="B213" i="3"/>
  <c r="B214" i="3"/>
  <c r="D214" i="3" s="1"/>
  <c r="B215" i="3"/>
  <c r="D215" i="3" s="1"/>
  <c r="B216" i="3"/>
  <c r="D216" i="3" s="1"/>
  <c r="B217" i="3"/>
  <c r="D217" i="3" s="1"/>
  <c r="B218" i="3"/>
  <c r="D218" i="3" s="1"/>
  <c r="B219" i="3"/>
  <c r="D219" i="3" s="1"/>
  <c r="B220" i="3"/>
  <c r="D220" i="3" s="1"/>
  <c r="B221" i="3"/>
  <c r="B222" i="3"/>
  <c r="D222" i="3" s="1"/>
  <c r="B223" i="3"/>
  <c r="B224" i="3"/>
  <c r="D224" i="3" s="1"/>
  <c r="B225" i="3"/>
  <c r="B226" i="3"/>
  <c r="D226" i="3" s="1"/>
  <c r="B227" i="3"/>
  <c r="D227" i="3" s="1"/>
  <c r="B228" i="3"/>
  <c r="D228" i="3" s="1"/>
  <c r="B229" i="3"/>
  <c r="D229" i="3" s="1"/>
  <c r="B230" i="3"/>
  <c r="D230" i="3" s="1"/>
  <c r="B231" i="3"/>
  <c r="D231" i="3" s="1"/>
  <c r="B232" i="3"/>
  <c r="D232" i="3" s="1"/>
  <c r="B233" i="3"/>
  <c r="B234" i="3"/>
  <c r="D234" i="3" s="1"/>
  <c r="B235" i="3"/>
  <c r="D235" i="3" s="1"/>
  <c r="B236" i="3"/>
  <c r="D236" i="3" s="1"/>
  <c r="B237" i="3"/>
  <c r="D237" i="3" s="1"/>
  <c r="B238" i="3"/>
  <c r="D238" i="3" s="1"/>
  <c r="B239" i="3"/>
  <c r="D239" i="3" s="1"/>
  <c r="B240" i="3"/>
  <c r="D240" i="3" s="1"/>
  <c r="B241" i="3"/>
  <c r="D241" i="3" s="1"/>
  <c r="B242" i="3"/>
  <c r="D242" i="3" s="1"/>
  <c r="B243" i="3"/>
  <c r="D243" i="3" s="1"/>
  <c r="B244" i="3"/>
  <c r="D244" i="3" s="1"/>
  <c r="B245" i="3"/>
  <c r="B246" i="3"/>
  <c r="B247" i="3"/>
  <c r="D247" i="3" s="1"/>
  <c r="B248" i="3"/>
  <c r="D248" i="3" s="1"/>
  <c r="B249" i="3"/>
  <c r="D249" i="3" s="1"/>
  <c r="B250" i="3"/>
  <c r="D250" i="3" s="1"/>
  <c r="B251" i="3"/>
  <c r="D251" i="3" s="1"/>
  <c r="B252" i="3"/>
  <c r="D252" i="3" s="1"/>
  <c r="B253" i="3"/>
  <c r="D253" i="3" s="1"/>
  <c r="B254" i="3"/>
  <c r="D254" i="3" s="1"/>
  <c r="B255" i="3"/>
  <c r="D255" i="3" s="1"/>
  <c r="B256" i="3"/>
  <c r="D256" i="3" s="1"/>
  <c r="B257" i="3"/>
  <c r="D257" i="3" s="1"/>
  <c r="B258" i="3"/>
  <c r="D258" i="3" s="1"/>
  <c r="B259" i="3"/>
  <c r="D259" i="3" s="1"/>
  <c r="B260" i="3"/>
  <c r="D260" i="3" s="1"/>
  <c r="B261" i="3"/>
  <c r="B262" i="3"/>
  <c r="B263" i="3"/>
  <c r="D263" i="3" s="1"/>
  <c r="B264" i="3"/>
  <c r="D264" i="3" s="1"/>
  <c r="B265" i="3"/>
  <c r="D265" i="3" s="1"/>
  <c r="B266" i="3"/>
  <c r="D266" i="3" s="1"/>
  <c r="B267" i="3"/>
  <c r="D267" i="3" s="1"/>
  <c r="B268" i="3"/>
  <c r="D268" i="3" s="1"/>
  <c r="B269" i="3"/>
  <c r="D269" i="3" s="1"/>
  <c r="B270" i="3"/>
  <c r="D270" i="3" s="1"/>
  <c r="B271" i="3"/>
  <c r="D271" i="3" s="1"/>
  <c r="B272" i="3"/>
  <c r="B273" i="3"/>
  <c r="D273" i="3" s="1"/>
  <c r="B274" i="3"/>
  <c r="D274" i="3" s="1"/>
  <c r="B275" i="3"/>
  <c r="D275" i="3" s="1"/>
  <c r="B276" i="3"/>
  <c r="D276" i="3" s="1"/>
  <c r="B277" i="3"/>
  <c r="D277" i="3" s="1"/>
  <c r="B278" i="3"/>
  <c r="D278" i="3" s="1"/>
  <c r="B279" i="3"/>
  <c r="D279" i="3" s="1"/>
  <c r="B280" i="3"/>
  <c r="D280" i="3" s="1"/>
  <c r="B281" i="3"/>
  <c r="B282" i="3"/>
  <c r="D282" i="3" s="1"/>
  <c r="B283" i="3"/>
  <c r="D283" i="3" s="1"/>
  <c r="B284" i="3"/>
  <c r="D284" i="3" s="1"/>
  <c r="B285" i="3"/>
  <c r="D285" i="3" s="1"/>
  <c r="B286" i="3"/>
  <c r="D286" i="3" s="1"/>
  <c r="B287" i="3"/>
  <c r="B288" i="3"/>
  <c r="D288" i="3" s="1"/>
  <c r="B289" i="3"/>
  <c r="D289" i="3" s="1"/>
  <c r="B290" i="3"/>
  <c r="D290" i="3" s="1"/>
  <c r="B291" i="3"/>
  <c r="D291" i="3" s="1"/>
  <c r="B292" i="3"/>
  <c r="D292" i="3" s="1"/>
  <c r="B293" i="3"/>
  <c r="B294" i="3"/>
  <c r="D294" i="3" s="1"/>
  <c r="B295" i="3"/>
  <c r="D295" i="3" s="1"/>
  <c r="B296" i="3"/>
  <c r="B297" i="3"/>
  <c r="B298" i="3"/>
  <c r="D298" i="3" s="1"/>
  <c r="B299" i="3"/>
  <c r="D299" i="3" s="1"/>
  <c r="B300" i="3"/>
  <c r="D300" i="3" s="1"/>
  <c r="B301" i="3"/>
  <c r="D301" i="3" s="1"/>
  <c r="B302" i="3"/>
  <c r="D302" i="3" s="1"/>
  <c r="B303" i="3"/>
  <c r="D303" i="3" s="1"/>
  <c r="B304" i="3"/>
  <c r="D304" i="3" s="1"/>
  <c r="B305" i="3"/>
  <c r="B306" i="3"/>
  <c r="B307" i="3"/>
  <c r="B308" i="3"/>
  <c r="D308" i="3" s="1"/>
  <c r="B309" i="3"/>
  <c r="D309" i="3" s="1"/>
  <c r="B310" i="3"/>
  <c r="D310" i="3" s="1"/>
  <c r="B311" i="3"/>
  <c r="D311" i="3" s="1"/>
  <c r="B312" i="3"/>
  <c r="D312" i="3" s="1"/>
  <c r="B313" i="3"/>
  <c r="D313" i="3" s="1"/>
  <c r="B314" i="3"/>
  <c r="D314" i="3" s="1"/>
  <c r="B315" i="3"/>
  <c r="D315" i="3" s="1"/>
  <c r="B316" i="3"/>
  <c r="D316" i="3" s="1"/>
  <c r="B317" i="3"/>
  <c r="D317" i="3" s="1"/>
  <c r="B318" i="3"/>
  <c r="B319" i="3"/>
  <c r="D319" i="3" s="1"/>
  <c r="B320" i="3"/>
  <c r="D320" i="3" s="1"/>
  <c r="B321" i="3"/>
  <c r="D321" i="3" s="1"/>
  <c r="B322" i="3"/>
  <c r="D322" i="3" s="1"/>
  <c r="B323" i="3"/>
  <c r="B324" i="3"/>
  <c r="D324" i="3" s="1"/>
  <c r="B325" i="3"/>
  <c r="D325" i="3" s="1"/>
  <c r="B326" i="3"/>
  <c r="D326" i="3" s="1"/>
  <c r="B327" i="3"/>
  <c r="D327" i="3" s="1"/>
  <c r="B328" i="3"/>
  <c r="D328" i="3" s="1"/>
  <c r="B329" i="3"/>
  <c r="B330" i="3"/>
  <c r="D330" i="3" s="1"/>
  <c r="B331" i="3"/>
  <c r="B332" i="3"/>
  <c r="B333" i="3"/>
  <c r="B334" i="3"/>
  <c r="D334" i="3" s="1"/>
  <c r="B335" i="3"/>
  <c r="D335" i="3" s="1"/>
  <c r="B336" i="3"/>
  <c r="D336" i="3" s="1"/>
  <c r="B337" i="3"/>
  <c r="D337" i="3" s="1"/>
  <c r="B338" i="3"/>
  <c r="D338" i="3" s="1"/>
  <c r="B339" i="3"/>
  <c r="D339" i="3" s="1"/>
  <c r="B340" i="3"/>
  <c r="D340" i="3" s="1"/>
  <c r="B341" i="3"/>
  <c r="B342" i="3"/>
  <c r="B343" i="3"/>
  <c r="D343" i="3" s="1"/>
  <c r="B344" i="3"/>
  <c r="D344" i="3" s="1"/>
  <c r="B345" i="3"/>
  <c r="D345" i="3" s="1"/>
  <c r="B346" i="3"/>
  <c r="D346" i="3" s="1"/>
  <c r="B347" i="3"/>
  <c r="B348" i="3"/>
  <c r="D348" i="3" s="1"/>
  <c r="B349" i="3"/>
  <c r="D349" i="3" s="1"/>
  <c r="B350" i="3"/>
  <c r="D350" i="3" s="1"/>
  <c r="B351" i="3"/>
  <c r="D351" i="3" s="1"/>
  <c r="B352" i="3"/>
  <c r="D352" i="3" s="1"/>
  <c r="B353" i="3"/>
  <c r="B354" i="3"/>
  <c r="D354" i="3" s="1"/>
  <c r="B355" i="3"/>
  <c r="D355" i="3" s="1"/>
  <c r="B356" i="3"/>
  <c r="D356" i="3" s="1"/>
  <c r="B357" i="3"/>
  <c r="B358" i="3"/>
  <c r="D358" i="3" s="1"/>
  <c r="B359" i="3"/>
  <c r="D359" i="3" s="1"/>
  <c r="B360" i="3"/>
  <c r="D360" i="3" s="1"/>
  <c r="B361" i="3"/>
  <c r="D361" i="3" s="1"/>
  <c r="B362" i="3"/>
  <c r="D362" i="3" s="1"/>
  <c r="B363" i="3"/>
  <c r="D363" i="3" s="1"/>
  <c r="B364" i="3"/>
  <c r="D364" i="3" s="1"/>
  <c r="B365" i="3"/>
  <c r="D365" i="3" s="1"/>
  <c r="B366" i="3"/>
  <c r="B367" i="3"/>
  <c r="B368" i="3"/>
  <c r="D368" i="3" s="1"/>
  <c r="B369" i="3"/>
  <c r="D369" i="3" s="1"/>
  <c r="B370" i="3"/>
  <c r="D370" i="3" s="1"/>
  <c r="B371" i="3"/>
  <c r="D371" i="3" s="1"/>
  <c r="B372" i="3"/>
  <c r="D372" i="3" s="1"/>
  <c r="B373" i="3"/>
  <c r="D373" i="3" s="1"/>
  <c r="B374" i="3"/>
  <c r="D374" i="3" s="1"/>
  <c r="B375" i="3"/>
  <c r="D375" i="3" s="1"/>
  <c r="B376" i="3"/>
  <c r="D376" i="3" s="1"/>
  <c r="B377" i="3"/>
  <c r="B378" i="3"/>
  <c r="B379" i="3"/>
  <c r="D379" i="3" s="1"/>
  <c r="B380" i="3"/>
  <c r="D380" i="3" s="1"/>
  <c r="B381" i="3"/>
  <c r="D381" i="3" s="1"/>
  <c r="B382" i="3"/>
  <c r="D382" i="3" s="1"/>
  <c r="B383" i="3"/>
  <c r="D383" i="3" s="1"/>
  <c r="B384" i="3"/>
  <c r="D384" i="3" s="1"/>
  <c r="B385" i="3"/>
  <c r="D385" i="3" s="1"/>
  <c r="B386" i="3"/>
  <c r="D386" i="3" s="1"/>
  <c r="B387" i="3"/>
  <c r="D387" i="3" s="1"/>
  <c r="B388" i="3"/>
  <c r="B389" i="3"/>
  <c r="D389" i="3" s="1"/>
  <c r="B390" i="3"/>
  <c r="B391" i="3"/>
  <c r="D391" i="3" s="1"/>
  <c r="B392" i="3"/>
  <c r="D392" i="3" s="1"/>
  <c r="B393" i="3"/>
  <c r="B394" i="3"/>
  <c r="D394" i="3" s="1"/>
  <c r="B395" i="3"/>
  <c r="D395" i="3" s="1"/>
  <c r="B396" i="3"/>
  <c r="D396" i="3" s="1"/>
  <c r="B397" i="3"/>
  <c r="D397" i="3" s="1"/>
  <c r="B398" i="3"/>
  <c r="D398" i="3" s="1"/>
  <c r="B399" i="3"/>
  <c r="D399" i="3" s="1"/>
  <c r="B400" i="3"/>
  <c r="D400" i="3" s="1"/>
  <c r="B401" i="3"/>
  <c r="B402" i="3"/>
  <c r="D402" i="3" s="1"/>
  <c r="B403" i="3"/>
  <c r="B404" i="3"/>
  <c r="D404" i="3" s="1"/>
  <c r="B405" i="3"/>
  <c r="B406" i="3"/>
  <c r="D406" i="3" s="1"/>
  <c r="B407" i="3"/>
  <c r="D407" i="3" s="1"/>
  <c r="B408" i="3"/>
  <c r="D408" i="3" s="1"/>
  <c r="B409" i="3"/>
  <c r="D409" i="3" s="1"/>
  <c r="B410" i="3"/>
  <c r="D410" i="3" s="1"/>
  <c r="B411" i="3"/>
  <c r="D411" i="3" s="1"/>
  <c r="B412" i="3"/>
  <c r="D412" i="3" s="1"/>
  <c r="B413" i="3"/>
  <c r="B414" i="3"/>
  <c r="B415" i="3"/>
  <c r="D415" i="3" s="1"/>
  <c r="B416" i="3"/>
  <c r="D416" i="3" s="1"/>
  <c r="B417" i="3"/>
  <c r="D417" i="3" s="1"/>
  <c r="B418" i="3"/>
  <c r="D418" i="3" s="1"/>
  <c r="B419" i="3"/>
  <c r="D419" i="3" s="1"/>
  <c r="B420" i="3"/>
  <c r="D420" i="3" s="1"/>
  <c r="B421" i="3"/>
  <c r="D421" i="3" s="1"/>
  <c r="B422" i="3"/>
  <c r="D422" i="3" s="1"/>
  <c r="B423" i="3"/>
  <c r="D423" i="3" s="1"/>
  <c r="B424" i="3"/>
  <c r="D424" i="3" s="1"/>
  <c r="B425" i="3"/>
  <c r="B426" i="3"/>
  <c r="D426" i="3" s="1"/>
  <c r="B427" i="3"/>
  <c r="B428" i="3"/>
  <c r="D428" i="3" s="1"/>
  <c r="B429" i="3"/>
  <c r="B430" i="3"/>
  <c r="D430" i="3" s="1"/>
  <c r="B431" i="3"/>
  <c r="D431" i="3" s="1"/>
  <c r="B432" i="3"/>
  <c r="D432" i="3" s="1"/>
  <c r="B433" i="3"/>
  <c r="D433" i="3" s="1"/>
  <c r="B434" i="3"/>
  <c r="D434" i="3" s="1"/>
  <c r="B435" i="3"/>
  <c r="D435" i="3" s="1"/>
  <c r="B436" i="3"/>
  <c r="D436" i="3" s="1"/>
  <c r="B437" i="3"/>
  <c r="B438" i="3"/>
  <c r="D438" i="3" s="1"/>
  <c r="B439" i="3"/>
  <c r="B440" i="3"/>
  <c r="D440" i="3" s="1"/>
  <c r="B441" i="3"/>
  <c r="D441" i="3" s="1"/>
  <c r="B442" i="3"/>
  <c r="D442" i="3" s="1"/>
  <c r="B443" i="3"/>
  <c r="D443" i="3" s="1"/>
  <c r="B444" i="3"/>
  <c r="B445" i="3"/>
  <c r="D445" i="3" s="1"/>
  <c r="B446" i="3"/>
  <c r="D446" i="3" s="1"/>
  <c r="B447" i="3"/>
  <c r="D447" i="3" s="1"/>
  <c r="B448" i="3"/>
  <c r="D448" i="3" s="1"/>
  <c r="B449" i="3"/>
  <c r="B450" i="3"/>
  <c r="D450" i="3" s="1"/>
  <c r="B451" i="3"/>
  <c r="D451" i="3" s="1"/>
  <c r="B452" i="3"/>
  <c r="D452" i="3" s="1"/>
  <c r="B453" i="3"/>
  <c r="D453" i="3" s="1"/>
  <c r="B454" i="3"/>
  <c r="D454" i="3" s="1"/>
  <c r="B455" i="3"/>
  <c r="D455" i="3" s="1"/>
  <c r="B456" i="3"/>
  <c r="D456" i="3" s="1"/>
  <c r="B457" i="3"/>
  <c r="D457" i="3" s="1"/>
  <c r="B458" i="3"/>
  <c r="D458" i="3" s="1"/>
  <c r="B459" i="3"/>
  <c r="D459" i="3" s="1"/>
  <c r="B460" i="3"/>
  <c r="D460" i="3" s="1"/>
  <c r="B461" i="3"/>
  <c r="B462" i="3"/>
  <c r="D462" i="3" s="1"/>
  <c r="B463" i="3"/>
  <c r="D463" i="3" s="1"/>
  <c r="B464" i="3"/>
  <c r="B465" i="3"/>
  <c r="D465" i="3" s="1"/>
  <c r="B466" i="3"/>
  <c r="D466" i="3" s="1"/>
  <c r="B467" i="3"/>
  <c r="D467" i="3" s="1"/>
  <c r="B468" i="3"/>
  <c r="D468" i="3" s="1"/>
  <c r="B469" i="3"/>
  <c r="D469" i="3" s="1"/>
  <c r="B470" i="3"/>
  <c r="D470" i="3" s="1"/>
  <c r="B471" i="3"/>
  <c r="D471" i="3" s="1"/>
  <c r="B472" i="3"/>
  <c r="D472" i="3" s="1"/>
  <c r="B473" i="3"/>
  <c r="B474" i="3"/>
  <c r="B475" i="3"/>
  <c r="D475" i="3" s="1"/>
  <c r="B476" i="3"/>
  <c r="D476" i="3" s="1"/>
  <c r="B477" i="3"/>
  <c r="D477" i="3" s="1"/>
  <c r="B478" i="3"/>
  <c r="B479" i="3"/>
  <c r="D479" i="3" s="1"/>
  <c r="B480" i="3"/>
  <c r="D480" i="3" s="1"/>
  <c r="B481" i="3"/>
  <c r="D481" i="3" s="1"/>
  <c r="B482" i="3"/>
  <c r="D482" i="3" s="1"/>
  <c r="B483" i="3"/>
  <c r="D483" i="3" s="1"/>
  <c r="B484" i="3"/>
  <c r="D484" i="3" s="1"/>
  <c r="B485" i="3"/>
  <c r="B486" i="3"/>
  <c r="D486" i="3" s="1"/>
  <c r="B487" i="3"/>
  <c r="D487" i="3" s="1"/>
  <c r="B488" i="3"/>
  <c r="D488" i="3" s="1"/>
  <c r="B489" i="3"/>
  <c r="B490" i="3"/>
  <c r="D490" i="3" s="1"/>
  <c r="B491" i="3"/>
  <c r="D491" i="3" s="1"/>
  <c r="B492" i="3"/>
  <c r="D492" i="3" s="1"/>
  <c r="B493" i="3"/>
  <c r="D493" i="3" s="1"/>
  <c r="B494" i="3"/>
  <c r="D494" i="3" s="1"/>
  <c r="B495" i="3"/>
  <c r="D495" i="3" s="1"/>
  <c r="B496" i="3"/>
  <c r="D496" i="3" s="1"/>
  <c r="B497" i="3"/>
  <c r="B498" i="3"/>
  <c r="D498" i="3" s="1"/>
  <c r="B499" i="3"/>
  <c r="B500" i="3"/>
  <c r="B501" i="3"/>
  <c r="D501" i="3" s="1"/>
  <c r="B502" i="3"/>
  <c r="D502" i="3" s="1"/>
  <c r="B503" i="3"/>
  <c r="D503" i="3" s="1"/>
  <c r="B504" i="3"/>
  <c r="D504" i="3" s="1"/>
  <c r="B505" i="3"/>
  <c r="D505" i="3" s="1"/>
  <c r="B506" i="3"/>
  <c r="D506" i="3" s="1"/>
  <c r="B507" i="3"/>
  <c r="D507" i="3" s="1"/>
  <c r="B508" i="3"/>
  <c r="D508" i="3" s="1"/>
  <c r="B509" i="3"/>
  <c r="B510" i="3"/>
  <c r="D510" i="3" s="1"/>
  <c r="B511" i="3"/>
  <c r="D511" i="3" s="1"/>
  <c r="B512" i="3"/>
  <c r="D512" i="3" s="1"/>
  <c r="B513" i="3"/>
  <c r="D513" i="3" s="1"/>
  <c r="B514" i="3"/>
  <c r="D514" i="3" s="1"/>
  <c r="B515" i="3"/>
  <c r="D515" i="3" s="1"/>
  <c r="B516" i="3"/>
  <c r="D516" i="3" s="1"/>
  <c r="B517" i="3"/>
  <c r="D517" i="3" s="1"/>
  <c r="B518" i="3"/>
  <c r="D518" i="3" s="1"/>
  <c r="B519" i="3"/>
  <c r="D519" i="3" s="1"/>
  <c r="B520" i="3"/>
  <c r="D520" i="3" s="1"/>
  <c r="B521" i="3"/>
  <c r="B522" i="3"/>
  <c r="D522" i="3" s="1"/>
  <c r="B523" i="3"/>
  <c r="D523" i="3" s="1"/>
  <c r="B524" i="3"/>
  <c r="D524" i="3" s="1"/>
  <c r="B525" i="3"/>
  <c r="B526" i="3"/>
  <c r="D526" i="3" s="1"/>
  <c r="B527" i="3"/>
  <c r="D527" i="3" s="1"/>
  <c r="B528" i="3"/>
  <c r="D528" i="3" s="1"/>
  <c r="B529" i="3"/>
  <c r="D529" i="3" s="1"/>
  <c r="B530" i="3"/>
  <c r="D530" i="3" s="1"/>
  <c r="B531" i="3"/>
  <c r="D531" i="3" s="1"/>
  <c r="B532" i="3"/>
  <c r="D532" i="3" s="1"/>
  <c r="B533" i="3"/>
  <c r="B534" i="3"/>
  <c r="D534" i="3" s="1"/>
  <c r="B535" i="3"/>
  <c r="D535" i="3" s="1"/>
  <c r="B536" i="3"/>
  <c r="D536" i="3" s="1"/>
  <c r="B537" i="3"/>
  <c r="B538" i="3"/>
  <c r="D538" i="3" s="1"/>
  <c r="B539" i="3"/>
  <c r="D539" i="3" s="1"/>
  <c r="B540" i="3"/>
  <c r="D540" i="3" s="1"/>
  <c r="B541" i="3"/>
  <c r="D541" i="3" s="1"/>
  <c r="B542" i="3"/>
  <c r="D542" i="3" s="1"/>
  <c r="B543" i="3"/>
  <c r="D543" i="3" s="1"/>
  <c r="B544" i="3"/>
  <c r="D544" i="3" s="1"/>
  <c r="B545" i="3"/>
  <c r="D545" i="3" s="1"/>
  <c r="B546" i="3"/>
  <c r="B547" i="3"/>
  <c r="B548" i="3"/>
  <c r="D548" i="3" s="1"/>
  <c r="B549" i="3"/>
  <c r="D549" i="3" s="1"/>
  <c r="B550" i="3"/>
  <c r="D550" i="3" s="1"/>
  <c r="B551" i="3"/>
  <c r="D551" i="3" s="1"/>
  <c r="B552" i="3"/>
  <c r="B553" i="3"/>
  <c r="D553" i="3" s="1"/>
  <c r="B554" i="3"/>
  <c r="D554" i="3" s="1"/>
  <c r="B555" i="3"/>
  <c r="D555" i="3" s="1"/>
  <c r="B556" i="3"/>
  <c r="D556" i="3" s="1"/>
  <c r="B557" i="3"/>
  <c r="B558" i="3"/>
  <c r="D558" i="3" s="1"/>
  <c r="B559" i="3"/>
  <c r="D559" i="3" s="1"/>
  <c r="B560" i="3"/>
  <c r="D560" i="3" s="1"/>
  <c r="B561" i="3"/>
  <c r="D561" i="3" s="1"/>
  <c r="B562" i="3"/>
  <c r="D562" i="3" s="1"/>
  <c r="B563" i="3"/>
  <c r="D563" i="3" s="1"/>
  <c r="B564" i="3"/>
  <c r="D564" i="3" s="1"/>
  <c r="B565" i="3"/>
  <c r="D565" i="3" s="1"/>
  <c r="B566" i="3"/>
  <c r="D566" i="3" s="1"/>
  <c r="B567" i="3"/>
  <c r="D567" i="3" s="1"/>
  <c r="B568" i="3"/>
  <c r="D568" i="3" s="1"/>
  <c r="B569" i="3"/>
  <c r="B570" i="3"/>
  <c r="D570" i="3" s="1"/>
  <c r="B571" i="3"/>
  <c r="D571" i="3" s="1"/>
  <c r="B572" i="3"/>
  <c r="D572" i="3" s="1"/>
  <c r="B573" i="3"/>
  <c r="D573" i="3" s="1"/>
  <c r="B574" i="3"/>
  <c r="D574" i="3" s="1"/>
  <c r="B575" i="3"/>
  <c r="D575" i="3" s="1"/>
  <c r="B576" i="3"/>
  <c r="D576" i="3" s="1"/>
  <c r="B577" i="3"/>
  <c r="D577" i="3" s="1"/>
  <c r="B578" i="3"/>
  <c r="D578" i="3" s="1"/>
  <c r="B579" i="3"/>
  <c r="D579" i="3" s="1"/>
  <c r="B580" i="3"/>
  <c r="D580" i="3" s="1"/>
  <c r="B581" i="3"/>
  <c r="B582" i="3"/>
  <c r="B583" i="3"/>
  <c r="B584" i="3"/>
  <c r="D584" i="3" s="1"/>
  <c r="B585" i="3"/>
  <c r="B586" i="3"/>
  <c r="D586" i="3" s="1"/>
  <c r="B587" i="3"/>
  <c r="D587" i="3" s="1"/>
  <c r="B588" i="3"/>
  <c r="D588" i="3" s="1"/>
  <c r="B589" i="3"/>
  <c r="D589" i="3" s="1"/>
  <c r="B590" i="3"/>
  <c r="D590" i="3" s="1"/>
  <c r="B591" i="3"/>
  <c r="D591" i="3" s="1"/>
  <c r="B592" i="3"/>
  <c r="D592" i="3" s="1"/>
  <c r="B593" i="3"/>
  <c r="D593" i="3" s="1"/>
  <c r="B594" i="3"/>
  <c r="D594" i="3" s="1"/>
  <c r="B595" i="3"/>
  <c r="D595" i="3" s="1"/>
  <c r="B596" i="3"/>
  <c r="D596" i="3" s="1"/>
  <c r="B597" i="3"/>
  <c r="D597" i="3" s="1"/>
  <c r="B598" i="3"/>
  <c r="D598" i="3" s="1"/>
  <c r="B599" i="3"/>
  <c r="D599" i="3" s="1"/>
  <c r="B600" i="3"/>
  <c r="D600" i="3" s="1"/>
  <c r="B601" i="3"/>
  <c r="D601" i="3" s="1"/>
  <c r="B602" i="3"/>
  <c r="D602" i="3" s="1"/>
  <c r="B603" i="3"/>
  <c r="D603" i="3" s="1"/>
  <c r="B604" i="3"/>
  <c r="D604" i="3" s="1"/>
  <c r="B605" i="3"/>
  <c r="B606" i="3"/>
  <c r="D606" i="3" s="1"/>
  <c r="B607" i="3"/>
  <c r="D607" i="3" s="1"/>
  <c r="B608" i="3"/>
  <c r="D608" i="3" s="1"/>
  <c r="B609" i="3"/>
  <c r="D609" i="3" s="1"/>
  <c r="B610" i="3"/>
  <c r="B611" i="3"/>
  <c r="D611" i="3" s="1"/>
  <c r="B612" i="3"/>
  <c r="D612" i="3" s="1"/>
  <c r="B613" i="3"/>
  <c r="D613" i="3" s="1"/>
  <c r="B614" i="3"/>
  <c r="D614" i="3" s="1"/>
  <c r="B615" i="3"/>
  <c r="D615" i="3" s="1"/>
  <c r="B616" i="3"/>
  <c r="D616" i="3" s="1"/>
  <c r="B617" i="3"/>
  <c r="B618" i="3"/>
  <c r="D618" i="3" s="1"/>
  <c r="B619" i="3"/>
  <c r="D619" i="3" s="1"/>
  <c r="B620" i="3"/>
  <c r="B621" i="3"/>
  <c r="D621" i="3" s="1"/>
  <c r="B622" i="3"/>
  <c r="D622" i="3" s="1"/>
  <c r="B623" i="3"/>
  <c r="D623" i="3" s="1"/>
  <c r="B624" i="3"/>
  <c r="D624" i="3" s="1"/>
  <c r="B625" i="3"/>
  <c r="D625" i="3" s="1"/>
  <c r="B626" i="3"/>
  <c r="D626" i="3" s="1"/>
  <c r="B627" i="3"/>
  <c r="D627" i="3" s="1"/>
  <c r="B628" i="3"/>
  <c r="D628" i="3" s="1"/>
  <c r="B629" i="3"/>
  <c r="B630" i="3"/>
  <c r="D630" i="3" s="1"/>
  <c r="B631" i="3"/>
  <c r="D631" i="3" s="1"/>
  <c r="B632" i="3"/>
  <c r="D632" i="3" s="1"/>
  <c r="B633" i="3"/>
  <c r="D633" i="3" s="1"/>
  <c r="B634" i="3"/>
  <c r="D634" i="3" s="1"/>
  <c r="B635" i="3"/>
  <c r="B636" i="3"/>
  <c r="B637" i="3"/>
  <c r="D637" i="3" s="1"/>
  <c r="B638" i="3"/>
  <c r="D638" i="3" s="1"/>
  <c r="B639" i="3"/>
  <c r="D639" i="3" s="1"/>
  <c r="B640" i="3"/>
  <c r="D640" i="3" s="1"/>
  <c r="B641" i="3"/>
  <c r="B642" i="3"/>
  <c r="D642" i="3" s="1"/>
  <c r="B643" i="3"/>
  <c r="B644" i="3"/>
  <c r="D644" i="3" s="1"/>
  <c r="B645" i="3"/>
  <c r="B646" i="3"/>
  <c r="D646" i="3" s="1"/>
  <c r="B647" i="3"/>
  <c r="D647" i="3" s="1"/>
  <c r="B648" i="3"/>
  <c r="D648" i="3" s="1"/>
  <c r="B649" i="3"/>
  <c r="D649" i="3" s="1"/>
  <c r="B650" i="3"/>
  <c r="D650" i="3" s="1"/>
  <c r="B651" i="3"/>
  <c r="D651" i="3" s="1"/>
  <c r="B652" i="3"/>
  <c r="D652" i="3" s="1"/>
  <c r="B653" i="3"/>
  <c r="B654" i="3"/>
  <c r="D654" i="3" s="1"/>
  <c r="B655" i="3"/>
  <c r="D655" i="3" s="1"/>
  <c r="B656" i="3"/>
  <c r="D656" i="3" s="1"/>
  <c r="B657" i="3"/>
  <c r="B658" i="3"/>
  <c r="D658" i="3" s="1"/>
  <c r="B659" i="3"/>
  <c r="D659" i="3" s="1"/>
  <c r="B660" i="3"/>
  <c r="D660" i="3" s="1"/>
  <c r="B661" i="3"/>
  <c r="D661" i="3" s="1"/>
  <c r="B662" i="3"/>
  <c r="D662" i="3" s="1"/>
  <c r="B663" i="3"/>
  <c r="D663" i="3" s="1"/>
  <c r="B664" i="3"/>
  <c r="D664" i="3" s="1"/>
  <c r="B665" i="3"/>
  <c r="D665" i="3" s="1"/>
  <c r="B666" i="3"/>
  <c r="B667" i="3"/>
  <c r="B668" i="3"/>
  <c r="D668" i="3" s="1"/>
  <c r="B669" i="3"/>
  <c r="D669" i="3" s="1"/>
  <c r="B670" i="3"/>
  <c r="D670" i="3" s="1"/>
  <c r="B671" i="3"/>
  <c r="D671" i="3" s="1"/>
  <c r="B672" i="3"/>
  <c r="B673" i="3"/>
  <c r="D673" i="3" s="1"/>
  <c r="B674" i="3"/>
  <c r="D674" i="3" s="1"/>
  <c r="B675" i="3"/>
  <c r="D675" i="3" s="1"/>
  <c r="B676" i="3"/>
  <c r="D676" i="3" s="1"/>
  <c r="B677" i="3"/>
  <c r="D677" i="3" s="1"/>
  <c r="B678" i="3"/>
  <c r="D678" i="3" s="1"/>
  <c r="B679" i="3"/>
  <c r="D679" i="3" s="1"/>
  <c r="B680" i="3"/>
  <c r="B681" i="3"/>
  <c r="B682" i="3"/>
  <c r="D682" i="3" s="1"/>
  <c r="B683" i="3"/>
  <c r="D683" i="3" s="1"/>
  <c r="B684" i="3"/>
  <c r="D684" i="3" s="1"/>
  <c r="B685" i="3"/>
  <c r="D685" i="3" s="1"/>
  <c r="B686" i="3"/>
  <c r="D686" i="3" s="1"/>
  <c r="B687" i="3"/>
  <c r="D687" i="3" s="1"/>
  <c r="B688" i="3"/>
  <c r="D688" i="3" s="1"/>
  <c r="B689" i="3"/>
  <c r="D689" i="3" s="1"/>
  <c r="B690" i="3"/>
  <c r="B691" i="3"/>
  <c r="B692" i="3"/>
  <c r="D692" i="3" s="1"/>
  <c r="B693" i="3"/>
  <c r="D693" i="3" s="1"/>
  <c r="B694" i="3"/>
  <c r="D694" i="3" s="1"/>
  <c r="B695" i="3"/>
  <c r="D695" i="3" s="1"/>
  <c r="B696" i="3"/>
  <c r="D696" i="3" s="1"/>
  <c r="B697" i="3"/>
  <c r="D697" i="3" s="1"/>
  <c r="B698" i="3"/>
  <c r="D698" i="3" s="1"/>
  <c r="B699" i="3"/>
  <c r="D699" i="3" s="1"/>
  <c r="B700" i="3"/>
  <c r="B701" i="3"/>
  <c r="B702" i="3"/>
  <c r="B703" i="3"/>
  <c r="D703" i="3" s="1"/>
  <c r="B704" i="3"/>
  <c r="D704" i="3" s="1"/>
  <c r="B705" i="3"/>
  <c r="B706" i="3"/>
  <c r="B707" i="3"/>
  <c r="D707" i="3" s="1"/>
  <c r="B708" i="3"/>
  <c r="D708" i="3" s="1"/>
  <c r="B709" i="3"/>
  <c r="D709" i="3" s="1"/>
  <c r="B710" i="3"/>
  <c r="D710" i="3" s="1"/>
  <c r="B711" i="3"/>
  <c r="D711" i="3" s="1"/>
  <c r="B712" i="3"/>
  <c r="D712" i="3" s="1"/>
  <c r="B713" i="3"/>
  <c r="B714" i="3"/>
  <c r="D714" i="3" s="1"/>
  <c r="B715" i="3"/>
  <c r="D715" i="3" s="1"/>
  <c r="B716" i="3"/>
  <c r="D716" i="3" s="1"/>
  <c r="B717" i="3"/>
  <c r="B718" i="3"/>
  <c r="D718" i="3" s="1"/>
  <c r="B719" i="3"/>
  <c r="D719" i="3" s="1"/>
  <c r="B720" i="3"/>
  <c r="D720" i="3" s="1"/>
  <c r="B721" i="3"/>
  <c r="D721" i="3" s="1"/>
  <c r="B722" i="3"/>
  <c r="D722" i="3" s="1"/>
  <c r="B723" i="3"/>
  <c r="D723" i="3" s="1"/>
  <c r="B724" i="3"/>
  <c r="D724" i="3" s="1"/>
  <c r="B725" i="3"/>
  <c r="B726" i="3"/>
  <c r="B727" i="3"/>
  <c r="D727" i="3" s="1"/>
  <c r="B728" i="3"/>
  <c r="D728" i="3" s="1"/>
  <c r="B729" i="3"/>
  <c r="D729" i="3" s="1"/>
  <c r="B730" i="3"/>
  <c r="D730" i="3" s="1"/>
  <c r="B731" i="3"/>
  <c r="D731" i="3" s="1"/>
  <c r="B732" i="3"/>
  <c r="D732" i="3" s="1"/>
  <c r="B733" i="3"/>
  <c r="D733" i="3" s="1"/>
  <c r="B734" i="3"/>
  <c r="D734" i="3" s="1"/>
  <c r="B735" i="3"/>
  <c r="D735" i="3" s="1"/>
  <c r="B736" i="3"/>
  <c r="D736" i="3" s="1"/>
  <c r="B737" i="3"/>
  <c r="D737" i="3" s="1"/>
  <c r="B738" i="3"/>
  <c r="B739" i="3"/>
  <c r="D739" i="3" s="1"/>
  <c r="B740" i="3"/>
  <c r="D740" i="3" s="1"/>
  <c r="B741" i="3"/>
  <c r="B742" i="3"/>
  <c r="B743" i="3"/>
  <c r="D743" i="3" s="1"/>
  <c r="B744" i="3"/>
  <c r="D744" i="3" s="1"/>
  <c r="B745" i="3"/>
  <c r="D745" i="3" s="1"/>
  <c r="B746" i="3"/>
  <c r="D746" i="3" s="1"/>
  <c r="B747" i="3"/>
  <c r="D747" i="3" s="1"/>
  <c r="B748" i="3"/>
  <c r="D748" i="3" s="1"/>
  <c r="B749" i="3"/>
  <c r="B750" i="3"/>
  <c r="D750" i="3" s="1"/>
  <c r="B751" i="3"/>
  <c r="B752" i="3"/>
  <c r="D752" i="3" s="1"/>
  <c r="B753" i="3"/>
  <c r="B754" i="3"/>
  <c r="D754" i="3" s="1"/>
  <c r="B755" i="3"/>
  <c r="D755" i="3" s="1"/>
  <c r="B756" i="3"/>
  <c r="D756" i="3" s="1"/>
  <c r="B757" i="3"/>
  <c r="D757" i="3" s="1"/>
  <c r="B758" i="3"/>
  <c r="D758" i="3" s="1"/>
  <c r="B759" i="3"/>
  <c r="D759" i="3" s="1"/>
  <c r="B760" i="3"/>
  <c r="D760" i="3" s="1"/>
  <c r="B761" i="3"/>
  <c r="B762" i="3"/>
  <c r="D762" i="3" s="1"/>
  <c r="B763" i="3"/>
  <c r="B764" i="3"/>
  <c r="D764" i="3" s="1"/>
  <c r="B765" i="3"/>
  <c r="D765" i="3" s="1"/>
  <c r="B766" i="3"/>
  <c r="D766" i="3" s="1"/>
  <c r="B767" i="3"/>
  <c r="D767" i="3" s="1"/>
  <c r="B768" i="3"/>
  <c r="D768" i="3" s="1"/>
  <c r="B769" i="3"/>
  <c r="D769" i="3" s="1"/>
  <c r="B770" i="3"/>
  <c r="D770" i="3" s="1"/>
  <c r="B771" i="3"/>
  <c r="D771" i="3" s="1"/>
  <c r="B772" i="3"/>
  <c r="D772" i="3" s="1"/>
  <c r="B773" i="3"/>
  <c r="B774" i="3"/>
  <c r="D774" i="3" s="1"/>
  <c r="B775" i="3"/>
  <c r="D775" i="3" s="1"/>
  <c r="B776" i="3"/>
  <c r="D776" i="3" s="1"/>
  <c r="B777" i="3"/>
  <c r="B778" i="3"/>
  <c r="D778" i="3" s="1"/>
  <c r="B779" i="3"/>
  <c r="D779" i="3" s="1"/>
  <c r="B780" i="3"/>
  <c r="D780" i="3" s="1"/>
  <c r="B781" i="3"/>
  <c r="D781" i="3" s="1"/>
  <c r="B782" i="3"/>
  <c r="D782" i="3" s="1"/>
  <c r="B783" i="3"/>
  <c r="D783" i="3" s="1"/>
  <c r="B784" i="3"/>
  <c r="D784" i="3" s="1"/>
  <c r="B785" i="3"/>
  <c r="B786" i="3"/>
  <c r="D786" i="3" s="1"/>
  <c r="B787" i="3"/>
  <c r="D787" i="3" s="1"/>
  <c r="B788" i="3"/>
  <c r="B789" i="3"/>
  <c r="B790" i="3"/>
  <c r="D790" i="3" s="1"/>
  <c r="B791" i="3"/>
  <c r="D791" i="3" s="1"/>
  <c r="B792" i="3"/>
  <c r="D792" i="3" s="1"/>
  <c r="B793" i="3"/>
  <c r="D793" i="3" s="1"/>
  <c r="B794" i="3"/>
  <c r="D794" i="3" s="1"/>
  <c r="B795" i="3"/>
  <c r="D795" i="3" s="1"/>
  <c r="B796" i="3"/>
  <c r="D796" i="3" s="1"/>
  <c r="B797" i="3"/>
  <c r="B798" i="3"/>
  <c r="B799" i="3"/>
  <c r="D799" i="3" s="1"/>
  <c r="B800" i="3"/>
  <c r="D800" i="3" s="1"/>
  <c r="B801" i="3"/>
  <c r="D801" i="3" s="1"/>
  <c r="B802" i="3"/>
  <c r="D802" i="3" s="1"/>
  <c r="B803" i="3"/>
  <c r="D803" i="3" s="1"/>
  <c r="B804" i="3"/>
  <c r="D804" i="3" s="1"/>
  <c r="B805" i="3"/>
  <c r="D805" i="3" s="1"/>
  <c r="B806" i="3"/>
  <c r="D806" i="3" s="1"/>
  <c r="B807" i="3"/>
  <c r="D807" i="3" s="1"/>
  <c r="B808" i="3"/>
  <c r="D808" i="3" s="1"/>
  <c r="B809" i="3"/>
  <c r="D809" i="3" s="1"/>
  <c r="B810" i="3"/>
  <c r="D810" i="3" s="1"/>
  <c r="B811" i="3"/>
  <c r="D811" i="3" s="1"/>
  <c r="B812" i="3"/>
  <c r="D812" i="3" s="1"/>
  <c r="B813" i="3"/>
  <c r="D813" i="3" s="1"/>
  <c r="B814" i="3"/>
  <c r="B815" i="3"/>
  <c r="B816" i="3"/>
  <c r="D816" i="3" s="1"/>
  <c r="B817" i="3"/>
  <c r="D817" i="3" s="1"/>
  <c r="B818" i="3"/>
  <c r="D818" i="3" s="1"/>
  <c r="B819" i="3"/>
  <c r="D819" i="3" s="1"/>
  <c r="B820" i="3"/>
  <c r="D820" i="3" s="1"/>
  <c r="B821" i="3"/>
  <c r="B822" i="3"/>
  <c r="B823" i="3"/>
  <c r="B824" i="3"/>
  <c r="D824" i="3" s="1"/>
  <c r="B825" i="3"/>
  <c r="B826" i="3"/>
  <c r="D826" i="3" s="1"/>
  <c r="B827" i="3"/>
  <c r="D827" i="3" s="1"/>
  <c r="B828" i="3"/>
  <c r="D828" i="3" s="1"/>
  <c r="B829" i="3"/>
  <c r="D829" i="3" s="1"/>
  <c r="B830" i="3"/>
  <c r="D830" i="3" s="1"/>
  <c r="B831" i="3"/>
  <c r="D831" i="3" s="1"/>
  <c r="B832" i="3"/>
  <c r="D832" i="3" s="1"/>
  <c r="B833" i="3"/>
  <c r="B834" i="3"/>
  <c r="D834" i="3" s="1"/>
  <c r="B835" i="3"/>
  <c r="D835" i="3" s="1"/>
  <c r="B836" i="3"/>
  <c r="D836" i="3" s="1"/>
  <c r="B837" i="3"/>
  <c r="D837" i="3" s="1"/>
  <c r="B838" i="3"/>
  <c r="D838" i="3" s="1"/>
  <c r="B839" i="3"/>
  <c r="B840" i="3"/>
  <c r="D840" i="3" s="1"/>
  <c r="B841" i="3"/>
  <c r="D841" i="3" s="1"/>
  <c r="B842" i="3"/>
  <c r="D842" i="3" s="1"/>
  <c r="B843" i="3"/>
  <c r="D843" i="3" s="1"/>
  <c r="B844" i="3"/>
  <c r="D844" i="3" s="1"/>
  <c r="B845" i="3"/>
  <c r="B846" i="3"/>
  <c r="D846" i="3" s="1"/>
  <c r="B847" i="3"/>
  <c r="D847" i="3" s="1"/>
  <c r="B848" i="3"/>
  <c r="D848" i="3" s="1"/>
  <c r="B849" i="3"/>
  <c r="B850" i="3"/>
  <c r="D850" i="3" s="1"/>
  <c r="B851" i="3"/>
  <c r="D851" i="3" s="1"/>
  <c r="B852" i="3"/>
  <c r="D852" i="3" s="1"/>
  <c r="B853" i="3"/>
  <c r="D853" i="3" s="1"/>
  <c r="B854" i="3"/>
  <c r="D854" i="3" s="1"/>
  <c r="B855" i="3"/>
  <c r="D855" i="3" s="1"/>
  <c r="B856" i="3"/>
  <c r="D856" i="3" s="1"/>
  <c r="B857" i="3"/>
  <c r="B858" i="3"/>
  <c r="D858" i="3" s="1"/>
  <c r="B859" i="3"/>
  <c r="B860" i="3"/>
  <c r="B861" i="3"/>
  <c r="B862" i="3"/>
  <c r="D862" i="3" s="1"/>
  <c r="B863" i="3"/>
  <c r="D863" i="3" s="1"/>
  <c r="B864" i="3"/>
  <c r="D864" i="3" s="1"/>
  <c r="B865" i="3"/>
  <c r="D865" i="3" s="1"/>
  <c r="B866" i="3"/>
  <c r="D866" i="3" s="1"/>
  <c r="B867" i="3"/>
  <c r="D867" i="3" s="1"/>
  <c r="B868" i="3"/>
  <c r="D868" i="3" s="1"/>
  <c r="B869" i="3"/>
  <c r="B870" i="3"/>
  <c r="D870" i="3" s="1"/>
  <c r="B871" i="3"/>
  <c r="D871" i="3" s="1"/>
  <c r="B872" i="3"/>
  <c r="D872" i="3" s="1"/>
  <c r="B873" i="3"/>
  <c r="D873" i="3" s="1"/>
  <c r="B874" i="3"/>
  <c r="D874" i="3" s="1"/>
  <c r="B875" i="3"/>
  <c r="D875" i="3" s="1"/>
  <c r="B876" i="3"/>
  <c r="D876" i="3" s="1"/>
  <c r="B877" i="3"/>
  <c r="D877" i="3" s="1"/>
  <c r="B878" i="3"/>
  <c r="D878" i="3" s="1"/>
  <c r="B879" i="3"/>
  <c r="D879" i="3" s="1"/>
  <c r="B880" i="3"/>
  <c r="D880" i="3" s="1"/>
  <c r="B881" i="3"/>
  <c r="B882" i="3"/>
  <c r="B883" i="3"/>
  <c r="D883" i="3" s="1"/>
  <c r="B884" i="3"/>
  <c r="D884" i="3" s="1"/>
  <c r="B885" i="3"/>
  <c r="D885" i="3" s="1"/>
  <c r="B886" i="3"/>
  <c r="B887" i="3"/>
  <c r="D887" i="3" s="1"/>
  <c r="B888" i="3"/>
  <c r="D888" i="3" s="1"/>
  <c r="B889" i="3"/>
  <c r="D889" i="3" s="1"/>
  <c r="B890" i="3"/>
  <c r="D890" i="3" s="1"/>
  <c r="B891" i="3"/>
  <c r="D891" i="3" s="1"/>
  <c r="B892" i="3"/>
  <c r="B893" i="3"/>
  <c r="D893" i="3" s="1"/>
  <c r="B894" i="3"/>
  <c r="D894" i="3" s="1"/>
  <c r="B895" i="3"/>
  <c r="B896" i="3"/>
  <c r="B897" i="3"/>
  <c r="B898" i="3"/>
  <c r="D898" i="3" s="1"/>
  <c r="B899" i="3"/>
  <c r="D899" i="3" s="1"/>
  <c r="B900" i="3"/>
  <c r="D900" i="3" s="1"/>
  <c r="B901" i="3"/>
  <c r="D901" i="3" s="1"/>
  <c r="B902" i="3"/>
  <c r="D902" i="3" s="1"/>
  <c r="B903" i="3"/>
  <c r="D903" i="3" s="1"/>
  <c r="B904" i="3"/>
  <c r="D904" i="3" s="1"/>
  <c r="B905" i="3"/>
  <c r="D905" i="3" s="1"/>
  <c r="B906" i="3"/>
  <c r="D906" i="3" s="1"/>
  <c r="B907" i="3"/>
  <c r="D907" i="3" s="1"/>
  <c r="B908" i="3"/>
  <c r="D908" i="3" s="1"/>
  <c r="B909" i="3"/>
  <c r="D909" i="3" s="1"/>
  <c r="B910" i="3"/>
  <c r="D910" i="3" s="1"/>
  <c r="B911" i="3"/>
  <c r="D911" i="3" s="1"/>
  <c r="B912" i="3"/>
  <c r="D912" i="3" s="1"/>
  <c r="B913" i="3"/>
  <c r="D913" i="3" s="1"/>
  <c r="B914" i="3"/>
  <c r="D914" i="3" s="1"/>
  <c r="B915" i="3"/>
  <c r="D915" i="3" s="1"/>
  <c r="B916" i="3"/>
  <c r="D916" i="3" s="1"/>
  <c r="B917" i="3"/>
  <c r="D917" i="3" s="1"/>
  <c r="B918" i="3"/>
  <c r="D918" i="3" s="1"/>
  <c r="B919" i="3"/>
  <c r="D919" i="3" s="1"/>
  <c r="B920" i="3"/>
  <c r="D920" i="3" s="1"/>
  <c r="B921" i="3"/>
  <c r="D552" i="3"/>
  <c r="F3" i="3"/>
  <c r="N3" i="3" s="1"/>
  <c r="F4" i="3"/>
  <c r="N4" i="3" s="1"/>
  <c r="F5" i="3"/>
  <c r="N5" i="3" s="1"/>
  <c r="F6" i="3"/>
  <c r="N6" i="3" s="1"/>
  <c r="F7" i="3"/>
  <c r="N7" i="3" s="1"/>
  <c r="F8" i="3"/>
  <c r="N8" i="3" s="1"/>
  <c r="F9" i="3"/>
  <c r="N9" i="3" s="1"/>
  <c r="F10" i="3"/>
  <c r="N10" i="3" s="1"/>
  <c r="F11" i="3"/>
  <c r="N11" i="3" s="1"/>
  <c r="F12" i="3"/>
  <c r="F13" i="3"/>
  <c r="N13" i="3" s="1"/>
  <c r="F14" i="3"/>
  <c r="N14" i="3" s="1"/>
  <c r="F15" i="3"/>
  <c r="N15" i="3" s="1"/>
  <c r="F16" i="3"/>
  <c r="N16" i="3" s="1"/>
  <c r="F17" i="3"/>
  <c r="N17" i="3" s="1"/>
  <c r="F18" i="3"/>
  <c r="N18" i="3" s="1"/>
  <c r="F19" i="3"/>
  <c r="N19" i="3" s="1"/>
  <c r="F20" i="3"/>
  <c r="N20" i="3" s="1"/>
  <c r="F21" i="3"/>
  <c r="N21" i="3" s="1"/>
  <c r="F22" i="3"/>
  <c r="N22" i="3" s="1"/>
  <c r="F23" i="3"/>
  <c r="N23" i="3" s="1"/>
  <c r="F24" i="3"/>
  <c r="N24" i="3" s="1"/>
  <c r="F25" i="3"/>
  <c r="N25" i="3" s="1"/>
  <c r="F26" i="3"/>
  <c r="N26" i="3" s="1"/>
  <c r="F27" i="3"/>
  <c r="N27" i="3" s="1"/>
  <c r="F28" i="3"/>
  <c r="N28" i="3" s="1"/>
  <c r="F29" i="3"/>
  <c r="F30" i="3"/>
  <c r="N30" i="3" s="1"/>
  <c r="F31" i="3"/>
  <c r="N31" i="3" s="1"/>
  <c r="F32" i="3"/>
  <c r="N32" i="3" s="1"/>
  <c r="F33" i="3"/>
  <c r="N33" i="3" s="1"/>
  <c r="F34" i="3"/>
  <c r="N34" i="3" s="1"/>
  <c r="F35" i="3"/>
  <c r="N35" i="3" s="1"/>
  <c r="F36" i="3"/>
  <c r="N36" i="3" s="1"/>
  <c r="F37" i="3"/>
  <c r="N37" i="3" s="1"/>
  <c r="F38" i="3"/>
  <c r="N38" i="3" s="1"/>
  <c r="F39" i="3"/>
  <c r="N39" i="3" s="1"/>
  <c r="F40" i="3"/>
  <c r="N40" i="3" s="1"/>
  <c r="F41" i="3"/>
  <c r="N41" i="3" s="1"/>
  <c r="F42" i="3"/>
  <c r="N42" i="3" s="1"/>
  <c r="F43" i="3"/>
  <c r="N43" i="3" s="1"/>
  <c r="F44" i="3"/>
  <c r="N44" i="3" s="1"/>
  <c r="F45" i="3"/>
  <c r="N45" i="3" s="1"/>
  <c r="F46" i="3"/>
  <c r="N46" i="3" s="1"/>
  <c r="F47" i="3"/>
  <c r="N47" i="3" s="1"/>
  <c r="F48" i="3"/>
  <c r="N48" i="3" s="1"/>
  <c r="F49" i="3"/>
  <c r="N49" i="3" s="1"/>
  <c r="F50" i="3"/>
  <c r="N50" i="3" s="1"/>
  <c r="F51" i="3"/>
  <c r="N51" i="3" s="1"/>
  <c r="F52" i="3"/>
  <c r="N52" i="3" s="1"/>
  <c r="F53" i="3"/>
  <c r="N53" i="3" s="1"/>
  <c r="F54" i="3"/>
  <c r="N54" i="3" s="1"/>
  <c r="F55" i="3"/>
  <c r="N55" i="3" s="1"/>
  <c r="F56" i="3"/>
  <c r="N56" i="3" s="1"/>
  <c r="F57" i="3"/>
  <c r="N57" i="3" s="1"/>
  <c r="F58" i="3"/>
  <c r="N58" i="3" s="1"/>
  <c r="F59" i="3"/>
  <c r="N59" i="3" s="1"/>
  <c r="F60" i="3"/>
  <c r="N60" i="3" s="1"/>
  <c r="F61" i="3"/>
  <c r="N61" i="3" s="1"/>
  <c r="F62" i="3"/>
  <c r="N62" i="3" s="1"/>
  <c r="F63" i="3"/>
  <c r="N63" i="3" s="1"/>
  <c r="F64" i="3"/>
  <c r="N64" i="3" s="1"/>
  <c r="F65" i="3"/>
  <c r="N65" i="3" s="1"/>
  <c r="F66" i="3"/>
  <c r="N66" i="3" s="1"/>
  <c r="F67" i="3"/>
  <c r="N67" i="3" s="1"/>
  <c r="F68" i="3"/>
  <c r="N68" i="3" s="1"/>
  <c r="F69" i="3"/>
  <c r="N69" i="3" s="1"/>
  <c r="F70" i="3"/>
  <c r="N70" i="3" s="1"/>
  <c r="F71" i="3"/>
  <c r="N71" i="3" s="1"/>
  <c r="F72" i="3"/>
  <c r="N72" i="3" s="1"/>
  <c r="F73" i="3"/>
  <c r="N73" i="3" s="1"/>
  <c r="F74" i="3"/>
  <c r="N74" i="3" s="1"/>
  <c r="F75" i="3"/>
  <c r="N75" i="3" s="1"/>
  <c r="F76" i="3"/>
  <c r="N76" i="3" s="1"/>
  <c r="F77" i="3"/>
  <c r="N77" i="3" s="1"/>
  <c r="F78" i="3"/>
  <c r="N78" i="3" s="1"/>
  <c r="F79" i="3"/>
  <c r="N79" i="3" s="1"/>
  <c r="F80" i="3"/>
  <c r="N80" i="3" s="1"/>
  <c r="F81" i="3"/>
  <c r="N81" i="3" s="1"/>
  <c r="F82" i="3"/>
  <c r="N82" i="3" s="1"/>
  <c r="F83" i="3"/>
  <c r="N83" i="3" s="1"/>
  <c r="F84" i="3"/>
  <c r="N84" i="3" s="1"/>
  <c r="F85" i="3"/>
  <c r="N85" i="3" s="1"/>
  <c r="F86" i="3"/>
  <c r="N86" i="3" s="1"/>
  <c r="F87" i="3"/>
  <c r="N87" i="3" s="1"/>
  <c r="F88" i="3"/>
  <c r="N88" i="3" s="1"/>
  <c r="F89" i="3"/>
  <c r="N89" i="3" s="1"/>
  <c r="F90" i="3"/>
  <c r="N90" i="3" s="1"/>
  <c r="F91" i="3"/>
  <c r="N91" i="3" s="1"/>
  <c r="F92" i="3"/>
  <c r="N92" i="3" s="1"/>
  <c r="F93" i="3"/>
  <c r="N93" i="3" s="1"/>
  <c r="F94" i="3"/>
  <c r="N94" i="3" s="1"/>
  <c r="F95" i="3"/>
  <c r="N95" i="3" s="1"/>
  <c r="F96" i="3"/>
  <c r="N96" i="3" s="1"/>
  <c r="F97" i="3"/>
  <c r="N97" i="3" s="1"/>
  <c r="F98" i="3"/>
  <c r="N98" i="3" s="1"/>
  <c r="F99" i="3"/>
  <c r="N99" i="3" s="1"/>
  <c r="F100" i="3"/>
  <c r="N100" i="3" s="1"/>
  <c r="F101" i="3"/>
  <c r="N101" i="3" s="1"/>
  <c r="F102" i="3"/>
  <c r="N102" i="3" s="1"/>
  <c r="F103" i="3"/>
  <c r="N103" i="3" s="1"/>
  <c r="F104" i="3"/>
  <c r="N104" i="3" s="1"/>
  <c r="F105" i="3"/>
  <c r="N105" i="3" s="1"/>
  <c r="F106" i="3"/>
  <c r="N106" i="3" s="1"/>
  <c r="F107" i="3"/>
  <c r="N107" i="3" s="1"/>
  <c r="F108" i="3"/>
  <c r="N108" i="3" s="1"/>
  <c r="F109" i="3"/>
  <c r="N109" i="3" s="1"/>
  <c r="F110" i="3"/>
  <c r="N110" i="3" s="1"/>
  <c r="F111" i="3"/>
  <c r="N111" i="3" s="1"/>
  <c r="F112" i="3"/>
  <c r="N112" i="3" s="1"/>
  <c r="F113" i="3"/>
  <c r="N113" i="3" s="1"/>
  <c r="F114" i="3"/>
  <c r="N114" i="3" s="1"/>
  <c r="F115" i="3"/>
  <c r="N115" i="3" s="1"/>
  <c r="F116" i="3"/>
  <c r="N116" i="3" s="1"/>
  <c r="F117" i="3"/>
  <c r="N117" i="3" s="1"/>
  <c r="F118" i="3"/>
  <c r="N118" i="3" s="1"/>
  <c r="F119" i="3"/>
  <c r="N119" i="3" s="1"/>
  <c r="F120" i="3"/>
  <c r="N120" i="3" s="1"/>
  <c r="F121" i="3"/>
  <c r="N121" i="3" s="1"/>
  <c r="F122" i="3"/>
  <c r="N122" i="3" s="1"/>
  <c r="F123" i="3"/>
  <c r="N123" i="3" s="1"/>
  <c r="F124" i="3"/>
  <c r="N124" i="3" s="1"/>
  <c r="F125" i="3"/>
  <c r="N125" i="3" s="1"/>
  <c r="F126" i="3"/>
  <c r="N126" i="3" s="1"/>
  <c r="F127" i="3"/>
  <c r="N127" i="3" s="1"/>
  <c r="F128" i="3"/>
  <c r="N128" i="3" s="1"/>
  <c r="F129" i="3"/>
  <c r="N129" i="3" s="1"/>
  <c r="F130" i="3"/>
  <c r="N130" i="3" s="1"/>
  <c r="F131" i="3"/>
  <c r="N131" i="3" s="1"/>
  <c r="F132" i="3"/>
  <c r="N132" i="3" s="1"/>
  <c r="F133" i="3"/>
  <c r="N133" i="3" s="1"/>
  <c r="F134" i="3"/>
  <c r="N134" i="3" s="1"/>
  <c r="F135" i="3"/>
  <c r="N135" i="3" s="1"/>
  <c r="F136" i="3"/>
  <c r="N136" i="3" s="1"/>
  <c r="F137" i="3"/>
  <c r="N137" i="3" s="1"/>
  <c r="F138" i="3"/>
  <c r="N138" i="3" s="1"/>
  <c r="F139" i="3"/>
  <c r="N139" i="3" s="1"/>
  <c r="F140" i="3"/>
  <c r="N140" i="3" s="1"/>
  <c r="F141" i="3"/>
  <c r="N141" i="3" s="1"/>
  <c r="F142" i="3"/>
  <c r="N142" i="3" s="1"/>
  <c r="F143" i="3"/>
  <c r="N143" i="3" s="1"/>
  <c r="F144" i="3"/>
  <c r="N144" i="3" s="1"/>
  <c r="F145" i="3"/>
  <c r="N145" i="3" s="1"/>
  <c r="F146" i="3"/>
  <c r="N146" i="3" s="1"/>
  <c r="F147" i="3"/>
  <c r="N147" i="3" s="1"/>
  <c r="F148" i="3"/>
  <c r="N148" i="3" s="1"/>
  <c r="F149" i="3"/>
  <c r="N149" i="3" s="1"/>
  <c r="F150" i="3"/>
  <c r="N150" i="3" s="1"/>
  <c r="F151" i="3"/>
  <c r="N151" i="3" s="1"/>
  <c r="F152" i="3"/>
  <c r="N152" i="3" s="1"/>
  <c r="F153" i="3"/>
  <c r="N153" i="3" s="1"/>
  <c r="F154" i="3"/>
  <c r="N154" i="3" s="1"/>
  <c r="F155" i="3"/>
  <c r="N155" i="3" s="1"/>
  <c r="F156" i="3"/>
  <c r="N156" i="3" s="1"/>
  <c r="F157" i="3"/>
  <c r="N157" i="3" s="1"/>
  <c r="F158" i="3"/>
  <c r="N158" i="3" s="1"/>
  <c r="F159" i="3"/>
  <c r="N159" i="3" s="1"/>
  <c r="F160" i="3"/>
  <c r="N160" i="3" s="1"/>
  <c r="F161" i="3"/>
  <c r="N161" i="3" s="1"/>
  <c r="F162" i="3"/>
  <c r="N162" i="3" s="1"/>
  <c r="F163" i="3"/>
  <c r="N163" i="3" s="1"/>
  <c r="F164" i="3"/>
  <c r="N164" i="3" s="1"/>
  <c r="F165" i="3"/>
  <c r="N165" i="3" s="1"/>
  <c r="F166" i="3"/>
  <c r="N166" i="3" s="1"/>
  <c r="F167" i="3"/>
  <c r="N167" i="3" s="1"/>
  <c r="F168" i="3"/>
  <c r="N168" i="3" s="1"/>
  <c r="F169" i="3"/>
  <c r="N169" i="3" s="1"/>
  <c r="F170" i="3"/>
  <c r="N170" i="3" s="1"/>
  <c r="F171" i="3"/>
  <c r="N171" i="3" s="1"/>
  <c r="F172" i="3"/>
  <c r="N172" i="3" s="1"/>
  <c r="F173" i="3"/>
  <c r="N173" i="3" s="1"/>
  <c r="F174" i="3"/>
  <c r="N174" i="3" s="1"/>
  <c r="F175" i="3"/>
  <c r="N175" i="3" s="1"/>
  <c r="F176" i="3"/>
  <c r="N176" i="3" s="1"/>
  <c r="F177" i="3"/>
  <c r="N177" i="3" s="1"/>
  <c r="F178" i="3"/>
  <c r="N178" i="3" s="1"/>
  <c r="F179" i="3"/>
  <c r="N179" i="3" s="1"/>
  <c r="F180" i="3"/>
  <c r="N180" i="3" s="1"/>
  <c r="F181" i="3"/>
  <c r="N181" i="3" s="1"/>
  <c r="F182" i="3"/>
  <c r="N182" i="3" s="1"/>
  <c r="F183" i="3"/>
  <c r="N183" i="3" s="1"/>
  <c r="F184" i="3"/>
  <c r="N184" i="3" s="1"/>
  <c r="F185" i="3"/>
  <c r="N185" i="3" s="1"/>
  <c r="F186" i="3"/>
  <c r="N186" i="3" s="1"/>
  <c r="F187" i="3"/>
  <c r="N187" i="3" s="1"/>
  <c r="F188" i="3"/>
  <c r="N188" i="3" s="1"/>
  <c r="F189" i="3"/>
  <c r="N189" i="3" s="1"/>
  <c r="F190" i="3"/>
  <c r="N190" i="3" s="1"/>
  <c r="F191" i="3"/>
  <c r="N191" i="3" s="1"/>
  <c r="F192" i="3"/>
  <c r="N192" i="3" s="1"/>
  <c r="F193" i="3"/>
  <c r="N193" i="3" s="1"/>
  <c r="F194" i="3"/>
  <c r="N194" i="3" s="1"/>
  <c r="F195" i="3"/>
  <c r="N195" i="3" s="1"/>
  <c r="F196" i="3"/>
  <c r="N196" i="3" s="1"/>
  <c r="F197" i="3"/>
  <c r="N197" i="3" s="1"/>
  <c r="F198" i="3"/>
  <c r="N198" i="3" s="1"/>
  <c r="F199" i="3"/>
  <c r="N199" i="3" s="1"/>
  <c r="F200" i="3"/>
  <c r="N200" i="3" s="1"/>
  <c r="F201" i="3"/>
  <c r="N201" i="3" s="1"/>
  <c r="F202" i="3"/>
  <c r="N202" i="3" s="1"/>
  <c r="F203" i="3"/>
  <c r="N203" i="3" s="1"/>
  <c r="F204" i="3"/>
  <c r="N204" i="3" s="1"/>
  <c r="F205" i="3"/>
  <c r="N205" i="3" s="1"/>
  <c r="F206" i="3"/>
  <c r="N206" i="3" s="1"/>
  <c r="F207" i="3"/>
  <c r="N207" i="3" s="1"/>
  <c r="F208" i="3"/>
  <c r="N208" i="3" s="1"/>
  <c r="F209" i="3"/>
  <c r="N209" i="3" s="1"/>
  <c r="F210" i="3"/>
  <c r="N210" i="3" s="1"/>
  <c r="F211" i="3"/>
  <c r="N211" i="3" s="1"/>
  <c r="F212" i="3"/>
  <c r="N212" i="3" s="1"/>
  <c r="F213" i="3"/>
  <c r="N213" i="3" s="1"/>
  <c r="F214" i="3"/>
  <c r="N214" i="3" s="1"/>
  <c r="F215" i="3"/>
  <c r="N215" i="3" s="1"/>
  <c r="F216" i="3"/>
  <c r="N216" i="3" s="1"/>
  <c r="F217" i="3"/>
  <c r="N217" i="3" s="1"/>
  <c r="F218" i="3"/>
  <c r="N218" i="3" s="1"/>
  <c r="F219" i="3"/>
  <c r="N219" i="3" s="1"/>
  <c r="F220" i="3"/>
  <c r="N220" i="3" s="1"/>
  <c r="F221" i="3"/>
  <c r="N221" i="3" s="1"/>
  <c r="F222" i="3"/>
  <c r="N222" i="3" s="1"/>
  <c r="F223" i="3"/>
  <c r="N223" i="3" s="1"/>
  <c r="F224" i="3"/>
  <c r="N224" i="3" s="1"/>
  <c r="F225" i="3"/>
  <c r="N225" i="3" s="1"/>
  <c r="F226" i="3"/>
  <c r="N226" i="3" s="1"/>
  <c r="F227" i="3"/>
  <c r="N227" i="3" s="1"/>
  <c r="F228" i="3"/>
  <c r="N228" i="3" s="1"/>
  <c r="F229" i="3"/>
  <c r="N229" i="3" s="1"/>
  <c r="F230" i="3"/>
  <c r="N230" i="3" s="1"/>
  <c r="F231" i="3"/>
  <c r="N231" i="3" s="1"/>
  <c r="F232" i="3"/>
  <c r="N232" i="3" s="1"/>
  <c r="F233" i="3"/>
  <c r="N233" i="3" s="1"/>
  <c r="F234" i="3"/>
  <c r="N234" i="3" s="1"/>
  <c r="F235" i="3"/>
  <c r="N235" i="3" s="1"/>
  <c r="F236" i="3"/>
  <c r="N236" i="3" s="1"/>
  <c r="F237" i="3"/>
  <c r="N237" i="3" s="1"/>
  <c r="F238" i="3"/>
  <c r="N238" i="3" s="1"/>
  <c r="F239" i="3"/>
  <c r="N239" i="3" s="1"/>
  <c r="F240" i="3"/>
  <c r="N240" i="3" s="1"/>
  <c r="F241" i="3"/>
  <c r="N241" i="3" s="1"/>
  <c r="F242" i="3"/>
  <c r="N242" i="3" s="1"/>
  <c r="F243" i="3"/>
  <c r="N243" i="3" s="1"/>
  <c r="F244" i="3"/>
  <c r="N244" i="3" s="1"/>
  <c r="F245" i="3"/>
  <c r="N245" i="3" s="1"/>
  <c r="F246" i="3"/>
  <c r="N246" i="3" s="1"/>
  <c r="F247" i="3"/>
  <c r="N247" i="3" s="1"/>
  <c r="F248" i="3"/>
  <c r="N248" i="3" s="1"/>
  <c r="F249" i="3"/>
  <c r="N249" i="3" s="1"/>
  <c r="F250" i="3"/>
  <c r="N250" i="3" s="1"/>
  <c r="F251" i="3"/>
  <c r="N251" i="3" s="1"/>
  <c r="F252" i="3"/>
  <c r="N252" i="3" s="1"/>
  <c r="F253" i="3"/>
  <c r="N253" i="3" s="1"/>
  <c r="F254" i="3"/>
  <c r="N254" i="3" s="1"/>
  <c r="F255" i="3"/>
  <c r="N255" i="3" s="1"/>
  <c r="F256" i="3"/>
  <c r="N256" i="3" s="1"/>
  <c r="F257" i="3"/>
  <c r="N257" i="3" s="1"/>
  <c r="F258" i="3"/>
  <c r="N258" i="3" s="1"/>
  <c r="F259" i="3"/>
  <c r="N259" i="3" s="1"/>
  <c r="F260" i="3"/>
  <c r="N260" i="3" s="1"/>
  <c r="F261" i="3"/>
  <c r="N261" i="3" s="1"/>
  <c r="F262" i="3"/>
  <c r="N262" i="3" s="1"/>
  <c r="F263" i="3"/>
  <c r="N263" i="3" s="1"/>
  <c r="F264" i="3"/>
  <c r="N264" i="3" s="1"/>
  <c r="F265" i="3"/>
  <c r="N265" i="3" s="1"/>
  <c r="F266" i="3"/>
  <c r="N266" i="3" s="1"/>
  <c r="F267" i="3"/>
  <c r="N267" i="3" s="1"/>
  <c r="F268" i="3"/>
  <c r="N268" i="3" s="1"/>
  <c r="F269" i="3"/>
  <c r="N269" i="3" s="1"/>
  <c r="F270" i="3"/>
  <c r="N270" i="3" s="1"/>
  <c r="F271" i="3"/>
  <c r="N271" i="3" s="1"/>
  <c r="F272" i="3"/>
  <c r="N272" i="3" s="1"/>
  <c r="F273" i="3"/>
  <c r="N273" i="3" s="1"/>
  <c r="F274" i="3"/>
  <c r="N274" i="3" s="1"/>
  <c r="F275" i="3"/>
  <c r="N275" i="3" s="1"/>
  <c r="F276" i="3"/>
  <c r="N276" i="3" s="1"/>
  <c r="F277" i="3"/>
  <c r="N277" i="3" s="1"/>
  <c r="F278" i="3"/>
  <c r="N278" i="3" s="1"/>
  <c r="F279" i="3"/>
  <c r="N279" i="3" s="1"/>
  <c r="F280" i="3"/>
  <c r="N280" i="3" s="1"/>
  <c r="F281" i="3"/>
  <c r="N281" i="3" s="1"/>
  <c r="F282" i="3"/>
  <c r="N282" i="3" s="1"/>
  <c r="F283" i="3"/>
  <c r="N283" i="3" s="1"/>
  <c r="F284" i="3"/>
  <c r="N284" i="3" s="1"/>
  <c r="F285" i="3"/>
  <c r="N285" i="3" s="1"/>
  <c r="F286" i="3"/>
  <c r="N286" i="3" s="1"/>
  <c r="F287" i="3"/>
  <c r="N287" i="3" s="1"/>
  <c r="F288" i="3"/>
  <c r="N288" i="3" s="1"/>
  <c r="F289" i="3"/>
  <c r="N289" i="3" s="1"/>
  <c r="F290" i="3"/>
  <c r="N290" i="3" s="1"/>
  <c r="F291" i="3"/>
  <c r="N291" i="3" s="1"/>
  <c r="F292" i="3"/>
  <c r="N292" i="3" s="1"/>
  <c r="F293" i="3"/>
  <c r="N293" i="3" s="1"/>
  <c r="F294" i="3"/>
  <c r="N294" i="3" s="1"/>
  <c r="F295" i="3"/>
  <c r="N295" i="3" s="1"/>
  <c r="F296" i="3"/>
  <c r="N296" i="3" s="1"/>
  <c r="F297" i="3"/>
  <c r="N297" i="3" s="1"/>
  <c r="F298" i="3"/>
  <c r="N298" i="3" s="1"/>
  <c r="F299" i="3"/>
  <c r="N299" i="3" s="1"/>
  <c r="F300" i="3"/>
  <c r="F301" i="3"/>
  <c r="N301" i="3" s="1"/>
  <c r="F302" i="3"/>
  <c r="N302" i="3" s="1"/>
  <c r="F303" i="3"/>
  <c r="N303" i="3" s="1"/>
  <c r="F304" i="3"/>
  <c r="N304" i="3" s="1"/>
  <c r="F305" i="3"/>
  <c r="N305" i="3" s="1"/>
  <c r="F306" i="3"/>
  <c r="N306" i="3" s="1"/>
  <c r="F307" i="3"/>
  <c r="N307" i="3" s="1"/>
  <c r="F308" i="3"/>
  <c r="N308" i="3" s="1"/>
  <c r="F309" i="3"/>
  <c r="N309" i="3" s="1"/>
  <c r="F310" i="3"/>
  <c r="N310" i="3" s="1"/>
  <c r="F311" i="3"/>
  <c r="N311" i="3" s="1"/>
  <c r="F312" i="3"/>
  <c r="N312" i="3" s="1"/>
  <c r="F313" i="3"/>
  <c r="N313" i="3" s="1"/>
  <c r="F314" i="3"/>
  <c r="N314" i="3" s="1"/>
  <c r="F315" i="3"/>
  <c r="N315" i="3" s="1"/>
  <c r="F316" i="3"/>
  <c r="N316" i="3" s="1"/>
  <c r="F317" i="3"/>
  <c r="N317" i="3" s="1"/>
  <c r="F318" i="3"/>
  <c r="N318" i="3" s="1"/>
  <c r="F319" i="3"/>
  <c r="N319" i="3" s="1"/>
  <c r="F320" i="3"/>
  <c r="N320" i="3" s="1"/>
  <c r="F321" i="3"/>
  <c r="N321" i="3" s="1"/>
  <c r="F322" i="3"/>
  <c r="N322" i="3" s="1"/>
  <c r="F323" i="3"/>
  <c r="N323" i="3" s="1"/>
  <c r="F324" i="3"/>
  <c r="N324" i="3" s="1"/>
  <c r="F325" i="3"/>
  <c r="N325" i="3" s="1"/>
  <c r="F326" i="3"/>
  <c r="N326" i="3" s="1"/>
  <c r="F327" i="3"/>
  <c r="N327" i="3" s="1"/>
  <c r="F328" i="3"/>
  <c r="N328" i="3" s="1"/>
  <c r="F329" i="3"/>
  <c r="N329" i="3" s="1"/>
  <c r="F330" i="3"/>
  <c r="N330" i="3" s="1"/>
  <c r="F331" i="3"/>
  <c r="N331" i="3" s="1"/>
  <c r="F332" i="3"/>
  <c r="N332" i="3" s="1"/>
  <c r="F333" i="3"/>
  <c r="N333" i="3" s="1"/>
  <c r="F334" i="3"/>
  <c r="N334" i="3" s="1"/>
  <c r="F335" i="3"/>
  <c r="N335" i="3" s="1"/>
  <c r="F336" i="3"/>
  <c r="N336" i="3" s="1"/>
  <c r="F337" i="3"/>
  <c r="N337" i="3" s="1"/>
  <c r="F338" i="3"/>
  <c r="N338" i="3" s="1"/>
  <c r="F339" i="3"/>
  <c r="N339" i="3" s="1"/>
  <c r="F340" i="3"/>
  <c r="N340" i="3" s="1"/>
  <c r="F341" i="3"/>
  <c r="N341" i="3" s="1"/>
  <c r="F342" i="3"/>
  <c r="N342" i="3" s="1"/>
  <c r="F343" i="3"/>
  <c r="N343" i="3" s="1"/>
  <c r="F344" i="3"/>
  <c r="N344" i="3" s="1"/>
  <c r="F345" i="3"/>
  <c r="N345" i="3" s="1"/>
  <c r="F346" i="3"/>
  <c r="N346" i="3" s="1"/>
  <c r="F347" i="3"/>
  <c r="N347" i="3" s="1"/>
  <c r="F348" i="3"/>
  <c r="N348" i="3" s="1"/>
  <c r="F349" i="3"/>
  <c r="N349" i="3" s="1"/>
  <c r="F350" i="3"/>
  <c r="N350" i="3" s="1"/>
  <c r="F351" i="3"/>
  <c r="N351" i="3" s="1"/>
  <c r="F352" i="3"/>
  <c r="N352" i="3" s="1"/>
  <c r="F353" i="3"/>
  <c r="N353" i="3" s="1"/>
  <c r="F354" i="3"/>
  <c r="N354" i="3" s="1"/>
  <c r="F355" i="3"/>
  <c r="N355" i="3" s="1"/>
  <c r="F356" i="3"/>
  <c r="N356" i="3" s="1"/>
  <c r="F357" i="3"/>
  <c r="N357" i="3" s="1"/>
  <c r="F358" i="3"/>
  <c r="N358" i="3" s="1"/>
  <c r="F359" i="3"/>
  <c r="N359" i="3" s="1"/>
  <c r="F360" i="3"/>
  <c r="N360" i="3" s="1"/>
  <c r="F361" i="3"/>
  <c r="N361" i="3" s="1"/>
  <c r="F362" i="3"/>
  <c r="N362" i="3" s="1"/>
  <c r="F363" i="3"/>
  <c r="N363" i="3" s="1"/>
  <c r="F364" i="3"/>
  <c r="N364" i="3" s="1"/>
  <c r="F365" i="3"/>
  <c r="N365" i="3" s="1"/>
  <c r="F366" i="3"/>
  <c r="N366" i="3" s="1"/>
  <c r="F367" i="3"/>
  <c r="N367" i="3" s="1"/>
  <c r="F368" i="3"/>
  <c r="N368" i="3" s="1"/>
  <c r="F369" i="3"/>
  <c r="N369" i="3" s="1"/>
  <c r="F370" i="3"/>
  <c r="N370" i="3" s="1"/>
  <c r="F371" i="3"/>
  <c r="N371" i="3" s="1"/>
  <c r="F372" i="3"/>
  <c r="N372" i="3" s="1"/>
  <c r="F373" i="3"/>
  <c r="N373" i="3" s="1"/>
  <c r="F374" i="3"/>
  <c r="N374" i="3" s="1"/>
  <c r="F375" i="3"/>
  <c r="N375" i="3" s="1"/>
  <c r="F376" i="3"/>
  <c r="N376" i="3" s="1"/>
  <c r="F377" i="3"/>
  <c r="N377" i="3" s="1"/>
  <c r="F378" i="3"/>
  <c r="N378" i="3" s="1"/>
  <c r="F379" i="3"/>
  <c r="N379" i="3" s="1"/>
  <c r="F380" i="3"/>
  <c r="N380" i="3" s="1"/>
  <c r="F381" i="3"/>
  <c r="N381" i="3" s="1"/>
  <c r="F382" i="3"/>
  <c r="N382" i="3" s="1"/>
  <c r="F383" i="3"/>
  <c r="N383" i="3" s="1"/>
  <c r="F384" i="3"/>
  <c r="N384" i="3" s="1"/>
  <c r="F385" i="3"/>
  <c r="N385" i="3" s="1"/>
  <c r="F386" i="3"/>
  <c r="N386" i="3" s="1"/>
  <c r="F387" i="3"/>
  <c r="N387" i="3" s="1"/>
  <c r="F388" i="3"/>
  <c r="N388" i="3" s="1"/>
  <c r="F389" i="3"/>
  <c r="N389" i="3" s="1"/>
  <c r="F390" i="3"/>
  <c r="N390" i="3" s="1"/>
  <c r="F391" i="3"/>
  <c r="N391" i="3" s="1"/>
  <c r="F392" i="3"/>
  <c r="N392" i="3" s="1"/>
  <c r="F393" i="3"/>
  <c r="N393" i="3" s="1"/>
  <c r="F394" i="3"/>
  <c r="N394" i="3" s="1"/>
  <c r="F395" i="3"/>
  <c r="N395" i="3" s="1"/>
  <c r="F396" i="3"/>
  <c r="N396" i="3" s="1"/>
  <c r="F397" i="3"/>
  <c r="N397" i="3" s="1"/>
  <c r="F398" i="3"/>
  <c r="N398" i="3" s="1"/>
  <c r="F399" i="3"/>
  <c r="N399" i="3" s="1"/>
  <c r="F400" i="3"/>
  <c r="N400" i="3" s="1"/>
  <c r="F401" i="3"/>
  <c r="N401" i="3" s="1"/>
  <c r="F402" i="3"/>
  <c r="N402" i="3" s="1"/>
  <c r="F403" i="3"/>
  <c r="N403" i="3" s="1"/>
  <c r="F404" i="3"/>
  <c r="N404" i="3" s="1"/>
  <c r="F405" i="3"/>
  <c r="N405" i="3" s="1"/>
  <c r="F406" i="3"/>
  <c r="N406" i="3" s="1"/>
  <c r="F407" i="3"/>
  <c r="N407" i="3" s="1"/>
  <c r="F408" i="3"/>
  <c r="N408" i="3" s="1"/>
  <c r="F409" i="3"/>
  <c r="N409" i="3" s="1"/>
  <c r="F410" i="3"/>
  <c r="F411" i="3"/>
  <c r="N411" i="3" s="1"/>
  <c r="F412" i="3"/>
  <c r="N412" i="3" s="1"/>
  <c r="F413" i="3"/>
  <c r="N413" i="3" s="1"/>
  <c r="F414" i="3"/>
  <c r="N414" i="3" s="1"/>
  <c r="F415" i="3"/>
  <c r="N415" i="3" s="1"/>
  <c r="F416" i="3"/>
  <c r="N416" i="3" s="1"/>
  <c r="F417" i="3"/>
  <c r="N417" i="3" s="1"/>
  <c r="F418" i="3"/>
  <c r="N418" i="3" s="1"/>
  <c r="F419" i="3"/>
  <c r="N419" i="3" s="1"/>
  <c r="F420" i="3"/>
  <c r="N420" i="3" s="1"/>
  <c r="F421" i="3"/>
  <c r="N421" i="3" s="1"/>
  <c r="F422" i="3"/>
  <c r="N422" i="3" s="1"/>
  <c r="F423" i="3"/>
  <c r="N423" i="3" s="1"/>
  <c r="F424" i="3"/>
  <c r="N424" i="3" s="1"/>
  <c r="F425" i="3"/>
  <c r="N425" i="3" s="1"/>
  <c r="F426" i="3"/>
  <c r="N426" i="3" s="1"/>
  <c r="F427" i="3"/>
  <c r="N427" i="3" s="1"/>
  <c r="F428" i="3"/>
  <c r="N428" i="3" s="1"/>
  <c r="F429" i="3"/>
  <c r="N429" i="3" s="1"/>
  <c r="F430" i="3"/>
  <c r="N430" i="3" s="1"/>
  <c r="F431" i="3"/>
  <c r="N431" i="3" s="1"/>
  <c r="F432" i="3"/>
  <c r="N432" i="3" s="1"/>
  <c r="F433" i="3"/>
  <c r="N433" i="3" s="1"/>
  <c r="F434" i="3"/>
  <c r="N434" i="3" s="1"/>
  <c r="F435" i="3"/>
  <c r="N435" i="3" s="1"/>
  <c r="F436" i="3"/>
  <c r="N436" i="3" s="1"/>
  <c r="F437" i="3"/>
  <c r="N437" i="3" s="1"/>
  <c r="F438" i="3"/>
  <c r="N438" i="3" s="1"/>
  <c r="F439" i="3"/>
  <c r="N439" i="3" s="1"/>
  <c r="F440" i="3"/>
  <c r="N440" i="3" s="1"/>
  <c r="F441" i="3"/>
  <c r="N441" i="3" s="1"/>
  <c r="F442" i="3"/>
  <c r="N442" i="3" s="1"/>
  <c r="F443" i="3"/>
  <c r="N443" i="3" s="1"/>
  <c r="F444" i="3"/>
  <c r="N444" i="3" s="1"/>
  <c r="F445" i="3"/>
  <c r="N445" i="3" s="1"/>
  <c r="F446" i="3"/>
  <c r="N446" i="3" s="1"/>
  <c r="F447" i="3"/>
  <c r="N447" i="3" s="1"/>
  <c r="F448" i="3"/>
  <c r="N448" i="3" s="1"/>
  <c r="F449" i="3"/>
  <c r="N449" i="3" s="1"/>
  <c r="F450" i="3"/>
  <c r="N450" i="3" s="1"/>
  <c r="F451" i="3"/>
  <c r="N451" i="3" s="1"/>
  <c r="F452" i="3"/>
  <c r="N452" i="3" s="1"/>
  <c r="F453" i="3"/>
  <c r="N453" i="3" s="1"/>
  <c r="F454" i="3"/>
  <c r="N454" i="3" s="1"/>
  <c r="F455" i="3"/>
  <c r="N455" i="3" s="1"/>
  <c r="F456" i="3"/>
  <c r="N456" i="3" s="1"/>
  <c r="F457" i="3"/>
  <c r="N457" i="3" s="1"/>
  <c r="F458" i="3"/>
  <c r="N458" i="3" s="1"/>
  <c r="F459" i="3"/>
  <c r="N459" i="3" s="1"/>
  <c r="F460" i="3"/>
  <c r="N460" i="3" s="1"/>
  <c r="F461" i="3"/>
  <c r="F462" i="3"/>
  <c r="N462" i="3" s="1"/>
  <c r="F463" i="3"/>
  <c r="N463" i="3" s="1"/>
  <c r="F464" i="3"/>
  <c r="N464" i="3" s="1"/>
  <c r="F465" i="3"/>
  <c r="N465" i="3" s="1"/>
  <c r="F466" i="3"/>
  <c r="N466" i="3" s="1"/>
  <c r="F467" i="3"/>
  <c r="N467" i="3" s="1"/>
  <c r="F468" i="3"/>
  <c r="N468" i="3" s="1"/>
  <c r="F469" i="3"/>
  <c r="N469" i="3" s="1"/>
  <c r="F470" i="3"/>
  <c r="N470" i="3" s="1"/>
  <c r="F471" i="3"/>
  <c r="N471" i="3" s="1"/>
  <c r="F472" i="3"/>
  <c r="N472" i="3" s="1"/>
  <c r="F473" i="3"/>
  <c r="N473" i="3" s="1"/>
  <c r="F474" i="3"/>
  <c r="N474" i="3" s="1"/>
  <c r="F475" i="3"/>
  <c r="N475" i="3" s="1"/>
  <c r="F476" i="3"/>
  <c r="N476" i="3" s="1"/>
  <c r="F477" i="3"/>
  <c r="N477" i="3" s="1"/>
  <c r="F478" i="3"/>
  <c r="N478" i="3" s="1"/>
  <c r="F479" i="3"/>
  <c r="N479" i="3" s="1"/>
  <c r="F480" i="3"/>
  <c r="N480" i="3" s="1"/>
  <c r="F481" i="3"/>
  <c r="N481" i="3" s="1"/>
  <c r="F482" i="3"/>
  <c r="N482" i="3" s="1"/>
  <c r="F483" i="3"/>
  <c r="N483" i="3" s="1"/>
  <c r="F484" i="3"/>
  <c r="N484" i="3" s="1"/>
  <c r="F485" i="3"/>
  <c r="N485" i="3" s="1"/>
  <c r="F486" i="3"/>
  <c r="N486" i="3" s="1"/>
  <c r="F487" i="3"/>
  <c r="N487" i="3" s="1"/>
  <c r="F488" i="3"/>
  <c r="N488" i="3" s="1"/>
  <c r="F489" i="3"/>
  <c r="N489" i="3" s="1"/>
  <c r="F490" i="3"/>
  <c r="N490" i="3" s="1"/>
  <c r="F491" i="3"/>
  <c r="N491" i="3" s="1"/>
  <c r="F492" i="3"/>
  <c r="N492" i="3" s="1"/>
  <c r="F493" i="3"/>
  <c r="N493" i="3" s="1"/>
  <c r="F494" i="3"/>
  <c r="N494" i="3" s="1"/>
  <c r="F495" i="3"/>
  <c r="N495" i="3" s="1"/>
  <c r="F496" i="3"/>
  <c r="N496" i="3" s="1"/>
  <c r="F497" i="3"/>
  <c r="N497" i="3" s="1"/>
  <c r="F498" i="3"/>
  <c r="N498" i="3" s="1"/>
  <c r="F499" i="3"/>
  <c r="N499" i="3" s="1"/>
  <c r="F500" i="3"/>
  <c r="N500" i="3" s="1"/>
  <c r="F501" i="3"/>
  <c r="N501" i="3" s="1"/>
  <c r="F502" i="3"/>
  <c r="N502" i="3" s="1"/>
  <c r="F503" i="3"/>
  <c r="N503" i="3" s="1"/>
  <c r="F504" i="3"/>
  <c r="N504" i="3" s="1"/>
  <c r="F505" i="3"/>
  <c r="N505" i="3" s="1"/>
  <c r="F506" i="3"/>
  <c r="N506" i="3" s="1"/>
  <c r="F507" i="3"/>
  <c r="N507" i="3" s="1"/>
  <c r="F508" i="3"/>
  <c r="N508" i="3" s="1"/>
  <c r="F509" i="3"/>
  <c r="N509" i="3" s="1"/>
  <c r="F510" i="3"/>
  <c r="N510" i="3" s="1"/>
  <c r="F511" i="3"/>
  <c r="N511" i="3" s="1"/>
  <c r="F512" i="3"/>
  <c r="N512" i="3" s="1"/>
  <c r="F513" i="3"/>
  <c r="N513" i="3" s="1"/>
  <c r="F514" i="3"/>
  <c r="N514" i="3" s="1"/>
  <c r="F515" i="3"/>
  <c r="N515" i="3" s="1"/>
  <c r="F516" i="3"/>
  <c r="N516" i="3" s="1"/>
  <c r="F517" i="3"/>
  <c r="N517" i="3" s="1"/>
  <c r="F518" i="3"/>
  <c r="N518" i="3" s="1"/>
  <c r="F519" i="3"/>
  <c r="N519" i="3" s="1"/>
  <c r="F520" i="3"/>
  <c r="N520" i="3" s="1"/>
  <c r="F521" i="3"/>
  <c r="N521" i="3" s="1"/>
  <c r="F522" i="3"/>
  <c r="N522" i="3" s="1"/>
  <c r="F523" i="3"/>
  <c r="N523" i="3" s="1"/>
  <c r="F524" i="3"/>
  <c r="N524" i="3" s="1"/>
  <c r="F525" i="3"/>
  <c r="N525" i="3" s="1"/>
  <c r="F526" i="3"/>
  <c r="N526" i="3" s="1"/>
  <c r="F527" i="3"/>
  <c r="N527" i="3" s="1"/>
  <c r="F528" i="3"/>
  <c r="N528" i="3" s="1"/>
  <c r="F529" i="3"/>
  <c r="N529" i="3" s="1"/>
  <c r="F530" i="3"/>
  <c r="N530" i="3" s="1"/>
  <c r="F531" i="3"/>
  <c r="N531" i="3" s="1"/>
  <c r="F532" i="3"/>
  <c r="N532" i="3" s="1"/>
  <c r="F533" i="3"/>
  <c r="N533" i="3" s="1"/>
  <c r="F534" i="3"/>
  <c r="N534" i="3" s="1"/>
  <c r="F535" i="3"/>
  <c r="N535" i="3" s="1"/>
  <c r="F536" i="3"/>
  <c r="N536" i="3" s="1"/>
  <c r="F537" i="3"/>
  <c r="N537" i="3" s="1"/>
  <c r="F538" i="3"/>
  <c r="N538" i="3" s="1"/>
  <c r="F539" i="3"/>
  <c r="N539" i="3" s="1"/>
  <c r="F540" i="3"/>
  <c r="N540" i="3" s="1"/>
  <c r="F541" i="3"/>
  <c r="N541" i="3" s="1"/>
  <c r="F542" i="3"/>
  <c r="N542" i="3" s="1"/>
  <c r="F543" i="3"/>
  <c r="N543" i="3" s="1"/>
  <c r="F544" i="3"/>
  <c r="N544" i="3" s="1"/>
  <c r="F545" i="3"/>
  <c r="N545" i="3" s="1"/>
  <c r="F546" i="3"/>
  <c r="N546" i="3" s="1"/>
  <c r="F547" i="3"/>
  <c r="N547" i="3" s="1"/>
  <c r="F548" i="3"/>
  <c r="N548" i="3" s="1"/>
  <c r="F549" i="3"/>
  <c r="N549" i="3" s="1"/>
  <c r="F550" i="3"/>
  <c r="N550" i="3" s="1"/>
  <c r="F551" i="3"/>
  <c r="N551" i="3" s="1"/>
  <c r="F552" i="3"/>
  <c r="N552" i="3" s="1"/>
  <c r="F553" i="3"/>
  <c r="N553" i="3" s="1"/>
  <c r="F554" i="3"/>
  <c r="N554" i="3" s="1"/>
  <c r="F555" i="3"/>
  <c r="N555" i="3" s="1"/>
  <c r="F556" i="3"/>
  <c r="N556" i="3" s="1"/>
  <c r="F557" i="3"/>
  <c r="N557" i="3" s="1"/>
  <c r="F558" i="3"/>
  <c r="N558" i="3" s="1"/>
  <c r="F559" i="3"/>
  <c r="N559" i="3" s="1"/>
  <c r="F560" i="3"/>
  <c r="N560" i="3" s="1"/>
  <c r="F561" i="3"/>
  <c r="N561" i="3" s="1"/>
  <c r="F562" i="3"/>
  <c r="N562" i="3" s="1"/>
  <c r="F563" i="3"/>
  <c r="N563" i="3" s="1"/>
  <c r="F564" i="3"/>
  <c r="N564" i="3" s="1"/>
  <c r="F565" i="3"/>
  <c r="N565" i="3" s="1"/>
  <c r="F566" i="3"/>
  <c r="N566" i="3" s="1"/>
  <c r="F567" i="3"/>
  <c r="N567" i="3" s="1"/>
  <c r="F568" i="3"/>
  <c r="N568" i="3" s="1"/>
  <c r="F569" i="3"/>
  <c r="N569" i="3" s="1"/>
  <c r="F570" i="3"/>
  <c r="N570" i="3" s="1"/>
  <c r="F571" i="3"/>
  <c r="N571" i="3" s="1"/>
  <c r="F572" i="3"/>
  <c r="N572" i="3" s="1"/>
  <c r="F573" i="3"/>
  <c r="N573" i="3" s="1"/>
  <c r="F574" i="3"/>
  <c r="N574" i="3" s="1"/>
  <c r="F575" i="3"/>
  <c r="N575" i="3" s="1"/>
  <c r="F576" i="3"/>
  <c r="N576" i="3" s="1"/>
  <c r="F577" i="3"/>
  <c r="N577" i="3" s="1"/>
  <c r="F578" i="3"/>
  <c r="N578" i="3" s="1"/>
  <c r="F579" i="3"/>
  <c r="N579" i="3" s="1"/>
  <c r="F580" i="3"/>
  <c r="N580" i="3" s="1"/>
  <c r="F581" i="3"/>
  <c r="N581" i="3" s="1"/>
  <c r="F582" i="3"/>
  <c r="N582" i="3" s="1"/>
  <c r="F583" i="3"/>
  <c r="N583" i="3" s="1"/>
  <c r="F584" i="3"/>
  <c r="N584" i="3" s="1"/>
  <c r="F585" i="3"/>
  <c r="N585" i="3" s="1"/>
  <c r="F586" i="3"/>
  <c r="N586" i="3" s="1"/>
  <c r="F587" i="3"/>
  <c r="N587" i="3" s="1"/>
  <c r="F588" i="3"/>
  <c r="N588" i="3" s="1"/>
  <c r="F589" i="3"/>
  <c r="N589" i="3" s="1"/>
  <c r="F590" i="3"/>
  <c r="N590" i="3" s="1"/>
  <c r="F591" i="3"/>
  <c r="N591" i="3" s="1"/>
  <c r="F592" i="3"/>
  <c r="N592" i="3" s="1"/>
  <c r="F593" i="3"/>
  <c r="N593" i="3" s="1"/>
  <c r="F594" i="3"/>
  <c r="N594" i="3" s="1"/>
  <c r="F595" i="3"/>
  <c r="N595" i="3" s="1"/>
  <c r="F596" i="3"/>
  <c r="N596" i="3" s="1"/>
  <c r="F597" i="3"/>
  <c r="N597" i="3" s="1"/>
  <c r="F598" i="3"/>
  <c r="N598" i="3" s="1"/>
  <c r="F599" i="3"/>
  <c r="N599" i="3" s="1"/>
  <c r="F600" i="3"/>
  <c r="N600" i="3" s="1"/>
  <c r="F601" i="3"/>
  <c r="N601" i="3" s="1"/>
  <c r="F602" i="3"/>
  <c r="N602" i="3" s="1"/>
  <c r="F603" i="3"/>
  <c r="N603" i="3" s="1"/>
  <c r="F604" i="3"/>
  <c r="N604" i="3" s="1"/>
  <c r="F605" i="3"/>
  <c r="N605" i="3" s="1"/>
  <c r="F606" i="3"/>
  <c r="N606" i="3" s="1"/>
  <c r="F607" i="3"/>
  <c r="N607" i="3" s="1"/>
  <c r="F608" i="3"/>
  <c r="N608" i="3" s="1"/>
  <c r="F609" i="3"/>
  <c r="N609" i="3" s="1"/>
  <c r="F610" i="3"/>
  <c r="N610" i="3" s="1"/>
  <c r="F611" i="3"/>
  <c r="N611" i="3" s="1"/>
  <c r="F612" i="3"/>
  <c r="N612" i="3" s="1"/>
  <c r="F613" i="3"/>
  <c r="N613" i="3" s="1"/>
  <c r="F614" i="3"/>
  <c r="N614" i="3" s="1"/>
  <c r="F615" i="3"/>
  <c r="N615" i="3" s="1"/>
  <c r="F616" i="3"/>
  <c r="N616" i="3" s="1"/>
  <c r="F617" i="3"/>
  <c r="N617" i="3" s="1"/>
  <c r="F618" i="3"/>
  <c r="N618" i="3" s="1"/>
  <c r="F619" i="3"/>
  <c r="N619" i="3" s="1"/>
  <c r="F620" i="3"/>
  <c r="N620" i="3" s="1"/>
  <c r="F621" i="3"/>
  <c r="N621" i="3" s="1"/>
  <c r="F622" i="3"/>
  <c r="N622" i="3" s="1"/>
  <c r="F623" i="3"/>
  <c r="N623" i="3" s="1"/>
  <c r="F624" i="3"/>
  <c r="N624" i="3" s="1"/>
  <c r="F625" i="3"/>
  <c r="N625" i="3" s="1"/>
  <c r="F626" i="3"/>
  <c r="N626" i="3" s="1"/>
  <c r="F627" i="3"/>
  <c r="N627" i="3" s="1"/>
  <c r="F628" i="3"/>
  <c r="N628" i="3" s="1"/>
  <c r="F629" i="3"/>
  <c r="N629" i="3" s="1"/>
  <c r="F630" i="3"/>
  <c r="N630" i="3" s="1"/>
  <c r="F631" i="3"/>
  <c r="N631" i="3" s="1"/>
  <c r="F632" i="3"/>
  <c r="N632" i="3" s="1"/>
  <c r="F633" i="3"/>
  <c r="N633" i="3" s="1"/>
  <c r="F634" i="3"/>
  <c r="N634" i="3" s="1"/>
  <c r="F635" i="3"/>
  <c r="N635" i="3" s="1"/>
  <c r="F636" i="3"/>
  <c r="N636" i="3" s="1"/>
  <c r="F637" i="3"/>
  <c r="N637" i="3" s="1"/>
  <c r="F638" i="3"/>
  <c r="N638" i="3" s="1"/>
  <c r="F639" i="3"/>
  <c r="N639" i="3" s="1"/>
  <c r="F640" i="3"/>
  <c r="N640" i="3" s="1"/>
  <c r="F641" i="3"/>
  <c r="N641" i="3" s="1"/>
  <c r="F642" i="3"/>
  <c r="N642" i="3" s="1"/>
  <c r="F643" i="3"/>
  <c r="N643" i="3" s="1"/>
  <c r="F644" i="3"/>
  <c r="N644" i="3" s="1"/>
  <c r="F645" i="3"/>
  <c r="N645" i="3" s="1"/>
  <c r="F646" i="3"/>
  <c r="N646" i="3" s="1"/>
  <c r="F647" i="3"/>
  <c r="N647" i="3" s="1"/>
  <c r="F648" i="3"/>
  <c r="N648" i="3" s="1"/>
  <c r="F649" i="3"/>
  <c r="N649" i="3" s="1"/>
  <c r="F650" i="3"/>
  <c r="N650" i="3" s="1"/>
  <c r="F651" i="3"/>
  <c r="N651" i="3" s="1"/>
  <c r="F652" i="3"/>
  <c r="N652" i="3" s="1"/>
  <c r="F653" i="3"/>
  <c r="N653" i="3" s="1"/>
  <c r="F654" i="3"/>
  <c r="N654" i="3" s="1"/>
  <c r="F655" i="3"/>
  <c r="N655" i="3" s="1"/>
  <c r="F656" i="3"/>
  <c r="N656" i="3" s="1"/>
  <c r="F657" i="3"/>
  <c r="N657" i="3" s="1"/>
  <c r="F658" i="3"/>
  <c r="N658" i="3" s="1"/>
  <c r="F659" i="3"/>
  <c r="N659" i="3" s="1"/>
  <c r="F660" i="3"/>
  <c r="N660" i="3" s="1"/>
  <c r="F661" i="3"/>
  <c r="N661" i="3" s="1"/>
  <c r="F662" i="3"/>
  <c r="N662" i="3" s="1"/>
  <c r="F663" i="3"/>
  <c r="N663" i="3" s="1"/>
  <c r="F664" i="3"/>
  <c r="N664" i="3" s="1"/>
  <c r="F665" i="3"/>
  <c r="N665" i="3" s="1"/>
  <c r="F666" i="3"/>
  <c r="N666" i="3" s="1"/>
  <c r="F667" i="3"/>
  <c r="N667" i="3" s="1"/>
  <c r="F668" i="3"/>
  <c r="N668" i="3" s="1"/>
  <c r="F669" i="3"/>
  <c r="N669" i="3" s="1"/>
  <c r="F670" i="3"/>
  <c r="N670" i="3" s="1"/>
  <c r="F671" i="3"/>
  <c r="N671" i="3" s="1"/>
  <c r="F672" i="3"/>
  <c r="N672" i="3" s="1"/>
  <c r="F673" i="3"/>
  <c r="N673" i="3" s="1"/>
  <c r="F674" i="3"/>
  <c r="N674" i="3" s="1"/>
  <c r="F675" i="3"/>
  <c r="N675" i="3" s="1"/>
  <c r="F676" i="3"/>
  <c r="N676" i="3" s="1"/>
  <c r="F677" i="3"/>
  <c r="N677" i="3" s="1"/>
  <c r="F678" i="3"/>
  <c r="N678" i="3" s="1"/>
  <c r="F679" i="3"/>
  <c r="N679" i="3" s="1"/>
  <c r="F680" i="3"/>
  <c r="N680" i="3" s="1"/>
  <c r="F681" i="3"/>
  <c r="N681" i="3" s="1"/>
  <c r="F682" i="3"/>
  <c r="N682" i="3" s="1"/>
  <c r="F683" i="3"/>
  <c r="N683" i="3" s="1"/>
  <c r="F684" i="3"/>
  <c r="N684" i="3" s="1"/>
  <c r="F685" i="3"/>
  <c r="N685" i="3" s="1"/>
  <c r="F686" i="3"/>
  <c r="N686" i="3" s="1"/>
  <c r="F687" i="3"/>
  <c r="N687" i="3" s="1"/>
  <c r="F688" i="3"/>
  <c r="N688" i="3" s="1"/>
  <c r="F689" i="3"/>
  <c r="N689" i="3" s="1"/>
  <c r="F690" i="3"/>
  <c r="N690" i="3" s="1"/>
  <c r="F691" i="3"/>
  <c r="N691" i="3" s="1"/>
  <c r="F692" i="3"/>
  <c r="N692" i="3" s="1"/>
  <c r="F693" i="3"/>
  <c r="N693" i="3" s="1"/>
  <c r="F694" i="3"/>
  <c r="N694" i="3" s="1"/>
  <c r="F695" i="3"/>
  <c r="N695" i="3" s="1"/>
  <c r="F696" i="3"/>
  <c r="N696" i="3" s="1"/>
  <c r="F697" i="3"/>
  <c r="N697" i="3" s="1"/>
  <c r="F698" i="3"/>
  <c r="N698" i="3" s="1"/>
  <c r="F699" i="3"/>
  <c r="N699" i="3" s="1"/>
  <c r="F700" i="3"/>
  <c r="N700" i="3" s="1"/>
  <c r="F701" i="3"/>
  <c r="N701" i="3" s="1"/>
  <c r="F702" i="3"/>
  <c r="N702" i="3" s="1"/>
  <c r="F703" i="3"/>
  <c r="N703" i="3" s="1"/>
  <c r="F704" i="3"/>
  <c r="N704" i="3" s="1"/>
  <c r="F705" i="3"/>
  <c r="N705" i="3" s="1"/>
  <c r="F706" i="3"/>
  <c r="N706" i="3" s="1"/>
  <c r="F707" i="3"/>
  <c r="N707" i="3" s="1"/>
  <c r="F708" i="3"/>
  <c r="N708" i="3" s="1"/>
  <c r="F709" i="3"/>
  <c r="N709" i="3" s="1"/>
  <c r="F710" i="3"/>
  <c r="N710" i="3" s="1"/>
  <c r="F711" i="3"/>
  <c r="N711" i="3" s="1"/>
  <c r="F712" i="3"/>
  <c r="N712" i="3" s="1"/>
  <c r="F713" i="3"/>
  <c r="N713" i="3" s="1"/>
  <c r="F714" i="3"/>
  <c r="N714" i="3" s="1"/>
  <c r="F715" i="3"/>
  <c r="N715" i="3" s="1"/>
  <c r="F716" i="3"/>
  <c r="N716" i="3" s="1"/>
  <c r="F717" i="3"/>
  <c r="N717" i="3" s="1"/>
  <c r="F718" i="3"/>
  <c r="N718" i="3" s="1"/>
  <c r="F719" i="3"/>
  <c r="N719" i="3" s="1"/>
  <c r="F720" i="3"/>
  <c r="N720" i="3" s="1"/>
  <c r="F721" i="3"/>
  <c r="N721" i="3" s="1"/>
  <c r="F722" i="3"/>
  <c r="N722" i="3" s="1"/>
  <c r="F723" i="3"/>
  <c r="N723" i="3" s="1"/>
  <c r="F724" i="3"/>
  <c r="N724" i="3" s="1"/>
  <c r="F725" i="3"/>
  <c r="N725" i="3" s="1"/>
  <c r="F726" i="3"/>
  <c r="N726" i="3" s="1"/>
  <c r="F727" i="3"/>
  <c r="N727" i="3" s="1"/>
  <c r="F728" i="3"/>
  <c r="N728" i="3" s="1"/>
  <c r="F729" i="3"/>
  <c r="N729" i="3" s="1"/>
  <c r="F730" i="3"/>
  <c r="N730" i="3" s="1"/>
  <c r="F731" i="3"/>
  <c r="N731" i="3" s="1"/>
  <c r="F732" i="3"/>
  <c r="N732" i="3" s="1"/>
  <c r="F733" i="3"/>
  <c r="N733" i="3" s="1"/>
  <c r="F734" i="3"/>
  <c r="N734" i="3" s="1"/>
  <c r="F735" i="3"/>
  <c r="N735" i="3" s="1"/>
  <c r="F736" i="3"/>
  <c r="N736" i="3" s="1"/>
  <c r="F737" i="3"/>
  <c r="N737" i="3" s="1"/>
  <c r="F738" i="3"/>
  <c r="N738" i="3" s="1"/>
  <c r="F739" i="3"/>
  <c r="N739" i="3" s="1"/>
  <c r="F740" i="3"/>
  <c r="N740" i="3" s="1"/>
  <c r="F741" i="3"/>
  <c r="N741" i="3" s="1"/>
  <c r="F742" i="3"/>
  <c r="N742" i="3" s="1"/>
  <c r="F743" i="3"/>
  <c r="N743" i="3" s="1"/>
  <c r="F744" i="3"/>
  <c r="N744" i="3" s="1"/>
  <c r="F745" i="3"/>
  <c r="N745" i="3" s="1"/>
  <c r="F746" i="3"/>
  <c r="N746" i="3" s="1"/>
  <c r="F747" i="3"/>
  <c r="N747" i="3" s="1"/>
  <c r="F748" i="3"/>
  <c r="N748" i="3" s="1"/>
  <c r="F749" i="3"/>
  <c r="N749" i="3" s="1"/>
  <c r="F750" i="3"/>
  <c r="N750" i="3" s="1"/>
  <c r="F751" i="3"/>
  <c r="N751" i="3" s="1"/>
  <c r="F752" i="3"/>
  <c r="N752" i="3" s="1"/>
  <c r="F753" i="3"/>
  <c r="N753" i="3" s="1"/>
  <c r="F754" i="3"/>
  <c r="N754" i="3" s="1"/>
  <c r="F755" i="3"/>
  <c r="N755" i="3" s="1"/>
  <c r="F756" i="3"/>
  <c r="N756" i="3" s="1"/>
  <c r="F757" i="3"/>
  <c r="N757" i="3" s="1"/>
  <c r="F758" i="3"/>
  <c r="N758" i="3" s="1"/>
  <c r="F759" i="3"/>
  <c r="N759" i="3" s="1"/>
  <c r="F760" i="3"/>
  <c r="N760" i="3" s="1"/>
  <c r="F761" i="3"/>
  <c r="N761" i="3" s="1"/>
  <c r="F762" i="3"/>
  <c r="N762" i="3" s="1"/>
  <c r="F763" i="3"/>
  <c r="N763" i="3" s="1"/>
  <c r="F764" i="3"/>
  <c r="N764" i="3" s="1"/>
  <c r="F765" i="3"/>
  <c r="N765" i="3" s="1"/>
  <c r="F766" i="3"/>
  <c r="N766" i="3" s="1"/>
  <c r="F767" i="3"/>
  <c r="N767" i="3" s="1"/>
  <c r="F768" i="3"/>
  <c r="N768" i="3" s="1"/>
  <c r="F769" i="3"/>
  <c r="N769" i="3" s="1"/>
  <c r="F770" i="3"/>
  <c r="N770" i="3" s="1"/>
  <c r="F771" i="3"/>
  <c r="N771" i="3" s="1"/>
  <c r="F772" i="3"/>
  <c r="N772" i="3" s="1"/>
  <c r="F773" i="3"/>
  <c r="N773" i="3" s="1"/>
  <c r="F774" i="3"/>
  <c r="N774" i="3" s="1"/>
  <c r="F775" i="3"/>
  <c r="N775" i="3" s="1"/>
  <c r="F776" i="3"/>
  <c r="N776" i="3" s="1"/>
  <c r="F777" i="3"/>
  <c r="N777" i="3" s="1"/>
  <c r="F778" i="3"/>
  <c r="N778" i="3" s="1"/>
  <c r="F779" i="3"/>
  <c r="N779" i="3" s="1"/>
  <c r="F780" i="3"/>
  <c r="N780" i="3" s="1"/>
  <c r="F781" i="3"/>
  <c r="N781" i="3" s="1"/>
  <c r="F782" i="3"/>
  <c r="N782" i="3" s="1"/>
  <c r="F783" i="3"/>
  <c r="N783" i="3" s="1"/>
  <c r="F784" i="3"/>
  <c r="N784" i="3" s="1"/>
  <c r="F785" i="3"/>
  <c r="N785" i="3" s="1"/>
  <c r="F786" i="3"/>
  <c r="N786" i="3" s="1"/>
  <c r="F787" i="3"/>
  <c r="N787" i="3" s="1"/>
  <c r="F788" i="3"/>
  <c r="N788" i="3" s="1"/>
  <c r="F789" i="3"/>
  <c r="N789" i="3" s="1"/>
  <c r="F790" i="3"/>
  <c r="N790" i="3" s="1"/>
  <c r="F791" i="3"/>
  <c r="N791" i="3" s="1"/>
  <c r="F792" i="3"/>
  <c r="N792" i="3" s="1"/>
  <c r="F793" i="3"/>
  <c r="N793" i="3" s="1"/>
  <c r="F794" i="3"/>
  <c r="N794" i="3" s="1"/>
  <c r="F795" i="3"/>
  <c r="N795" i="3" s="1"/>
  <c r="F796" i="3"/>
  <c r="N796" i="3" s="1"/>
  <c r="F797" i="3"/>
  <c r="N797" i="3" s="1"/>
  <c r="F798" i="3"/>
  <c r="N798" i="3" s="1"/>
  <c r="F799" i="3"/>
  <c r="N799" i="3" s="1"/>
  <c r="F800" i="3"/>
  <c r="N800" i="3" s="1"/>
  <c r="F801" i="3"/>
  <c r="N801" i="3" s="1"/>
  <c r="F802" i="3"/>
  <c r="N802" i="3" s="1"/>
  <c r="F803" i="3"/>
  <c r="N803" i="3" s="1"/>
  <c r="F804" i="3"/>
  <c r="N804" i="3" s="1"/>
  <c r="F805" i="3"/>
  <c r="N805" i="3" s="1"/>
  <c r="F806" i="3"/>
  <c r="N806" i="3" s="1"/>
  <c r="F807" i="3"/>
  <c r="N807" i="3" s="1"/>
  <c r="F808" i="3"/>
  <c r="N808" i="3" s="1"/>
  <c r="F809" i="3"/>
  <c r="N809" i="3" s="1"/>
  <c r="F810" i="3"/>
  <c r="N810" i="3" s="1"/>
  <c r="F811" i="3"/>
  <c r="N811" i="3" s="1"/>
  <c r="F812" i="3"/>
  <c r="N812" i="3" s="1"/>
  <c r="F813" i="3"/>
  <c r="N813" i="3" s="1"/>
  <c r="F814" i="3"/>
  <c r="N814" i="3" s="1"/>
  <c r="F815" i="3"/>
  <c r="N815" i="3" s="1"/>
  <c r="F816" i="3"/>
  <c r="N816" i="3" s="1"/>
  <c r="F817" i="3"/>
  <c r="N817" i="3" s="1"/>
  <c r="F818" i="3"/>
  <c r="N818" i="3" s="1"/>
  <c r="F819" i="3"/>
  <c r="N819" i="3" s="1"/>
  <c r="F820" i="3"/>
  <c r="N820" i="3" s="1"/>
  <c r="F821" i="3"/>
  <c r="N821" i="3" s="1"/>
  <c r="F822" i="3"/>
  <c r="N822" i="3" s="1"/>
  <c r="F823" i="3"/>
  <c r="N823" i="3" s="1"/>
  <c r="F824" i="3"/>
  <c r="N824" i="3" s="1"/>
  <c r="F825" i="3"/>
  <c r="N825" i="3" s="1"/>
  <c r="F826" i="3"/>
  <c r="N826" i="3" s="1"/>
  <c r="F827" i="3"/>
  <c r="N827" i="3" s="1"/>
  <c r="F828" i="3"/>
  <c r="N828" i="3" s="1"/>
  <c r="F829" i="3"/>
  <c r="N829" i="3" s="1"/>
  <c r="F830" i="3"/>
  <c r="N830" i="3" s="1"/>
  <c r="F831" i="3"/>
  <c r="N831" i="3" s="1"/>
  <c r="F832" i="3"/>
  <c r="N832" i="3" s="1"/>
  <c r="F833" i="3"/>
  <c r="N833" i="3" s="1"/>
  <c r="F834" i="3"/>
  <c r="N834" i="3" s="1"/>
  <c r="F835" i="3"/>
  <c r="N835" i="3" s="1"/>
  <c r="F836" i="3"/>
  <c r="N836" i="3" s="1"/>
  <c r="F837" i="3"/>
  <c r="N837" i="3" s="1"/>
  <c r="F838" i="3"/>
  <c r="N838" i="3" s="1"/>
  <c r="F839" i="3"/>
  <c r="N839" i="3" s="1"/>
  <c r="F840" i="3"/>
  <c r="N840" i="3" s="1"/>
  <c r="F841" i="3"/>
  <c r="N841" i="3" s="1"/>
  <c r="F842" i="3"/>
  <c r="N842" i="3" s="1"/>
  <c r="F843" i="3"/>
  <c r="N843" i="3" s="1"/>
  <c r="F844" i="3"/>
  <c r="N844" i="3" s="1"/>
  <c r="F845" i="3"/>
  <c r="N845" i="3" s="1"/>
  <c r="F846" i="3"/>
  <c r="N846" i="3" s="1"/>
  <c r="F847" i="3"/>
  <c r="N847" i="3" s="1"/>
  <c r="F848" i="3"/>
  <c r="N848" i="3" s="1"/>
  <c r="F849" i="3"/>
  <c r="N849" i="3" s="1"/>
  <c r="F850" i="3"/>
  <c r="N850" i="3" s="1"/>
  <c r="F851" i="3"/>
  <c r="N851" i="3" s="1"/>
  <c r="F852" i="3"/>
  <c r="N852" i="3" s="1"/>
  <c r="F853" i="3"/>
  <c r="N853" i="3" s="1"/>
  <c r="F854" i="3"/>
  <c r="N854" i="3" s="1"/>
  <c r="F855" i="3"/>
  <c r="N855" i="3" s="1"/>
  <c r="F856" i="3"/>
  <c r="N856" i="3" s="1"/>
  <c r="F857" i="3"/>
  <c r="N857" i="3" s="1"/>
  <c r="F858" i="3"/>
  <c r="N858" i="3" s="1"/>
  <c r="F859" i="3"/>
  <c r="N859" i="3" s="1"/>
  <c r="F860" i="3"/>
  <c r="N860" i="3" s="1"/>
  <c r="F861" i="3"/>
  <c r="N861" i="3" s="1"/>
  <c r="F862" i="3"/>
  <c r="N862" i="3" s="1"/>
  <c r="F863" i="3"/>
  <c r="N863" i="3" s="1"/>
  <c r="F864" i="3"/>
  <c r="N864" i="3" s="1"/>
  <c r="F865" i="3"/>
  <c r="N865" i="3" s="1"/>
  <c r="F866" i="3"/>
  <c r="N866" i="3" s="1"/>
  <c r="F867" i="3"/>
  <c r="N867" i="3" s="1"/>
  <c r="F868" i="3"/>
  <c r="N868" i="3" s="1"/>
  <c r="F869" i="3"/>
  <c r="N869" i="3" s="1"/>
  <c r="F870" i="3"/>
  <c r="N870" i="3" s="1"/>
  <c r="F871" i="3"/>
  <c r="N871" i="3" s="1"/>
  <c r="F872" i="3"/>
  <c r="N872" i="3" s="1"/>
  <c r="F873" i="3"/>
  <c r="N873" i="3" s="1"/>
  <c r="F874" i="3"/>
  <c r="N874" i="3" s="1"/>
  <c r="F875" i="3"/>
  <c r="N875" i="3" s="1"/>
  <c r="F876" i="3"/>
  <c r="N876" i="3" s="1"/>
  <c r="F877" i="3"/>
  <c r="N877" i="3" s="1"/>
  <c r="F878" i="3"/>
  <c r="N878" i="3" s="1"/>
  <c r="F879" i="3"/>
  <c r="N879" i="3" s="1"/>
  <c r="F880" i="3"/>
  <c r="N880" i="3" s="1"/>
  <c r="F881" i="3"/>
  <c r="N881" i="3" s="1"/>
  <c r="F882" i="3"/>
  <c r="N882" i="3" s="1"/>
  <c r="F883" i="3"/>
  <c r="N883" i="3" s="1"/>
  <c r="F884" i="3"/>
  <c r="N884" i="3" s="1"/>
  <c r="F885" i="3"/>
  <c r="N885" i="3" s="1"/>
  <c r="F886" i="3"/>
  <c r="N886" i="3" s="1"/>
  <c r="F887" i="3"/>
  <c r="N887" i="3" s="1"/>
  <c r="F888" i="3"/>
  <c r="N888" i="3" s="1"/>
  <c r="F889" i="3"/>
  <c r="N889" i="3" s="1"/>
  <c r="F890" i="3"/>
  <c r="N890" i="3" s="1"/>
  <c r="F891" i="3"/>
  <c r="N891" i="3" s="1"/>
  <c r="F892" i="3"/>
  <c r="N892" i="3" s="1"/>
  <c r="F893" i="3"/>
  <c r="N893" i="3" s="1"/>
  <c r="F894" i="3"/>
  <c r="N894" i="3" s="1"/>
  <c r="F895" i="3"/>
  <c r="N895" i="3" s="1"/>
  <c r="F896" i="3"/>
  <c r="N896" i="3" s="1"/>
  <c r="F897" i="3"/>
  <c r="N897" i="3" s="1"/>
  <c r="F898" i="3"/>
  <c r="N898" i="3" s="1"/>
  <c r="F899" i="3"/>
  <c r="N899" i="3" s="1"/>
  <c r="F900" i="3"/>
  <c r="N900" i="3" s="1"/>
  <c r="F901" i="3"/>
  <c r="N901" i="3" s="1"/>
  <c r="F902" i="3"/>
  <c r="N902" i="3" s="1"/>
  <c r="F903" i="3"/>
  <c r="N903" i="3" s="1"/>
  <c r="F904" i="3"/>
  <c r="N904" i="3" s="1"/>
  <c r="F905" i="3"/>
  <c r="N905" i="3" s="1"/>
  <c r="F906" i="3"/>
  <c r="N906" i="3" s="1"/>
  <c r="F907" i="3"/>
  <c r="N907" i="3" s="1"/>
  <c r="F908" i="3"/>
  <c r="N908" i="3" s="1"/>
  <c r="F909" i="3"/>
  <c r="N909" i="3" s="1"/>
  <c r="F910" i="3"/>
  <c r="N910" i="3" s="1"/>
  <c r="F911" i="3"/>
  <c r="N911" i="3" s="1"/>
  <c r="F912" i="3"/>
  <c r="N912" i="3" s="1"/>
  <c r="F913" i="3"/>
  <c r="N913" i="3" s="1"/>
  <c r="F914" i="3"/>
  <c r="N914" i="3" s="1"/>
  <c r="F915" i="3"/>
  <c r="N915" i="3" s="1"/>
  <c r="F916" i="3"/>
  <c r="N916" i="3" s="1"/>
  <c r="F917" i="3"/>
  <c r="N917" i="3" s="1"/>
  <c r="F918" i="3"/>
  <c r="N918" i="3" s="1"/>
  <c r="F919" i="3"/>
  <c r="N919" i="3" s="1"/>
  <c r="F920" i="3"/>
  <c r="N920" i="3" s="1"/>
  <c r="F921" i="3"/>
  <c r="N921" i="3" s="1"/>
  <c r="F2" i="3"/>
  <c r="A2" i="3"/>
  <c r="A3" i="3"/>
  <c r="C3" i="3"/>
  <c r="A4" i="3"/>
  <c r="C4" i="3"/>
  <c r="A5" i="3"/>
  <c r="C5" i="3"/>
  <c r="A6" i="3"/>
  <c r="D6" i="3"/>
  <c r="C6" i="3"/>
  <c r="A7" i="3"/>
  <c r="D7" i="3"/>
  <c r="C7" i="3"/>
  <c r="A8" i="3"/>
  <c r="C8" i="3"/>
  <c r="A9" i="3"/>
  <c r="C9" i="3"/>
  <c r="A10" i="3"/>
  <c r="C10" i="3"/>
  <c r="A11" i="3"/>
  <c r="C11" i="3"/>
  <c r="A12" i="3"/>
  <c r="C12" i="3"/>
  <c r="A13" i="3"/>
  <c r="C13" i="3"/>
  <c r="A14" i="3"/>
  <c r="C14" i="3"/>
  <c r="A15" i="3"/>
  <c r="C15" i="3"/>
  <c r="A16" i="3"/>
  <c r="D16" i="3"/>
  <c r="C16" i="3"/>
  <c r="A17" i="3"/>
  <c r="D17" i="3"/>
  <c r="C17" i="3"/>
  <c r="A18" i="3"/>
  <c r="C18" i="3"/>
  <c r="A19" i="3"/>
  <c r="C19" i="3"/>
  <c r="A20" i="3"/>
  <c r="C20" i="3"/>
  <c r="A21" i="3"/>
  <c r="D21" i="3"/>
  <c r="C21" i="3"/>
  <c r="A22" i="3"/>
  <c r="C22" i="3"/>
  <c r="A23" i="3"/>
  <c r="C23" i="3"/>
  <c r="A24" i="3"/>
  <c r="C24" i="3"/>
  <c r="A25" i="3"/>
  <c r="C25" i="3"/>
  <c r="A26" i="3"/>
  <c r="C26" i="3"/>
  <c r="A27" i="3"/>
  <c r="C27" i="3"/>
  <c r="A28" i="3"/>
  <c r="C28" i="3"/>
  <c r="A29" i="3"/>
  <c r="D29" i="3"/>
  <c r="C29" i="3"/>
  <c r="A30" i="3"/>
  <c r="D30" i="3"/>
  <c r="C30" i="3"/>
  <c r="A31" i="3"/>
  <c r="C31" i="3"/>
  <c r="A32" i="3"/>
  <c r="D32" i="3"/>
  <c r="C32" i="3"/>
  <c r="A33" i="3"/>
  <c r="C33" i="3"/>
  <c r="A34" i="3"/>
  <c r="C34" i="3"/>
  <c r="A35" i="3"/>
  <c r="C35" i="3"/>
  <c r="A36" i="3"/>
  <c r="C36" i="3"/>
  <c r="A37" i="3"/>
  <c r="C37" i="3"/>
  <c r="A38" i="3"/>
  <c r="C38" i="3"/>
  <c r="A39" i="3"/>
  <c r="C39" i="3"/>
  <c r="A40" i="3"/>
  <c r="C40" i="3"/>
  <c r="A41" i="3"/>
  <c r="D41" i="3"/>
  <c r="C41" i="3"/>
  <c r="A42" i="3"/>
  <c r="D42" i="3"/>
  <c r="C42" i="3"/>
  <c r="A43" i="3"/>
  <c r="C43" i="3"/>
  <c r="A44" i="3"/>
  <c r="C44" i="3"/>
  <c r="A45" i="3"/>
  <c r="C45" i="3"/>
  <c r="A46" i="3"/>
  <c r="C46" i="3"/>
  <c r="A47" i="3"/>
  <c r="C47" i="3"/>
  <c r="A48" i="3"/>
  <c r="C48" i="3"/>
  <c r="A49" i="3"/>
  <c r="C49" i="3"/>
  <c r="A50" i="3"/>
  <c r="C50" i="3"/>
  <c r="A51" i="3"/>
  <c r="C51" i="3"/>
  <c r="A52" i="3"/>
  <c r="C52" i="3"/>
  <c r="A53" i="3"/>
  <c r="C53" i="3"/>
  <c r="A54" i="3"/>
  <c r="D54" i="3"/>
  <c r="C54" i="3"/>
  <c r="A55" i="3"/>
  <c r="C55" i="3"/>
  <c r="A56" i="3"/>
  <c r="D56" i="3"/>
  <c r="C56" i="3"/>
  <c r="A57" i="3"/>
  <c r="C57" i="3"/>
  <c r="A58" i="3"/>
  <c r="D58" i="3"/>
  <c r="C58" i="3"/>
  <c r="A59" i="3"/>
  <c r="C59" i="3"/>
  <c r="A60" i="3"/>
  <c r="C60" i="3"/>
  <c r="A61" i="3"/>
  <c r="C61" i="3"/>
  <c r="A62" i="3"/>
  <c r="C62" i="3"/>
  <c r="A63" i="3"/>
  <c r="C63" i="3"/>
  <c r="A64" i="3"/>
  <c r="C64" i="3"/>
  <c r="A65" i="3"/>
  <c r="D65" i="3"/>
  <c r="C65" i="3"/>
  <c r="A66" i="3"/>
  <c r="D66" i="3"/>
  <c r="C66" i="3"/>
  <c r="A67" i="3"/>
  <c r="C67" i="3"/>
  <c r="A68" i="3"/>
  <c r="D68" i="3"/>
  <c r="C68" i="3"/>
  <c r="A69" i="3"/>
  <c r="C69" i="3"/>
  <c r="A70" i="3"/>
  <c r="C70" i="3"/>
  <c r="A71" i="3"/>
  <c r="C71" i="3"/>
  <c r="A72" i="3"/>
  <c r="C72" i="3"/>
  <c r="A73" i="3"/>
  <c r="C73" i="3"/>
  <c r="A74" i="3"/>
  <c r="C74" i="3"/>
  <c r="A75" i="3"/>
  <c r="C75" i="3"/>
  <c r="A76" i="3"/>
  <c r="C76" i="3"/>
  <c r="A77" i="3"/>
  <c r="D77" i="3"/>
  <c r="C77" i="3"/>
  <c r="A78" i="3"/>
  <c r="D78" i="3"/>
  <c r="C78" i="3"/>
  <c r="A79" i="3"/>
  <c r="C79" i="3"/>
  <c r="A80" i="3"/>
  <c r="C80" i="3"/>
  <c r="A81" i="3"/>
  <c r="C81" i="3"/>
  <c r="A82" i="3"/>
  <c r="C82" i="3"/>
  <c r="A83" i="3"/>
  <c r="C83" i="3"/>
  <c r="A84" i="3"/>
  <c r="C84" i="3"/>
  <c r="A85" i="3"/>
  <c r="C85" i="3"/>
  <c r="A86" i="3"/>
  <c r="C86" i="3"/>
  <c r="A87" i="3"/>
  <c r="C87" i="3"/>
  <c r="A88" i="3"/>
  <c r="C88" i="3"/>
  <c r="A89" i="3"/>
  <c r="D89" i="3"/>
  <c r="C89" i="3"/>
  <c r="A90" i="3"/>
  <c r="C90" i="3"/>
  <c r="A91" i="3"/>
  <c r="C91" i="3"/>
  <c r="A92" i="3"/>
  <c r="C92" i="3"/>
  <c r="A93" i="3"/>
  <c r="D93" i="3"/>
  <c r="C93" i="3"/>
  <c r="A94" i="3"/>
  <c r="C94" i="3"/>
  <c r="A95" i="3"/>
  <c r="C95" i="3"/>
  <c r="A96" i="3"/>
  <c r="C96" i="3"/>
  <c r="A97" i="3"/>
  <c r="C97" i="3"/>
  <c r="A98" i="3"/>
  <c r="C98" i="3"/>
  <c r="A99" i="3"/>
  <c r="C99" i="3"/>
  <c r="A100" i="3"/>
  <c r="C100" i="3"/>
  <c r="A101" i="3"/>
  <c r="D101" i="3"/>
  <c r="C101" i="3"/>
  <c r="A102" i="3"/>
  <c r="C102" i="3"/>
  <c r="A103" i="3"/>
  <c r="D103" i="3"/>
  <c r="C103" i="3"/>
  <c r="A104" i="3"/>
  <c r="C104" i="3"/>
  <c r="A105" i="3"/>
  <c r="C105" i="3"/>
  <c r="A106" i="3"/>
  <c r="C106" i="3"/>
  <c r="A107" i="3"/>
  <c r="C107" i="3"/>
  <c r="A108" i="3"/>
  <c r="C108" i="3"/>
  <c r="A109" i="3"/>
  <c r="C109" i="3"/>
  <c r="A110" i="3"/>
  <c r="C110" i="3"/>
  <c r="A111" i="3"/>
  <c r="C111" i="3"/>
  <c r="A112" i="3"/>
  <c r="D112" i="3"/>
  <c r="C112" i="3"/>
  <c r="A113" i="3"/>
  <c r="C113" i="3"/>
  <c r="A114" i="3"/>
  <c r="D114" i="3"/>
  <c r="C114" i="3"/>
  <c r="A115" i="3"/>
  <c r="C115" i="3"/>
  <c r="A116" i="3"/>
  <c r="C116" i="3"/>
  <c r="A117" i="3"/>
  <c r="C117" i="3"/>
  <c r="A118" i="3"/>
  <c r="D118" i="3"/>
  <c r="C118" i="3"/>
  <c r="A119" i="3"/>
  <c r="C119" i="3"/>
  <c r="A120" i="3"/>
  <c r="C120" i="3"/>
  <c r="A121" i="3"/>
  <c r="C121" i="3"/>
  <c r="A122" i="3"/>
  <c r="C122" i="3"/>
  <c r="A123" i="3"/>
  <c r="C123" i="3"/>
  <c r="A124" i="3"/>
  <c r="C124" i="3"/>
  <c r="A125" i="3"/>
  <c r="D125" i="3"/>
  <c r="C125" i="3"/>
  <c r="A126" i="3"/>
  <c r="C126" i="3"/>
  <c r="A127" i="3"/>
  <c r="D127" i="3"/>
  <c r="C127" i="3"/>
  <c r="A128" i="3"/>
  <c r="D128" i="3"/>
  <c r="C128" i="3"/>
  <c r="A129" i="3"/>
  <c r="D129" i="3"/>
  <c r="C129" i="3"/>
  <c r="A130" i="3"/>
  <c r="C130" i="3"/>
  <c r="A131" i="3"/>
  <c r="C131" i="3"/>
  <c r="A132" i="3"/>
  <c r="C132" i="3"/>
  <c r="A133" i="3"/>
  <c r="C133" i="3"/>
  <c r="A134" i="3"/>
  <c r="C134" i="3"/>
  <c r="A135" i="3"/>
  <c r="C135" i="3"/>
  <c r="A136" i="3"/>
  <c r="C136" i="3"/>
  <c r="A137" i="3"/>
  <c r="D137" i="3"/>
  <c r="C137" i="3"/>
  <c r="A138" i="3"/>
  <c r="D138" i="3"/>
  <c r="C138" i="3"/>
  <c r="A139" i="3"/>
  <c r="D139" i="3"/>
  <c r="C139" i="3"/>
  <c r="A140" i="3"/>
  <c r="C140" i="3"/>
  <c r="A141" i="3"/>
  <c r="C141" i="3"/>
  <c r="A142" i="3"/>
  <c r="C142" i="3"/>
  <c r="A143" i="3"/>
  <c r="C143" i="3"/>
  <c r="A144" i="3"/>
  <c r="C144" i="3"/>
  <c r="A145" i="3"/>
  <c r="C145" i="3"/>
  <c r="A146" i="3"/>
  <c r="C146" i="3"/>
  <c r="A147" i="3"/>
  <c r="C147" i="3"/>
  <c r="A148" i="3"/>
  <c r="C148" i="3"/>
  <c r="A149" i="3"/>
  <c r="C149" i="3"/>
  <c r="A150" i="3"/>
  <c r="D150" i="3"/>
  <c r="C150" i="3"/>
  <c r="A151" i="3"/>
  <c r="C151" i="3"/>
  <c r="A152" i="3"/>
  <c r="C152" i="3"/>
  <c r="A153" i="3"/>
  <c r="D153" i="3"/>
  <c r="C153" i="3"/>
  <c r="A154" i="3"/>
  <c r="D154" i="3"/>
  <c r="C154" i="3"/>
  <c r="A155" i="3"/>
  <c r="C155" i="3"/>
  <c r="A156" i="3"/>
  <c r="C156" i="3"/>
  <c r="A157" i="3"/>
  <c r="C157" i="3"/>
  <c r="A158" i="3"/>
  <c r="C158" i="3"/>
  <c r="A159" i="3"/>
  <c r="C159" i="3"/>
  <c r="A160" i="3"/>
  <c r="C160" i="3"/>
  <c r="A161" i="3"/>
  <c r="D161" i="3"/>
  <c r="C161" i="3"/>
  <c r="A162" i="3"/>
  <c r="D162" i="3"/>
  <c r="C162" i="3"/>
  <c r="A163" i="3"/>
  <c r="D163" i="3"/>
  <c r="C163" i="3"/>
  <c r="A164" i="3"/>
  <c r="C164" i="3"/>
  <c r="A165" i="3"/>
  <c r="D165" i="3"/>
  <c r="C165" i="3"/>
  <c r="A166" i="3"/>
  <c r="C166" i="3"/>
  <c r="A167" i="3"/>
  <c r="C167" i="3"/>
  <c r="A168" i="3"/>
  <c r="C168" i="3"/>
  <c r="A169" i="3"/>
  <c r="C169" i="3"/>
  <c r="A170" i="3"/>
  <c r="C170" i="3"/>
  <c r="A171" i="3"/>
  <c r="C171" i="3"/>
  <c r="A172" i="3"/>
  <c r="C172" i="3"/>
  <c r="A173" i="3"/>
  <c r="C173" i="3"/>
  <c r="A174" i="3"/>
  <c r="D174" i="3"/>
  <c r="C174" i="3"/>
  <c r="A175" i="3"/>
  <c r="D175" i="3"/>
  <c r="C175" i="3"/>
  <c r="A176" i="3"/>
  <c r="C176" i="3"/>
  <c r="A177" i="3"/>
  <c r="C177" i="3"/>
  <c r="A178" i="3"/>
  <c r="C178" i="3"/>
  <c r="A179" i="3"/>
  <c r="C179" i="3"/>
  <c r="A180" i="3"/>
  <c r="C180" i="3"/>
  <c r="A181" i="3"/>
  <c r="C181" i="3"/>
  <c r="A182" i="3"/>
  <c r="C182" i="3"/>
  <c r="A183" i="3"/>
  <c r="C183" i="3"/>
  <c r="A184" i="3"/>
  <c r="C184" i="3"/>
  <c r="A185" i="3"/>
  <c r="D185" i="3"/>
  <c r="C185" i="3"/>
  <c r="A186" i="3"/>
  <c r="C186" i="3"/>
  <c r="A187" i="3"/>
  <c r="C187" i="3"/>
  <c r="A188" i="3"/>
  <c r="D188" i="3"/>
  <c r="C188" i="3"/>
  <c r="A189" i="3"/>
  <c r="D189" i="3"/>
  <c r="C189" i="3"/>
  <c r="A190" i="3"/>
  <c r="C190" i="3"/>
  <c r="A191" i="3"/>
  <c r="C191" i="3"/>
  <c r="A192" i="3"/>
  <c r="C192" i="3"/>
  <c r="A193" i="3"/>
  <c r="C193" i="3"/>
  <c r="A194" i="3"/>
  <c r="C194" i="3"/>
  <c r="A195" i="3"/>
  <c r="C195" i="3"/>
  <c r="A196" i="3"/>
  <c r="C196" i="3"/>
  <c r="A197" i="3"/>
  <c r="D197" i="3"/>
  <c r="C197" i="3"/>
  <c r="A198" i="3"/>
  <c r="D198" i="3"/>
  <c r="C198" i="3"/>
  <c r="A199" i="3"/>
  <c r="C199" i="3"/>
  <c r="A200" i="3"/>
  <c r="C200" i="3"/>
  <c r="A201" i="3"/>
  <c r="C201" i="3"/>
  <c r="A202" i="3"/>
  <c r="C202" i="3"/>
  <c r="A203" i="3"/>
  <c r="C203" i="3"/>
  <c r="A204" i="3"/>
  <c r="C204" i="3"/>
  <c r="A205" i="3"/>
  <c r="C205" i="3"/>
  <c r="A206" i="3"/>
  <c r="C206" i="3"/>
  <c r="A207" i="3"/>
  <c r="C207" i="3"/>
  <c r="A208" i="3"/>
  <c r="C208" i="3"/>
  <c r="A209" i="3"/>
  <c r="D209" i="3"/>
  <c r="C209" i="3"/>
  <c r="A210" i="3"/>
  <c r="C210" i="3"/>
  <c r="A211" i="3"/>
  <c r="C211" i="3"/>
  <c r="A212" i="3"/>
  <c r="A213" i="3"/>
  <c r="D213" i="3"/>
  <c r="C213" i="3"/>
  <c r="A214" i="3"/>
  <c r="C214" i="3"/>
  <c r="A215" i="3"/>
  <c r="C215" i="3"/>
  <c r="A216" i="3"/>
  <c r="C216" i="3"/>
  <c r="A217" i="3"/>
  <c r="C217" i="3"/>
  <c r="A218" i="3"/>
  <c r="C218" i="3"/>
  <c r="A219" i="3"/>
  <c r="C219" i="3"/>
  <c r="A220" i="3"/>
  <c r="C220" i="3"/>
  <c r="A221" i="3"/>
  <c r="D221" i="3"/>
  <c r="C221" i="3"/>
  <c r="A222" i="3"/>
  <c r="C222" i="3"/>
  <c r="A223" i="3"/>
  <c r="D223" i="3"/>
  <c r="C223" i="3"/>
  <c r="A224" i="3"/>
  <c r="C224" i="3"/>
  <c r="A225" i="3"/>
  <c r="D225" i="3"/>
  <c r="C225" i="3"/>
  <c r="A226" i="3"/>
  <c r="C226" i="3"/>
  <c r="A227" i="3"/>
  <c r="C227" i="3"/>
  <c r="A228" i="3"/>
  <c r="C228" i="3"/>
  <c r="A229" i="3"/>
  <c r="C229" i="3"/>
  <c r="A230" i="3"/>
  <c r="C230" i="3"/>
  <c r="A231" i="3"/>
  <c r="C231" i="3"/>
  <c r="A232" i="3"/>
  <c r="C232" i="3"/>
  <c r="A233" i="3"/>
  <c r="D233" i="3"/>
  <c r="C233" i="3"/>
  <c r="A234" i="3"/>
  <c r="C234" i="3"/>
  <c r="A235" i="3"/>
  <c r="C235" i="3"/>
  <c r="A236" i="3"/>
  <c r="C236" i="3"/>
  <c r="A237" i="3"/>
  <c r="C237" i="3"/>
  <c r="A238" i="3"/>
  <c r="C238" i="3"/>
  <c r="A239" i="3"/>
  <c r="C239" i="3"/>
  <c r="A240" i="3"/>
  <c r="C240" i="3"/>
  <c r="A241" i="3"/>
  <c r="C241" i="3"/>
  <c r="A242" i="3"/>
  <c r="C242" i="3"/>
  <c r="A243" i="3"/>
  <c r="C243" i="3"/>
  <c r="A244" i="3"/>
  <c r="C244" i="3"/>
  <c r="A245" i="3"/>
  <c r="D245" i="3"/>
  <c r="C245" i="3"/>
  <c r="A246" i="3"/>
  <c r="D246" i="3"/>
  <c r="C246" i="3"/>
  <c r="A247" i="3"/>
  <c r="C247" i="3"/>
  <c r="A248" i="3"/>
  <c r="C248" i="3"/>
  <c r="A249" i="3"/>
  <c r="C249" i="3"/>
  <c r="A250" i="3"/>
  <c r="C250" i="3"/>
  <c r="A251" i="3"/>
  <c r="C251" i="3"/>
  <c r="A252" i="3"/>
  <c r="C252" i="3"/>
  <c r="A253" i="3"/>
  <c r="C253" i="3"/>
  <c r="A254" i="3"/>
  <c r="C254" i="3"/>
  <c r="A255" i="3"/>
  <c r="C255" i="3"/>
  <c r="A256" i="3"/>
  <c r="C256" i="3"/>
  <c r="A257" i="3"/>
  <c r="C257" i="3"/>
  <c r="A258" i="3"/>
  <c r="C258" i="3"/>
  <c r="A259" i="3"/>
  <c r="C259" i="3"/>
  <c r="A260" i="3"/>
  <c r="C260" i="3"/>
  <c r="A261" i="3"/>
  <c r="D261" i="3"/>
  <c r="C261" i="3"/>
  <c r="A262" i="3"/>
  <c r="D262" i="3"/>
  <c r="C262" i="3"/>
  <c r="A263" i="3"/>
  <c r="C263" i="3"/>
  <c r="A264" i="3"/>
  <c r="C264" i="3"/>
  <c r="A265" i="3"/>
  <c r="C265" i="3"/>
  <c r="A266" i="3"/>
  <c r="C266" i="3"/>
  <c r="A267" i="3"/>
  <c r="C267" i="3"/>
  <c r="A268" i="3"/>
  <c r="C268" i="3"/>
  <c r="A269" i="3"/>
  <c r="C269" i="3"/>
  <c r="A270" i="3"/>
  <c r="C270" i="3"/>
  <c r="A271" i="3"/>
  <c r="C271" i="3"/>
  <c r="A272" i="3"/>
  <c r="D272" i="3"/>
  <c r="C272" i="3"/>
  <c r="A273" i="3"/>
  <c r="C273" i="3"/>
  <c r="A274" i="3"/>
  <c r="C274" i="3"/>
  <c r="A275" i="3"/>
  <c r="C275" i="3"/>
  <c r="A276" i="3"/>
  <c r="C276" i="3"/>
  <c r="A277" i="3"/>
  <c r="C277" i="3"/>
  <c r="A278" i="3"/>
  <c r="C278" i="3"/>
  <c r="A279" i="3"/>
  <c r="C279" i="3"/>
  <c r="A280" i="3"/>
  <c r="C280" i="3"/>
  <c r="A281" i="3"/>
  <c r="D281" i="3"/>
  <c r="C281" i="3"/>
  <c r="A282" i="3"/>
  <c r="C282" i="3"/>
  <c r="A283" i="3"/>
  <c r="C283" i="3"/>
  <c r="A284" i="3"/>
  <c r="C284" i="3"/>
  <c r="A285" i="3"/>
  <c r="C285" i="3"/>
  <c r="A286" i="3"/>
  <c r="C286" i="3"/>
  <c r="A287" i="3"/>
  <c r="D287" i="3"/>
  <c r="C287" i="3"/>
  <c r="A288" i="3"/>
  <c r="C288" i="3"/>
  <c r="A289" i="3"/>
  <c r="C289" i="3"/>
  <c r="A290" i="3"/>
  <c r="C290" i="3"/>
  <c r="A291" i="3"/>
  <c r="C291" i="3"/>
  <c r="A292" i="3"/>
  <c r="C292" i="3"/>
  <c r="A293" i="3"/>
  <c r="D293" i="3"/>
  <c r="C293" i="3"/>
  <c r="A294" i="3"/>
  <c r="C294" i="3"/>
  <c r="A295" i="3"/>
  <c r="C295" i="3"/>
  <c r="A296" i="3"/>
  <c r="D296" i="3"/>
  <c r="C296" i="3"/>
  <c r="A297" i="3"/>
  <c r="D297" i="3"/>
  <c r="C297" i="3"/>
  <c r="A298" i="3"/>
  <c r="C298" i="3"/>
  <c r="A299" i="3"/>
  <c r="C299" i="3"/>
  <c r="A300" i="3"/>
  <c r="C300" i="3"/>
  <c r="A301" i="3"/>
  <c r="C301" i="3"/>
  <c r="A302" i="3"/>
  <c r="C302" i="3"/>
  <c r="A303" i="3"/>
  <c r="C303" i="3"/>
  <c r="A304" i="3"/>
  <c r="C304" i="3"/>
  <c r="A305" i="3"/>
  <c r="D305" i="3"/>
  <c r="C305" i="3"/>
  <c r="A306" i="3"/>
  <c r="D306" i="3"/>
  <c r="C306" i="3"/>
  <c r="A307" i="3"/>
  <c r="D307" i="3"/>
  <c r="C307" i="3"/>
  <c r="A308" i="3"/>
  <c r="C308" i="3"/>
  <c r="A309" i="3"/>
  <c r="C309" i="3"/>
  <c r="A310" i="3"/>
  <c r="C310" i="3"/>
  <c r="A311" i="3"/>
  <c r="C311" i="3"/>
  <c r="A312" i="3"/>
  <c r="C312" i="3"/>
  <c r="A313" i="3"/>
  <c r="C313" i="3"/>
  <c r="A314" i="3"/>
  <c r="C314" i="3"/>
  <c r="A315" i="3"/>
  <c r="C315" i="3"/>
  <c r="A316" i="3"/>
  <c r="C316" i="3"/>
  <c r="A317" i="3"/>
  <c r="C317" i="3"/>
  <c r="A318" i="3"/>
  <c r="D318" i="3"/>
  <c r="C318" i="3"/>
  <c r="A319" i="3"/>
  <c r="C319" i="3"/>
  <c r="A320" i="3"/>
  <c r="C320" i="3"/>
  <c r="A321" i="3"/>
  <c r="C321" i="3"/>
  <c r="A322" i="3"/>
  <c r="C322" i="3"/>
  <c r="A323" i="3"/>
  <c r="D323" i="3"/>
  <c r="C323" i="3"/>
  <c r="A324" i="3"/>
  <c r="C324" i="3"/>
  <c r="A325" i="3"/>
  <c r="C325" i="3"/>
  <c r="A326" i="3"/>
  <c r="C326" i="3"/>
  <c r="A327" i="3"/>
  <c r="C327" i="3"/>
  <c r="A328" i="3"/>
  <c r="C328" i="3"/>
  <c r="A329" i="3"/>
  <c r="D329" i="3"/>
  <c r="C329" i="3"/>
  <c r="A330" i="3"/>
  <c r="C330" i="3"/>
  <c r="A331" i="3"/>
  <c r="D331" i="3"/>
  <c r="C331" i="3"/>
  <c r="A332" i="3"/>
  <c r="D332" i="3"/>
  <c r="C332" i="3"/>
  <c r="A333" i="3"/>
  <c r="D333" i="3"/>
  <c r="C333" i="3"/>
  <c r="A334" i="3"/>
  <c r="C334" i="3"/>
  <c r="A335" i="3"/>
  <c r="C335" i="3"/>
  <c r="A336" i="3"/>
  <c r="C336" i="3"/>
  <c r="A337" i="3"/>
  <c r="C337" i="3"/>
  <c r="A338" i="3"/>
  <c r="C338" i="3"/>
  <c r="A339" i="3"/>
  <c r="C339" i="3"/>
  <c r="A340" i="3"/>
  <c r="C340" i="3"/>
  <c r="A341" i="3"/>
  <c r="D341" i="3"/>
  <c r="C341" i="3"/>
  <c r="A342" i="3"/>
  <c r="D342" i="3"/>
  <c r="C342" i="3"/>
  <c r="A343" i="3"/>
  <c r="C343" i="3"/>
  <c r="A344" i="3"/>
  <c r="C344" i="3"/>
  <c r="A345" i="3"/>
  <c r="C345" i="3"/>
  <c r="A346" i="3"/>
  <c r="C346" i="3"/>
  <c r="A347" i="3"/>
  <c r="D347" i="3"/>
  <c r="C347" i="3"/>
  <c r="A348" i="3"/>
  <c r="C348" i="3"/>
  <c r="A349" i="3"/>
  <c r="C349" i="3"/>
  <c r="A350" i="3"/>
  <c r="C350" i="3"/>
  <c r="A351" i="3"/>
  <c r="C351" i="3"/>
  <c r="A352" i="3"/>
  <c r="C352" i="3"/>
  <c r="A353" i="3"/>
  <c r="D353" i="3"/>
  <c r="C353" i="3"/>
  <c r="A354" i="3"/>
  <c r="C354" i="3"/>
  <c r="A355" i="3"/>
  <c r="C355" i="3"/>
  <c r="A356" i="3"/>
  <c r="C356" i="3"/>
  <c r="A357" i="3"/>
  <c r="D357" i="3"/>
  <c r="C357" i="3"/>
  <c r="A358" i="3"/>
  <c r="C358" i="3"/>
  <c r="A359" i="3"/>
  <c r="C359" i="3"/>
  <c r="A360" i="3"/>
  <c r="C360" i="3"/>
  <c r="A361" i="3"/>
  <c r="C361" i="3"/>
  <c r="A362" i="3"/>
  <c r="C362" i="3"/>
  <c r="A363" i="3"/>
  <c r="C363" i="3"/>
  <c r="A364" i="3"/>
  <c r="C364" i="3"/>
  <c r="A365" i="3"/>
  <c r="C365" i="3"/>
  <c r="A366" i="3"/>
  <c r="D366" i="3"/>
  <c r="C366" i="3"/>
  <c r="A367" i="3"/>
  <c r="D367" i="3"/>
  <c r="C367" i="3"/>
  <c r="A368" i="3"/>
  <c r="C368" i="3"/>
  <c r="A369" i="3"/>
  <c r="C369" i="3"/>
  <c r="A370" i="3"/>
  <c r="C370" i="3"/>
  <c r="A371" i="3"/>
  <c r="C371" i="3"/>
  <c r="A372" i="3"/>
  <c r="C372" i="3"/>
  <c r="A373" i="3"/>
  <c r="C373" i="3"/>
  <c r="A374" i="3"/>
  <c r="C374" i="3"/>
  <c r="A375" i="3"/>
  <c r="C375" i="3"/>
  <c r="A376" i="3"/>
  <c r="C376" i="3"/>
  <c r="A377" i="3"/>
  <c r="D377" i="3"/>
  <c r="C377" i="3"/>
  <c r="A378" i="3"/>
  <c r="D378" i="3"/>
  <c r="C378" i="3"/>
  <c r="A379" i="3"/>
  <c r="C379" i="3"/>
  <c r="A380" i="3"/>
  <c r="C380" i="3"/>
  <c r="A381" i="3"/>
  <c r="C381" i="3"/>
  <c r="A382" i="3"/>
  <c r="C382" i="3"/>
  <c r="A383" i="3"/>
  <c r="C383" i="3"/>
  <c r="A384" i="3"/>
  <c r="C384" i="3"/>
  <c r="A385" i="3"/>
  <c r="C385" i="3"/>
  <c r="A386" i="3"/>
  <c r="C386" i="3"/>
  <c r="A387" i="3"/>
  <c r="C387" i="3"/>
  <c r="A388" i="3"/>
  <c r="D388" i="3"/>
  <c r="C388" i="3"/>
  <c r="A389" i="3"/>
  <c r="C389" i="3"/>
  <c r="A390" i="3"/>
  <c r="D390" i="3"/>
  <c r="C390" i="3"/>
  <c r="A391" i="3"/>
  <c r="C391" i="3"/>
  <c r="A392" i="3"/>
  <c r="C392" i="3"/>
  <c r="A393" i="3"/>
  <c r="D393" i="3"/>
  <c r="C393" i="3"/>
  <c r="A394" i="3"/>
  <c r="C394" i="3"/>
  <c r="A395" i="3"/>
  <c r="C395" i="3"/>
  <c r="A396" i="3"/>
  <c r="C396" i="3"/>
  <c r="A397" i="3"/>
  <c r="C397" i="3"/>
  <c r="A398" i="3"/>
  <c r="C398" i="3"/>
  <c r="A399" i="3"/>
  <c r="C399" i="3"/>
  <c r="A400" i="3"/>
  <c r="C400" i="3"/>
  <c r="A401" i="3"/>
  <c r="D401" i="3"/>
  <c r="C401" i="3"/>
  <c r="A402" i="3"/>
  <c r="C402" i="3"/>
  <c r="A403" i="3"/>
  <c r="D403" i="3"/>
  <c r="C403" i="3"/>
  <c r="A404" i="3"/>
  <c r="C404" i="3"/>
  <c r="A405" i="3"/>
  <c r="D405" i="3"/>
  <c r="C405" i="3"/>
  <c r="A406" i="3"/>
  <c r="C406" i="3"/>
  <c r="A407" i="3"/>
  <c r="C407" i="3"/>
  <c r="A408" i="3"/>
  <c r="C408" i="3"/>
  <c r="A409" i="3"/>
  <c r="C409" i="3"/>
  <c r="A410" i="3"/>
  <c r="C410" i="3"/>
  <c r="A411" i="3"/>
  <c r="C411" i="3"/>
  <c r="A412" i="3"/>
  <c r="C412" i="3"/>
  <c r="A413" i="3"/>
  <c r="D413" i="3"/>
  <c r="C413" i="3"/>
  <c r="A414" i="3"/>
  <c r="D414" i="3"/>
  <c r="C414" i="3"/>
  <c r="A415" i="3"/>
  <c r="C415" i="3"/>
  <c r="A416" i="3"/>
  <c r="C416" i="3"/>
  <c r="A417" i="3"/>
  <c r="C417" i="3"/>
  <c r="A418" i="3"/>
  <c r="C418" i="3"/>
  <c r="A419" i="3"/>
  <c r="C419" i="3"/>
  <c r="A420" i="3"/>
  <c r="C420" i="3"/>
  <c r="A421" i="3"/>
  <c r="C421" i="3"/>
  <c r="A422" i="3"/>
  <c r="C422" i="3"/>
  <c r="A423" i="3"/>
  <c r="C423" i="3"/>
  <c r="A424" i="3"/>
  <c r="C424" i="3"/>
  <c r="A425" i="3"/>
  <c r="D425" i="3"/>
  <c r="C425" i="3"/>
  <c r="A426" i="3"/>
  <c r="C426" i="3"/>
  <c r="A427" i="3"/>
  <c r="D427" i="3"/>
  <c r="C427" i="3"/>
  <c r="A428" i="3"/>
  <c r="C428" i="3"/>
  <c r="A429" i="3"/>
  <c r="D429" i="3"/>
  <c r="C429" i="3"/>
  <c r="A430" i="3"/>
  <c r="C430" i="3"/>
  <c r="A431" i="3"/>
  <c r="C431" i="3"/>
  <c r="A432" i="3"/>
  <c r="C432" i="3"/>
  <c r="A433" i="3"/>
  <c r="C433" i="3"/>
  <c r="A434" i="3"/>
  <c r="C434" i="3"/>
  <c r="A435" i="3"/>
  <c r="C435" i="3"/>
  <c r="A436" i="3"/>
  <c r="C436" i="3"/>
  <c r="A437" i="3"/>
  <c r="D437" i="3"/>
  <c r="C437" i="3"/>
  <c r="A438" i="3"/>
  <c r="C438" i="3"/>
  <c r="A439" i="3"/>
  <c r="D439" i="3"/>
  <c r="C439" i="3"/>
  <c r="A440" i="3"/>
  <c r="C440" i="3"/>
  <c r="A441" i="3"/>
  <c r="C441" i="3"/>
  <c r="A442" i="3"/>
  <c r="C442" i="3"/>
  <c r="A443" i="3"/>
  <c r="C443" i="3"/>
  <c r="A444" i="3"/>
  <c r="D444" i="3"/>
  <c r="C444" i="3"/>
  <c r="A445" i="3"/>
  <c r="C445" i="3"/>
  <c r="A446" i="3"/>
  <c r="C446" i="3"/>
  <c r="A447" i="3"/>
  <c r="C447" i="3"/>
  <c r="A448" i="3"/>
  <c r="C448" i="3"/>
  <c r="A449" i="3"/>
  <c r="D449" i="3"/>
  <c r="C449" i="3"/>
  <c r="A450" i="3"/>
  <c r="C450" i="3"/>
  <c r="A451" i="3"/>
  <c r="C451" i="3"/>
  <c r="A452" i="3"/>
  <c r="C452" i="3"/>
  <c r="A453" i="3"/>
  <c r="C453" i="3"/>
  <c r="A454" i="3"/>
  <c r="C454" i="3"/>
  <c r="A455" i="3"/>
  <c r="C455" i="3"/>
  <c r="A456" i="3"/>
  <c r="C456" i="3"/>
  <c r="A457" i="3"/>
  <c r="C457" i="3"/>
  <c r="A458" i="3"/>
  <c r="C458" i="3"/>
  <c r="A459" i="3"/>
  <c r="C459" i="3"/>
  <c r="A460" i="3"/>
  <c r="C460" i="3"/>
  <c r="A461" i="3"/>
  <c r="D461" i="3"/>
  <c r="C461" i="3"/>
  <c r="A462" i="3"/>
  <c r="C462" i="3"/>
  <c r="A463" i="3"/>
  <c r="C463" i="3"/>
  <c r="A464" i="3"/>
  <c r="D464" i="3"/>
  <c r="C464" i="3"/>
  <c r="A465" i="3"/>
  <c r="C465" i="3"/>
  <c r="A466" i="3"/>
  <c r="C466" i="3"/>
  <c r="A467" i="3"/>
  <c r="C467" i="3"/>
  <c r="A468" i="3"/>
  <c r="C468" i="3"/>
  <c r="A469" i="3"/>
  <c r="C469" i="3"/>
  <c r="A470" i="3"/>
  <c r="C470" i="3"/>
  <c r="A471" i="3"/>
  <c r="C471" i="3"/>
  <c r="A472" i="3"/>
  <c r="C472" i="3"/>
  <c r="A473" i="3"/>
  <c r="D473" i="3"/>
  <c r="C473" i="3"/>
  <c r="A474" i="3"/>
  <c r="D474" i="3"/>
  <c r="C474" i="3"/>
  <c r="A475" i="3"/>
  <c r="C475" i="3"/>
  <c r="A476" i="3"/>
  <c r="C476" i="3"/>
  <c r="A477" i="3"/>
  <c r="C477" i="3"/>
  <c r="A478" i="3"/>
  <c r="D478" i="3"/>
  <c r="C478" i="3"/>
  <c r="A479" i="3"/>
  <c r="C479" i="3"/>
  <c r="A480" i="3"/>
  <c r="C480" i="3"/>
  <c r="A481" i="3"/>
  <c r="C481" i="3"/>
  <c r="A482" i="3"/>
  <c r="C482" i="3"/>
  <c r="A483" i="3"/>
  <c r="C483" i="3"/>
  <c r="A484" i="3"/>
  <c r="C484" i="3"/>
  <c r="A485" i="3"/>
  <c r="D485" i="3"/>
  <c r="C485" i="3"/>
  <c r="A486" i="3"/>
  <c r="C486" i="3"/>
  <c r="A487" i="3"/>
  <c r="C487" i="3"/>
  <c r="A488" i="3"/>
  <c r="C488" i="3"/>
  <c r="A489" i="3"/>
  <c r="D489" i="3"/>
  <c r="C489" i="3"/>
  <c r="A490" i="3"/>
  <c r="C490" i="3"/>
  <c r="A491" i="3"/>
  <c r="C491" i="3"/>
  <c r="A492" i="3"/>
  <c r="C492" i="3"/>
  <c r="A493" i="3"/>
  <c r="C493" i="3"/>
  <c r="A494" i="3"/>
  <c r="C494" i="3"/>
  <c r="A495" i="3"/>
  <c r="C495" i="3"/>
  <c r="A496" i="3"/>
  <c r="C496" i="3"/>
  <c r="A497" i="3"/>
  <c r="D497" i="3"/>
  <c r="C497" i="3"/>
  <c r="A498" i="3"/>
  <c r="C498" i="3"/>
  <c r="A499" i="3"/>
  <c r="D499" i="3"/>
  <c r="C499" i="3"/>
  <c r="A500" i="3"/>
  <c r="D500" i="3"/>
  <c r="C500" i="3"/>
  <c r="A501" i="3"/>
  <c r="C501" i="3"/>
  <c r="A502" i="3"/>
  <c r="C502" i="3"/>
  <c r="A503" i="3"/>
  <c r="C503" i="3"/>
  <c r="A504" i="3"/>
  <c r="C504" i="3"/>
  <c r="A505" i="3"/>
  <c r="C505" i="3"/>
  <c r="A506" i="3"/>
  <c r="C506" i="3"/>
  <c r="A507" i="3"/>
  <c r="C507" i="3"/>
  <c r="A508" i="3"/>
  <c r="C508" i="3"/>
  <c r="A509" i="3"/>
  <c r="D509" i="3"/>
  <c r="C509" i="3"/>
  <c r="A510" i="3"/>
  <c r="C510" i="3"/>
  <c r="A511" i="3"/>
  <c r="C511" i="3"/>
  <c r="A512" i="3"/>
  <c r="C512" i="3"/>
  <c r="A513" i="3"/>
  <c r="C513" i="3"/>
  <c r="A514" i="3"/>
  <c r="C514" i="3"/>
  <c r="A515" i="3"/>
  <c r="C515" i="3"/>
  <c r="A516" i="3"/>
  <c r="C516" i="3"/>
  <c r="A517" i="3"/>
  <c r="C517" i="3"/>
  <c r="A518" i="3"/>
  <c r="C518" i="3"/>
  <c r="A519" i="3"/>
  <c r="C519" i="3"/>
  <c r="A520" i="3"/>
  <c r="C520" i="3"/>
  <c r="A521" i="3"/>
  <c r="D521" i="3"/>
  <c r="C521" i="3"/>
  <c r="A522" i="3"/>
  <c r="C522" i="3"/>
  <c r="A523" i="3"/>
  <c r="C523" i="3"/>
  <c r="A524" i="3"/>
  <c r="C524" i="3"/>
  <c r="A525" i="3"/>
  <c r="D525" i="3"/>
  <c r="C525" i="3"/>
  <c r="A526" i="3"/>
  <c r="C526" i="3"/>
  <c r="A527" i="3"/>
  <c r="C527" i="3"/>
  <c r="A528" i="3"/>
  <c r="C528" i="3"/>
  <c r="A529" i="3"/>
  <c r="C529" i="3"/>
  <c r="A530" i="3"/>
  <c r="C530" i="3"/>
  <c r="A531" i="3"/>
  <c r="C531" i="3"/>
  <c r="A532" i="3"/>
  <c r="C532" i="3"/>
  <c r="A533" i="3"/>
  <c r="D533" i="3"/>
  <c r="C533" i="3"/>
  <c r="A534" i="3"/>
  <c r="C534" i="3"/>
  <c r="A535" i="3"/>
  <c r="C535" i="3"/>
  <c r="A536" i="3"/>
  <c r="C536" i="3"/>
  <c r="A537" i="3"/>
  <c r="D537" i="3"/>
  <c r="C537" i="3"/>
  <c r="A538" i="3"/>
  <c r="C538" i="3"/>
  <c r="A539" i="3"/>
  <c r="C539" i="3"/>
  <c r="A540" i="3"/>
  <c r="C540" i="3"/>
  <c r="A541" i="3"/>
  <c r="C541" i="3"/>
  <c r="A542" i="3"/>
  <c r="C542" i="3"/>
  <c r="A543" i="3"/>
  <c r="C543" i="3"/>
  <c r="A544" i="3"/>
  <c r="C544" i="3"/>
  <c r="A545" i="3"/>
  <c r="C545" i="3"/>
  <c r="A546" i="3"/>
  <c r="D546" i="3"/>
  <c r="C546" i="3"/>
  <c r="A547" i="3"/>
  <c r="D547" i="3"/>
  <c r="C547" i="3"/>
  <c r="A548" i="3"/>
  <c r="C548" i="3"/>
  <c r="A549" i="3"/>
  <c r="C549" i="3"/>
  <c r="A550" i="3"/>
  <c r="C550" i="3"/>
  <c r="A551" i="3"/>
  <c r="C551" i="3"/>
  <c r="A552" i="3"/>
  <c r="C552" i="3"/>
  <c r="A553" i="3"/>
  <c r="C553" i="3"/>
  <c r="A554" i="3"/>
  <c r="C554" i="3"/>
  <c r="A555" i="3"/>
  <c r="C555" i="3"/>
  <c r="A556" i="3"/>
  <c r="C556" i="3"/>
  <c r="A557" i="3"/>
  <c r="D557" i="3"/>
  <c r="C557" i="3"/>
  <c r="A558" i="3"/>
  <c r="C558" i="3"/>
  <c r="A559" i="3"/>
  <c r="C559" i="3"/>
  <c r="A560" i="3"/>
  <c r="C560" i="3"/>
  <c r="A561" i="3"/>
  <c r="C561" i="3"/>
  <c r="A562" i="3"/>
  <c r="C562" i="3"/>
  <c r="A563" i="3"/>
  <c r="C563" i="3"/>
  <c r="A564" i="3"/>
  <c r="C564" i="3"/>
  <c r="A565" i="3"/>
  <c r="C565" i="3"/>
  <c r="A566" i="3"/>
  <c r="C566" i="3"/>
  <c r="A567" i="3"/>
  <c r="C567" i="3"/>
  <c r="A568" i="3"/>
  <c r="C568" i="3"/>
  <c r="A569" i="3"/>
  <c r="D569" i="3"/>
  <c r="C569" i="3"/>
  <c r="A570" i="3"/>
  <c r="C570" i="3"/>
  <c r="A571" i="3"/>
  <c r="C571" i="3"/>
  <c r="A572" i="3"/>
  <c r="C572" i="3"/>
  <c r="A573" i="3"/>
  <c r="C573" i="3"/>
  <c r="A574" i="3"/>
  <c r="C574" i="3"/>
  <c r="A575" i="3"/>
  <c r="C575" i="3"/>
  <c r="A576" i="3"/>
  <c r="C576" i="3"/>
  <c r="A577" i="3"/>
  <c r="C577" i="3"/>
  <c r="A578" i="3"/>
  <c r="C578" i="3"/>
  <c r="A579" i="3"/>
  <c r="C579" i="3"/>
  <c r="A580" i="3"/>
  <c r="C580" i="3"/>
  <c r="A581" i="3"/>
  <c r="D581" i="3"/>
  <c r="C581" i="3"/>
  <c r="A582" i="3"/>
  <c r="D582" i="3"/>
  <c r="C582" i="3"/>
  <c r="A583" i="3"/>
  <c r="D583" i="3"/>
  <c r="C583" i="3"/>
  <c r="A584" i="3"/>
  <c r="C584" i="3"/>
  <c r="A585" i="3"/>
  <c r="D585" i="3"/>
  <c r="C585" i="3"/>
  <c r="A586" i="3"/>
  <c r="C586" i="3"/>
  <c r="A587" i="3"/>
  <c r="C587" i="3"/>
  <c r="A588" i="3"/>
  <c r="C588" i="3"/>
  <c r="A589" i="3"/>
  <c r="C589" i="3"/>
  <c r="A590" i="3"/>
  <c r="C590" i="3"/>
  <c r="A591" i="3"/>
  <c r="C591" i="3"/>
  <c r="A592" i="3"/>
  <c r="C592" i="3"/>
  <c r="A593" i="3"/>
  <c r="C593" i="3"/>
  <c r="A594" i="3"/>
  <c r="C594" i="3"/>
  <c r="A595" i="3"/>
  <c r="C595" i="3"/>
  <c r="A596" i="3"/>
  <c r="C596" i="3"/>
  <c r="A597" i="3"/>
  <c r="C597" i="3"/>
  <c r="A598" i="3"/>
  <c r="C598" i="3"/>
  <c r="A599" i="3"/>
  <c r="C599" i="3"/>
  <c r="A600" i="3"/>
  <c r="C600" i="3"/>
  <c r="A601" i="3"/>
  <c r="C601" i="3"/>
  <c r="A602" i="3"/>
  <c r="C602" i="3"/>
  <c r="A603" i="3"/>
  <c r="C603" i="3"/>
  <c r="A604" i="3"/>
  <c r="C604" i="3"/>
  <c r="A605" i="3"/>
  <c r="D605" i="3"/>
  <c r="C605" i="3"/>
  <c r="A606" i="3"/>
  <c r="C606" i="3"/>
  <c r="A607" i="3"/>
  <c r="C607" i="3"/>
  <c r="A608" i="3"/>
  <c r="C608" i="3"/>
  <c r="A609" i="3"/>
  <c r="C609" i="3"/>
  <c r="A610" i="3"/>
  <c r="D610" i="3"/>
  <c r="C610" i="3"/>
  <c r="A611" i="3"/>
  <c r="C611" i="3"/>
  <c r="A612" i="3"/>
  <c r="C612" i="3"/>
  <c r="A613" i="3"/>
  <c r="C613" i="3"/>
  <c r="A614" i="3"/>
  <c r="C614" i="3"/>
  <c r="A615" i="3"/>
  <c r="C615" i="3"/>
  <c r="A616" i="3"/>
  <c r="C616" i="3"/>
  <c r="A617" i="3"/>
  <c r="D617" i="3"/>
  <c r="C617" i="3"/>
  <c r="A618" i="3"/>
  <c r="C618" i="3"/>
  <c r="A619" i="3"/>
  <c r="C619" i="3"/>
  <c r="A620" i="3"/>
  <c r="D620" i="3"/>
  <c r="C620" i="3"/>
  <c r="A621" i="3"/>
  <c r="C621" i="3"/>
  <c r="A622" i="3"/>
  <c r="C622" i="3"/>
  <c r="A623" i="3"/>
  <c r="C623" i="3"/>
  <c r="A624" i="3"/>
  <c r="C624" i="3"/>
  <c r="A625" i="3"/>
  <c r="C625" i="3"/>
  <c r="A626" i="3"/>
  <c r="C626" i="3"/>
  <c r="A627" i="3"/>
  <c r="C627" i="3"/>
  <c r="A628" i="3"/>
  <c r="C628" i="3"/>
  <c r="A629" i="3"/>
  <c r="D629" i="3"/>
  <c r="C629" i="3"/>
  <c r="A630" i="3"/>
  <c r="C630" i="3"/>
  <c r="A631" i="3"/>
  <c r="C631" i="3"/>
  <c r="A632" i="3"/>
  <c r="C632" i="3"/>
  <c r="A633" i="3"/>
  <c r="C633" i="3"/>
  <c r="A634" i="3"/>
  <c r="C634" i="3"/>
  <c r="A635" i="3"/>
  <c r="D635" i="3"/>
  <c r="C635" i="3"/>
  <c r="A636" i="3"/>
  <c r="D636" i="3"/>
  <c r="C636" i="3"/>
  <c r="A637" i="3"/>
  <c r="C637" i="3"/>
  <c r="A638" i="3"/>
  <c r="C638" i="3"/>
  <c r="A639" i="3"/>
  <c r="C639" i="3"/>
  <c r="A640" i="3"/>
  <c r="C640" i="3"/>
  <c r="A641" i="3"/>
  <c r="D641" i="3"/>
  <c r="C641" i="3"/>
  <c r="A642" i="3"/>
  <c r="C642" i="3"/>
  <c r="A643" i="3"/>
  <c r="D643" i="3"/>
  <c r="C643" i="3"/>
  <c r="A644" i="3"/>
  <c r="C644" i="3"/>
  <c r="A645" i="3"/>
  <c r="D645" i="3"/>
  <c r="C645" i="3"/>
  <c r="A646" i="3"/>
  <c r="C646" i="3"/>
  <c r="A647" i="3"/>
  <c r="C647" i="3"/>
  <c r="A648" i="3"/>
  <c r="C648" i="3"/>
  <c r="A649" i="3"/>
  <c r="C649" i="3"/>
  <c r="A650" i="3"/>
  <c r="C650" i="3"/>
  <c r="A651" i="3"/>
  <c r="C651" i="3"/>
  <c r="A652" i="3"/>
  <c r="C652" i="3"/>
  <c r="A653" i="3"/>
  <c r="D653" i="3"/>
  <c r="C653" i="3"/>
  <c r="A654" i="3"/>
  <c r="C654" i="3"/>
  <c r="A655" i="3"/>
  <c r="C655" i="3"/>
  <c r="A656" i="3"/>
  <c r="C656" i="3"/>
  <c r="A657" i="3"/>
  <c r="D657" i="3"/>
  <c r="C657" i="3"/>
  <c r="A658" i="3"/>
  <c r="C658" i="3"/>
  <c r="A659" i="3"/>
  <c r="C659" i="3"/>
  <c r="A660" i="3"/>
  <c r="C660" i="3"/>
  <c r="A661" i="3"/>
  <c r="C661" i="3"/>
  <c r="A662" i="3"/>
  <c r="C662" i="3"/>
  <c r="A663" i="3"/>
  <c r="C663" i="3"/>
  <c r="A664" i="3"/>
  <c r="C664" i="3"/>
  <c r="A665" i="3"/>
  <c r="C665" i="3"/>
  <c r="A666" i="3"/>
  <c r="D666" i="3"/>
  <c r="C666" i="3"/>
  <c r="A667" i="3"/>
  <c r="D667" i="3"/>
  <c r="C667" i="3"/>
  <c r="A668" i="3"/>
  <c r="C668" i="3"/>
  <c r="A669" i="3"/>
  <c r="C669" i="3"/>
  <c r="A670" i="3"/>
  <c r="C670" i="3"/>
  <c r="A671" i="3"/>
  <c r="C671" i="3"/>
  <c r="A672" i="3"/>
  <c r="D672" i="3"/>
  <c r="C672" i="3"/>
  <c r="A673" i="3"/>
  <c r="C673" i="3"/>
  <c r="A674" i="3"/>
  <c r="C674" i="3"/>
  <c r="A675" i="3"/>
  <c r="C675" i="3"/>
  <c r="A676" i="3"/>
  <c r="C676" i="3"/>
  <c r="A677" i="3"/>
  <c r="C677" i="3"/>
  <c r="A678" i="3"/>
  <c r="C678" i="3"/>
  <c r="A679" i="3"/>
  <c r="C679" i="3"/>
  <c r="A680" i="3"/>
  <c r="D680" i="3"/>
  <c r="C680" i="3"/>
  <c r="A681" i="3"/>
  <c r="D681" i="3"/>
  <c r="C681" i="3"/>
  <c r="A682" i="3"/>
  <c r="C682" i="3"/>
  <c r="A683" i="3"/>
  <c r="C683" i="3"/>
  <c r="A684" i="3"/>
  <c r="C684" i="3"/>
  <c r="A685" i="3"/>
  <c r="C685" i="3"/>
  <c r="A686" i="3"/>
  <c r="C686" i="3"/>
  <c r="A687" i="3"/>
  <c r="C687" i="3"/>
  <c r="A688" i="3"/>
  <c r="C688" i="3"/>
  <c r="A689" i="3"/>
  <c r="C689" i="3"/>
  <c r="A690" i="3"/>
  <c r="D690" i="3"/>
  <c r="C690" i="3"/>
  <c r="A691" i="3"/>
  <c r="D691" i="3"/>
  <c r="C691" i="3"/>
  <c r="A692" i="3"/>
  <c r="C692" i="3"/>
  <c r="A693" i="3"/>
  <c r="C693" i="3"/>
  <c r="A694" i="3"/>
  <c r="C694" i="3"/>
  <c r="A695" i="3"/>
  <c r="C695" i="3"/>
  <c r="A696" i="3"/>
  <c r="C696" i="3"/>
  <c r="A697" i="3"/>
  <c r="C697" i="3"/>
  <c r="A698" i="3"/>
  <c r="C698" i="3"/>
  <c r="A699" i="3"/>
  <c r="C699" i="3"/>
  <c r="A700" i="3"/>
  <c r="D700" i="3"/>
  <c r="C700" i="3"/>
  <c r="A701" i="3"/>
  <c r="D701" i="3"/>
  <c r="C701" i="3"/>
  <c r="A702" i="3"/>
  <c r="D702" i="3"/>
  <c r="C702" i="3"/>
  <c r="A703" i="3"/>
  <c r="C703" i="3"/>
  <c r="A704" i="3"/>
  <c r="C704" i="3"/>
  <c r="A705" i="3"/>
  <c r="D705" i="3"/>
  <c r="C705" i="3"/>
  <c r="A706" i="3"/>
  <c r="D706" i="3"/>
  <c r="C706" i="3"/>
  <c r="A707" i="3"/>
  <c r="C707" i="3"/>
  <c r="A708" i="3"/>
  <c r="C708" i="3"/>
  <c r="A709" i="3"/>
  <c r="C709" i="3"/>
  <c r="A710" i="3"/>
  <c r="C710" i="3"/>
  <c r="A711" i="3"/>
  <c r="C711" i="3"/>
  <c r="A712" i="3"/>
  <c r="C712" i="3"/>
  <c r="A713" i="3"/>
  <c r="D713" i="3"/>
  <c r="C713" i="3"/>
  <c r="A714" i="3"/>
  <c r="C714" i="3"/>
  <c r="A715" i="3"/>
  <c r="C715" i="3"/>
  <c r="A716" i="3"/>
  <c r="C716" i="3"/>
  <c r="A717" i="3"/>
  <c r="D717" i="3"/>
  <c r="C717" i="3"/>
  <c r="A718" i="3"/>
  <c r="C718" i="3"/>
  <c r="A719" i="3"/>
  <c r="C719" i="3"/>
  <c r="A720" i="3"/>
  <c r="C720" i="3"/>
  <c r="A721" i="3"/>
  <c r="C721" i="3"/>
  <c r="A722" i="3"/>
  <c r="C722" i="3"/>
  <c r="A723" i="3"/>
  <c r="C723" i="3"/>
  <c r="A724" i="3"/>
  <c r="C724" i="3"/>
  <c r="A725" i="3"/>
  <c r="D725" i="3"/>
  <c r="C725" i="3"/>
  <c r="A726" i="3"/>
  <c r="D726" i="3"/>
  <c r="C726" i="3"/>
  <c r="A727" i="3"/>
  <c r="C727" i="3"/>
  <c r="A728" i="3"/>
  <c r="C728" i="3"/>
  <c r="A729" i="3"/>
  <c r="C729" i="3"/>
  <c r="A730" i="3"/>
  <c r="C730" i="3"/>
  <c r="A731" i="3"/>
  <c r="C731" i="3"/>
  <c r="A732" i="3"/>
  <c r="C732" i="3"/>
  <c r="A733" i="3"/>
  <c r="C733" i="3"/>
  <c r="A734" i="3"/>
  <c r="C734" i="3"/>
  <c r="A735" i="3"/>
  <c r="C735" i="3"/>
  <c r="A736" i="3"/>
  <c r="C736" i="3"/>
  <c r="A737" i="3"/>
  <c r="C737" i="3"/>
  <c r="A738" i="3"/>
  <c r="D738" i="3"/>
  <c r="C738" i="3"/>
  <c r="A739" i="3"/>
  <c r="C739" i="3"/>
  <c r="A740" i="3"/>
  <c r="C740" i="3"/>
  <c r="A741" i="3"/>
  <c r="D741" i="3"/>
  <c r="C741" i="3"/>
  <c r="A742" i="3"/>
  <c r="D742" i="3"/>
  <c r="C742" i="3"/>
  <c r="A743" i="3"/>
  <c r="C743" i="3"/>
  <c r="A744" i="3"/>
  <c r="C744" i="3"/>
  <c r="A745" i="3"/>
  <c r="C745" i="3"/>
  <c r="A746" i="3"/>
  <c r="C746" i="3"/>
  <c r="A747" i="3"/>
  <c r="C747" i="3"/>
  <c r="A748" i="3"/>
  <c r="C748" i="3"/>
  <c r="A749" i="3"/>
  <c r="D749" i="3"/>
  <c r="C749" i="3"/>
  <c r="A750" i="3"/>
  <c r="C750" i="3"/>
  <c r="A751" i="3"/>
  <c r="D751" i="3"/>
  <c r="C751" i="3"/>
  <c r="A752" i="3"/>
  <c r="C752" i="3"/>
  <c r="A753" i="3"/>
  <c r="D753" i="3"/>
  <c r="C753" i="3"/>
  <c r="A754" i="3"/>
  <c r="C754" i="3"/>
  <c r="A755" i="3"/>
  <c r="C755" i="3"/>
  <c r="A756" i="3"/>
  <c r="C756" i="3"/>
  <c r="A757" i="3"/>
  <c r="C757" i="3"/>
  <c r="A758" i="3"/>
  <c r="C758" i="3"/>
  <c r="A759" i="3"/>
  <c r="C759" i="3"/>
  <c r="A760" i="3"/>
  <c r="C760" i="3"/>
  <c r="A761" i="3"/>
  <c r="D761" i="3"/>
  <c r="C761" i="3"/>
  <c r="A762" i="3"/>
  <c r="C762" i="3"/>
  <c r="A763" i="3"/>
  <c r="D763" i="3"/>
  <c r="C763" i="3"/>
  <c r="A764" i="3"/>
  <c r="C764" i="3"/>
  <c r="A765" i="3"/>
  <c r="C765" i="3"/>
  <c r="A766" i="3"/>
  <c r="C766" i="3"/>
  <c r="A767" i="3"/>
  <c r="C767" i="3"/>
  <c r="A768" i="3"/>
  <c r="C768" i="3"/>
  <c r="A769" i="3"/>
  <c r="C769" i="3"/>
  <c r="A770" i="3"/>
  <c r="C770" i="3"/>
  <c r="A771" i="3"/>
  <c r="C771" i="3"/>
  <c r="A772" i="3"/>
  <c r="C772" i="3"/>
  <c r="A773" i="3"/>
  <c r="D773" i="3"/>
  <c r="C773" i="3"/>
  <c r="A774" i="3"/>
  <c r="C774" i="3"/>
  <c r="A775" i="3"/>
  <c r="C775" i="3"/>
  <c r="A776" i="3"/>
  <c r="C776" i="3"/>
  <c r="A777" i="3"/>
  <c r="D777" i="3"/>
  <c r="C777" i="3"/>
  <c r="A778" i="3"/>
  <c r="C778" i="3"/>
  <c r="A779" i="3"/>
  <c r="C779" i="3"/>
  <c r="A780" i="3"/>
  <c r="C780" i="3"/>
  <c r="A781" i="3"/>
  <c r="C781" i="3"/>
  <c r="A782" i="3"/>
  <c r="C782" i="3"/>
  <c r="A783" i="3"/>
  <c r="C783" i="3"/>
  <c r="A784" i="3"/>
  <c r="C784" i="3"/>
  <c r="A785" i="3"/>
  <c r="D785" i="3"/>
  <c r="C785" i="3"/>
  <c r="A786" i="3"/>
  <c r="C786" i="3"/>
  <c r="A787" i="3"/>
  <c r="C787" i="3"/>
  <c r="A788" i="3"/>
  <c r="D788" i="3"/>
  <c r="C788" i="3"/>
  <c r="A789" i="3"/>
  <c r="D789" i="3"/>
  <c r="C789" i="3"/>
  <c r="A790" i="3"/>
  <c r="C790" i="3"/>
  <c r="A791" i="3"/>
  <c r="C791" i="3"/>
  <c r="A792" i="3"/>
  <c r="C792" i="3"/>
  <c r="A793" i="3"/>
  <c r="C793" i="3"/>
  <c r="A794" i="3"/>
  <c r="C794" i="3"/>
  <c r="A795" i="3"/>
  <c r="C795" i="3"/>
  <c r="A796" i="3"/>
  <c r="C796" i="3"/>
  <c r="A797" i="3"/>
  <c r="D797" i="3"/>
  <c r="C797" i="3"/>
  <c r="A798" i="3"/>
  <c r="D798" i="3"/>
  <c r="C798" i="3"/>
  <c r="A799" i="3"/>
  <c r="C799" i="3"/>
  <c r="A800" i="3"/>
  <c r="C800" i="3"/>
  <c r="A801" i="3"/>
  <c r="C801" i="3"/>
  <c r="A802" i="3"/>
  <c r="C802" i="3"/>
  <c r="A803" i="3"/>
  <c r="C803" i="3"/>
  <c r="A804" i="3"/>
  <c r="C804" i="3"/>
  <c r="A805" i="3"/>
  <c r="C805" i="3"/>
  <c r="A806" i="3"/>
  <c r="C806" i="3"/>
  <c r="A807" i="3"/>
  <c r="C807" i="3"/>
  <c r="A808" i="3"/>
  <c r="C808" i="3"/>
  <c r="A809" i="3"/>
  <c r="C809" i="3"/>
  <c r="A810" i="3"/>
  <c r="C810" i="3"/>
  <c r="A811" i="3"/>
  <c r="C811" i="3"/>
  <c r="A812" i="3"/>
  <c r="C812" i="3"/>
  <c r="A813" i="3"/>
  <c r="C813" i="3"/>
  <c r="A814" i="3"/>
  <c r="D814" i="3"/>
  <c r="C814" i="3"/>
  <c r="A815" i="3"/>
  <c r="D815" i="3"/>
  <c r="C815" i="3"/>
  <c r="A816" i="3"/>
  <c r="C816" i="3"/>
  <c r="A817" i="3"/>
  <c r="C817" i="3"/>
  <c r="A818" i="3"/>
  <c r="C818" i="3"/>
  <c r="A819" i="3"/>
  <c r="C819" i="3"/>
  <c r="A820" i="3"/>
  <c r="C820" i="3"/>
  <c r="A821" i="3"/>
  <c r="D821" i="3"/>
  <c r="C821" i="3"/>
  <c r="A822" i="3"/>
  <c r="D822" i="3"/>
  <c r="C822" i="3"/>
  <c r="A823" i="3"/>
  <c r="D823" i="3"/>
  <c r="C823" i="3"/>
  <c r="A824" i="3"/>
  <c r="C824" i="3"/>
  <c r="A825" i="3"/>
  <c r="D825" i="3"/>
  <c r="C825" i="3"/>
  <c r="A826" i="3"/>
  <c r="C826" i="3"/>
  <c r="A827" i="3"/>
  <c r="C827" i="3"/>
  <c r="A828" i="3"/>
  <c r="C828" i="3"/>
  <c r="A829" i="3"/>
  <c r="C829" i="3"/>
  <c r="A830" i="3"/>
  <c r="C830" i="3"/>
  <c r="A831" i="3"/>
  <c r="C831" i="3"/>
  <c r="A832" i="3"/>
  <c r="C832" i="3"/>
  <c r="A833" i="3"/>
  <c r="D833" i="3"/>
  <c r="C833" i="3"/>
  <c r="A834" i="3"/>
  <c r="C834" i="3"/>
  <c r="A835" i="3"/>
  <c r="C835" i="3"/>
  <c r="A836" i="3"/>
  <c r="C836" i="3"/>
  <c r="A837" i="3"/>
  <c r="C837" i="3"/>
  <c r="A838" i="3"/>
  <c r="C838" i="3"/>
  <c r="A839" i="3"/>
  <c r="D839" i="3"/>
  <c r="C839" i="3"/>
  <c r="A840" i="3"/>
  <c r="C840" i="3"/>
  <c r="A841" i="3"/>
  <c r="C841" i="3"/>
  <c r="A842" i="3"/>
  <c r="C842" i="3"/>
  <c r="A843" i="3"/>
  <c r="C843" i="3"/>
  <c r="A844" i="3"/>
  <c r="C844" i="3"/>
  <c r="A845" i="3"/>
  <c r="D845" i="3"/>
  <c r="C845" i="3"/>
  <c r="A846" i="3"/>
  <c r="C846" i="3"/>
  <c r="A847" i="3"/>
  <c r="C847" i="3"/>
  <c r="A848" i="3"/>
  <c r="C848" i="3"/>
  <c r="A849" i="3"/>
  <c r="D849" i="3"/>
  <c r="C849" i="3"/>
  <c r="A850" i="3"/>
  <c r="C850" i="3"/>
  <c r="A851" i="3"/>
  <c r="C851" i="3"/>
  <c r="A852" i="3"/>
  <c r="C852" i="3"/>
  <c r="A853" i="3"/>
  <c r="C853" i="3"/>
  <c r="A854" i="3"/>
  <c r="C854" i="3"/>
  <c r="A855" i="3"/>
  <c r="C855" i="3"/>
  <c r="A856" i="3"/>
  <c r="C856" i="3"/>
  <c r="A857" i="3"/>
  <c r="D857" i="3"/>
  <c r="C857" i="3"/>
  <c r="A858" i="3"/>
  <c r="C858" i="3"/>
  <c r="A859" i="3"/>
  <c r="D859" i="3"/>
  <c r="C859" i="3"/>
  <c r="A860" i="3"/>
  <c r="D860" i="3"/>
  <c r="C860" i="3"/>
  <c r="A861" i="3"/>
  <c r="D861" i="3"/>
  <c r="C861" i="3"/>
  <c r="A862" i="3"/>
  <c r="C862" i="3"/>
  <c r="A863" i="3"/>
  <c r="C863" i="3"/>
  <c r="A864" i="3"/>
  <c r="C864" i="3"/>
  <c r="A865" i="3"/>
  <c r="C865" i="3"/>
  <c r="A866" i="3"/>
  <c r="C866" i="3"/>
  <c r="A867" i="3"/>
  <c r="C867" i="3"/>
  <c r="A868" i="3"/>
  <c r="C868" i="3"/>
  <c r="A869" i="3"/>
  <c r="D869" i="3"/>
  <c r="C869" i="3"/>
  <c r="A870" i="3"/>
  <c r="C870" i="3"/>
  <c r="A871" i="3"/>
  <c r="C871" i="3"/>
  <c r="A872" i="3"/>
  <c r="C872" i="3"/>
  <c r="A873" i="3"/>
  <c r="C873" i="3"/>
  <c r="A874" i="3"/>
  <c r="C874" i="3"/>
  <c r="A875" i="3"/>
  <c r="C875" i="3"/>
  <c r="A876" i="3"/>
  <c r="C876" i="3"/>
  <c r="A877" i="3"/>
  <c r="C877" i="3"/>
  <c r="A878" i="3"/>
  <c r="C878" i="3"/>
  <c r="A879" i="3"/>
  <c r="C879" i="3"/>
  <c r="A880" i="3"/>
  <c r="C880" i="3"/>
  <c r="A881" i="3"/>
  <c r="D881" i="3"/>
  <c r="C881" i="3"/>
  <c r="A882" i="3"/>
  <c r="D882" i="3"/>
  <c r="C882" i="3"/>
  <c r="A883" i="3"/>
  <c r="C883" i="3"/>
  <c r="A884" i="3"/>
  <c r="C884" i="3"/>
  <c r="A885" i="3"/>
  <c r="C885" i="3"/>
  <c r="A886" i="3"/>
  <c r="D886" i="3"/>
  <c r="C886" i="3"/>
  <c r="A887" i="3"/>
  <c r="C887" i="3"/>
  <c r="A888" i="3"/>
  <c r="C888" i="3"/>
  <c r="A889" i="3"/>
  <c r="C889" i="3"/>
  <c r="A890" i="3"/>
  <c r="C890" i="3"/>
  <c r="A891" i="3"/>
  <c r="C891" i="3"/>
  <c r="A892" i="3"/>
  <c r="D892" i="3"/>
  <c r="C892" i="3"/>
  <c r="A893" i="3"/>
  <c r="C893" i="3"/>
  <c r="A894" i="3"/>
  <c r="C894" i="3"/>
  <c r="A895" i="3"/>
  <c r="D895" i="3"/>
  <c r="C895" i="3"/>
  <c r="A896" i="3"/>
  <c r="D896" i="3"/>
  <c r="C896" i="3"/>
  <c r="A897" i="3"/>
  <c r="D897" i="3"/>
  <c r="C897" i="3"/>
  <c r="A898" i="3"/>
  <c r="C898" i="3"/>
  <c r="A899" i="3"/>
  <c r="C899" i="3"/>
  <c r="A900" i="3"/>
  <c r="C900" i="3"/>
  <c r="A901" i="3"/>
  <c r="C901" i="3"/>
  <c r="A902" i="3"/>
  <c r="C902" i="3"/>
  <c r="A903" i="3"/>
  <c r="C903" i="3"/>
  <c r="A904" i="3"/>
  <c r="C904" i="3"/>
  <c r="A905" i="3"/>
  <c r="C905" i="3"/>
  <c r="A906" i="3"/>
  <c r="C906" i="3"/>
  <c r="A907" i="3"/>
  <c r="C907" i="3"/>
  <c r="A908" i="3"/>
  <c r="C908" i="3"/>
  <c r="A909" i="3"/>
  <c r="C909" i="3"/>
  <c r="A910" i="3"/>
  <c r="C910" i="3"/>
  <c r="A911" i="3"/>
  <c r="C911" i="3"/>
  <c r="A912" i="3"/>
  <c r="C912" i="3"/>
  <c r="A913" i="3"/>
  <c r="C913" i="3"/>
  <c r="A914" i="3"/>
  <c r="C914" i="3"/>
  <c r="A915" i="3"/>
  <c r="C915" i="3"/>
  <c r="A916" i="3"/>
  <c r="C916" i="3"/>
  <c r="A917" i="3"/>
  <c r="C917" i="3"/>
  <c r="A918" i="3"/>
  <c r="C918" i="3"/>
  <c r="A919" i="3"/>
  <c r="C919" i="3"/>
  <c r="A920" i="3"/>
  <c r="C920" i="3"/>
  <c r="A921" i="3"/>
  <c r="D921" i="3"/>
  <c r="C921" i="3"/>
  <c r="C2" i="3"/>
  <c r="C4" i="1"/>
  <c r="C3" i="1"/>
  <c r="C6" i="1"/>
  <c r="C5" i="1"/>
  <c r="B6" i="1"/>
  <c r="B5" i="1"/>
  <c r="B4" i="1"/>
  <c r="B3" i="1"/>
  <c r="M873" i="3" l="1"/>
  <c r="M920" i="3"/>
  <c r="M908" i="3"/>
  <c r="M896" i="3"/>
  <c r="M884" i="3"/>
  <c r="M872" i="3"/>
  <c r="M860" i="3"/>
  <c r="M848" i="3"/>
  <c r="M836" i="3"/>
  <c r="M824" i="3"/>
  <c r="M812" i="3"/>
  <c r="M800" i="3"/>
  <c r="M788" i="3"/>
  <c r="M776" i="3"/>
  <c r="M764" i="3"/>
  <c r="M752" i="3"/>
  <c r="M740" i="3"/>
  <c r="M716" i="3"/>
  <c r="M885" i="3"/>
  <c r="M897" i="3"/>
  <c r="M921" i="3"/>
  <c r="M909" i="3"/>
  <c r="M325" i="3"/>
  <c r="M893" i="3"/>
  <c r="M912" i="3"/>
  <c r="M900" i="3"/>
  <c r="M888" i="3"/>
  <c r="M876" i="3"/>
  <c r="M864" i="3"/>
  <c r="M852" i="3"/>
  <c r="M840" i="3"/>
  <c r="M828" i="3"/>
  <c r="M816" i="3"/>
  <c r="M804" i="3"/>
  <c r="M792" i="3"/>
  <c r="M780" i="3"/>
  <c r="M768" i="3"/>
  <c r="M756" i="3"/>
  <c r="M744" i="3"/>
  <c r="M732" i="3"/>
  <c r="M720" i="3"/>
  <c r="M708" i="3"/>
  <c r="M696" i="3"/>
  <c r="M684" i="3"/>
  <c r="M672" i="3"/>
  <c r="M660" i="3"/>
  <c r="M648" i="3"/>
  <c r="M636" i="3"/>
  <c r="M624" i="3"/>
  <c r="M612" i="3"/>
  <c r="M600" i="3"/>
  <c r="M588" i="3"/>
  <c r="M576" i="3"/>
  <c r="M564" i="3"/>
  <c r="M552" i="3"/>
  <c r="M540" i="3"/>
  <c r="M528" i="3"/>
  <c r="M516" i="3"/>
  <c r="M504" i="3"/>
  <c r="M492" i="3"/>
  <c r="M480" i="3"/>
  <c r="M468" i="3"/>
  <c r="M456" i="3"/>
  <c r="M444" i="3"/>
  <c r="M432" i="3"/>
  <c r="M420" i="3"/>
  <c r="M408" i="3"/>
  <c r="M396" i="3"/>
  <c r="M384" i="3"/>
  <c r="M372" i="3"/>
  <c r="M360" i="3"/>
  <c r="M348" i="3"/>
  <c r="M336" i="3"/>
  <c r="M324" i="3"/>
  <c r="M312" i="3"/>
  <c r="M300" i="3"/>
  <c r="M288" i="3"/>
  <c r="M276" i="3"/>
  <c r="M264" i="3"/>
  <c r="M252" i="3"/>
  <c r="M240" i="3"/>
  <c r="M228" i="3"/>
  <c r="M216" i="3"/>
  <c r="M204" i="3"/>
  <c r="M192" i="3"/>
  <c r="M180" i="3"/>
  <c r="M168" i="3"/>
  <c r="M156" i="3"/>
  <c r="M144" i="3"/>
  <c r="M132" i="3"/>
  <c r="M120" i="3"/>
  <c r="M108" i="3"/>
  <c r="M615" i="3"/>
  <c r="M652" i="3"/>
  <c r="M400" i="3"/>
  <c r="M675" i="3"/>
  <c r="U1" i="3"/>
  <c r="N2" i="3"/>
  <c r="M890" i="3"/>
  <c r="M674" i="3"/>
  <c r="M614" i="3"/>
  <c r="M866" i="3"/>
  <c r="M854" i="3"/>
  <c r="M842" i="3"/>
  <c r="M830" i="3"/>
  <c r="M818" i="3"/>
  <c r="M806" i="3"/>
  <c r="M794" i="3"/>
  <c r="M782" i="3"/>
  <c r="M770" i="3"/>
  <c r="M758" i="3"/>
  <c r="M746" i="3"/>
  <c r="M734" i="3"/>
  <c r="M722" i="3"/>
  <c r="M710" i="3"/>
  <c r="M698" i="3"/>
  <c r="M686" i="3"/>
  <c r="M662" i="3"/>
  <c r="M880" i="3"/>
  <c r="M868" i="3"/>
  <c r="M856" i="3"/>
  <c r="M650" i="3"/>
  <c r="M638" i="3"/>
  <c r="M626" i="3"/>
  <c r="M602" i="3"/>
  <c r="M590" i="3"/>
  <c r="M578" i="3"/>
  <c r="M566" i="3"/>
  <c r="M554" i="3"/>
  <c r="M542" i="3"/>
  <c r="M530" i="3"/>
  <c r="M518" i="3"/>
  <c r="M506" i="3"/>
  <c r="M494" i="3"/>
  <c r="M482" i="3"/>
  <c r="M470" i="3"/>
  <c r="M458" i="3"/>
  <c r="M446" i="3"/>
  <c r="M434" i="3"/>
  <c r="M422" i="3"/>
  <c r="M410" i="3"/>
  <c r="M398" i="3"/>
  <c r="M386" i="3"/>
  <c r="M374" i="3"/>
  <c r="M362" i="3"/>
  <c r="M350" i="3"/>
  <c r="M338" i="3"/>
  <c r="M326" i="3"/>
  <c r="M314" i="3"/>
  <c r="M302" i="3"/>
  <c r="M290" i="3"/>
  <c r="M278" i="3"/>
  <c r="M266" i="3"/>
  <c r="M254" i="3"/>
  <c r="M242" i="3"/>
  <c r="M230" i="3"/>
  <c r="M218" i="3"/>
  <c r="M206" i="3"/>
  <c r="M194" i="3"/>
  <c r="M182" i="3"/>
  <c r="M170" i="3"/>
  <c r="M158" i="3"/>
  <c r="M146" i="3"/>
  <c r="M134" i="3"/>
  <c r="M122" i="3"/>
  <c r="M110" i="3"/>
  <c r="M98" i="3"/>
  <c r="M86" i="3"/>
  <c r="M74" i="3"/>
  <c r="M62" i="3"/>
  <c r="M50" i="3"/>
  <c r="M38" i="3"/>
  <c r="M26" i="3"/>
  <c r="M14" i="3"/>
  <c r="M397" i="3"/>
  <c r="M85" i="3"/>
  <c r="M73" i="3"/>
  <c r="M61" i="3"/>
  <c r="M49" i="3"/>
  <c r="M37" i="3"/>
  <c r="M25" i="3"/>
  <c r="M13" i="3"/>
  <c r="M181" i="3"/>
  <c r="M109" i="3"/>
  <c r="M96" i="3"/>
  <c r="M84" i="3"/>
  <c r="M72" i="3"/>
  <c r="M60" i="3"/>
  <c r="M48" i="3"/>
  <c r="M36" i="3"/>
  <c r="M24" i="3"/>
  <c r="M12" i="3"/>
  <c r="M832" i="3"/>
  <c r="M882" i="3"/>
  <c r="M810" i="3"/>
  <c r="M534" i="3"/>
  <c r="M390" i="3"/>
  <c r="M174" i="3"/>
  <c r="M150" i="3"/>
  <c r="M905" i="3"/>
  <c r="M869" i="3"/>
  <c r="M833" i="3"/>
  <c r="M809" i="3"/>
  <c r="M785" i="3"/>
  <c r="M761" i="3"/>
  <c r="M737" i="3"/>
  <c r="M713" i="3"/>
  <c r="M689" i="3"/>
  <c r="M665" i="3"/>
  <c r="M641" i="3"/>
  <c r="M617" i="3"/>
  <c r="M593" i="3"/>
  <c r="M569" i="3"/>
  <c r="M545" i="3"/>
  <c r="M521" i="3"/>
  <c r="M497" i="3"/>
  <c r="M473" i="3"/>
  <c r="M449" i="3"/>
  <c r="M425" i="3"/>
  <c r="M401" i="3"/>
  <c r="M377" i="3"/>
  <c r="M353" i="3"/>
  <c r="M329" i="3"/>
  <c r="M305" i="3"/>
  <c r="M281" i="3"/>
  <c r="M257" i="3"/>
  <c r="M233" i="3"/>
  <c r="M65" i="3"/>
  <c r="M916" i="3"/>
  <c r="M904" i="3"/>
  <c r="M892" i="3"/>
  <c r="M917" i="3"/>
  <c r="M881" i="3"/>
  <c r="M857" i="3"/>
  <c r="M845" i="3"/>
  <c r="M821" i="3"/>
  <c r="M797" i="3"/>
  <c r="M773" i="3"/>
  <c r="M749" i="3"/>
  <c r="M725" i="3"/>
  <c r="M701" i="3"/>
  <c r="M677" i="3"/>
  <c r="M653" i="3"/>
  <c r="M629" i="3"/>
  <c r="M605" i="3"/>
  <c r="M581" i="3"/>
  <c r="M557" i="3"/>
  <c r="M533" i="3"/>
  <c r="M509" i="3"/>
  <c r="M485" i="3"/>
  <c r="M461" i="3"/>
  <c r="M437" i="3"/>
  <c r="M413" i="3"/>
  <c r="M389" i="3"/>
  <c r="M365" i="3"/>
  <c r="M341" i="3"/>
  <c r="M317" i="3"/>
  <c r="M293" i="3"/>
  <c r="M269" i="3"/>
  <c r="M245" i="3"/>
  <c r="M197" i="3"/>
  <c r="M89" i="3"/>
  <c r="M17" i="3"/>
  <c r="M844" i="3"/>
  <c r="M808" i="3"/>
  <c r="M784" i="3"/>
  <c r="M760" i="3"/>
  <c r="M724" i="3"/>
  <c r="M700" i="3"/>
  <c r="M676" i="3"/>
  <c r="M628" i="3"/>
  <c r="M616" i="3"/>
  <c r="M592" i="3"/>
  <c r="M556" i="3"/>
  <c r="M532" i="3"/>
  <c r="M508" i="3"/>
  <c r="M484" i="3"/>
  <c r="M460" i="3"/>
  <c r="M436" i="3"/>
  <c r="M412" i="3"/>
  <c r="M388" i="3"/>
  <c r="M364" i="3"/>
  <c r="M914" i="3"/>
  <c r="M878" i="3"/>
  <c r="M913" i="3"/>
  <c r="M901" i="3"/>
  <c r="M889" i="3"/>
  <c r="M877" i="3"/>
  <c r="M865" i="3"/>
  <c r="M853" i="3"/>
  <c r="M841" i="3"/>
  <c r="M829" i="3"/>
  <c r="M817" i="3"/>
  <c r="M805" i="3"/>
  <c r="M793" i="3"/>
  <c r="M781" i="3"/>
  <c r="M769" i="3"/>
  <c r="M757" i="3"/>
  <c r="M745" i="3"/>
  <c r="M733" i="3"/>
  <c r="M721" i="3"/>
  <c r="M709" i="3"/>
  <c r="M697" i="3"/>
  <c r="M685" i="3"/>
  <c r="M673" i="3"/>
  <c r="M661" i="3"/>
  <c r="M649" i="3"/>
  <c r="M637" i="3"/>
  <c r="M625" i="3"/>
  <c r="M613" i="3"/>
  <c r="M601" i="3"/>
  <c r="M589" i="3"/>
  <c r="M577" i="3"/>
  <c r="M565" i="3"/>
  <c r="M553" i="3"/>
  <c r="M541" i="3"/>
  <c r="M529" i="3"/>
  <c r="M517" i="3"/>
  <c r="M505" i="3"/>
  <c r="M493" i="3"/>
  <c r="M481" i="3"/>
  <c r="M469" i="3"/>
  <c r="M457" i="3"/>
  <c r="M445" i="3"/>
  <c r="M433" i="3"/>
  <c r="M421" i="3"/>
  <c r="M409" i="3"/>
  <c r="M385" i="3"/>
  <c r="M373" i="3"/>
  <c r="M361" i="3"/>
  <c r="M349" i="3"/>
  <c r="M337" i="3"/>
  <c r="M313" i="3"/>
  <c r="M301" i="3"/>
  <c r="M289" i="3"/>
  <c r="M277" i="3"/>
  <c r="M265" i="3"/>
  <c r="M253" i="3"/>
  <c r="M241" i="3"/>
  <c r="M229" i="3"/>
  <c r="M217" i="3"/>
  <c r="M205" i="3"/>
  <c r="M193" i="3"/>
  <c r="M169" i="3"/>
  <c r="M157" i="3"/>
  <c r="M145" i="3"/>
  <c r="M133" i="3"/>
  <c r="M121" i="3"/>
  <c r="M97" i="3"/>
  <c r="M820" i="3"/>
  <c r="M796" i="3"/>
  <c r="M772" i="3"/>
  <c r="M748" i="3"/>
  <c r="M736" i="3"/>
  <c r="M712" i="3"/>
  <c r="M688" i="3"/>
  <c r="M664" i="3"/>
  <c r="M640" i="3"/>
  <c r="M604" i="3"/>
  <c r="M580" i="3"/>
  <c r="M568" i="3"/>
  <c r="M544" i="3"/>
  <c r="M520" i="3"/>
  <c r="M496" i="3"/>
  <c r="M472" i="3"/>
  <c r="M448" i="3"/>
  <c r="M424" i="3"/>
  <c r="M376" i="3"/>
  <c r="M902" i="3"/>
  <c r="M352" i="3"/>
  <c r="M340" i="3"/>
  <c r="M328" i="3"/>
  <c r="M316" i="3"/>
  <c r="M304" i="3"/>
  <c r="M268" i="3"/>
  <c r="M256" i="3"/>
  <c r="M244" i="3"/>
  <c r="M184" i="3"/>
  <c r="M160" i="3"/>
  <c r="M112" i="3"/>
  <c r="M88" i="3"/>
  <c r="M64" i="3"/>
  <c r="M16" i="3"/>
  <c r="M915" i="3"/>
  <c r="M903" i="3"/>
  <c r="M891" i="3"/>
  <c r="M879" i="3"/>
  <c r="M867" i="3"/>
  <c r="M855" i="3"/>
  <c r="M843" i="3"/>
  <c r="M831" i="3"/>
  <c r="M819" i="3"/>
  <c r="M807" i="3"/>
  <c r="M795" i="3"/>
  <c r="M783" i="3"/>
  <c r="M771" i="3"/>
  <c r="M759" i="3"/>
  <c r="M747" i="3"/>
  <c r="M735" i="3"/>
  <c r="M723" i="3"/>
  <c r="M711" i="3"/>
  <c r="M699" i="3"/>
  <c r="M687" i="3"/>
  <c r="M663" i="3"/>
  <c r="M651" i="3"/>
  <c r="M639" i="3"/>
  <c r="M627" i="3"/>
  <c r="M603" i="3"/>
  <c r="M591" i="3"/>
  <c r="M579" i="3"/>
  <c r="M567" i="3"/>
  <c r="M555" i="3"/>
  <c r="M543" i="3"/>
  <c r="M531" i="3"/>
  <c r="M519" i="3"/>
  <c r="M507" i="3"/>
  <c r="M495" i="3"/>
  <c r="M483" i="3"/>
  <c r="M471" i="3"/>
  <c r="M459" i="3"/>
  <c r="M447" i="3"/>
  <c r="M435" i="3"/>
  <c r="M423" i="3"/>
  <c r="M411" i="3"/>
  <c r="M399" i="3"/>
  <c r="M387" i="3"/>
  <c r="M375" i="3"/>
  <c r="M363" i="3"/>
  <c r="M351" i="3"/>
  <c r="M339" i="3"/>
  <c r="M327" i="3"/>
  <c r="M315" i="3"/>
  <c r="M303" i="3"/>
  <c r="M291" i="3"/>
  <c r="M279" i="3"/>
  <c r="M267" i="3"/>
  <c r="M255" i="3"/>
  <c r="M243" i="3"/>
  <c r="M231" i="3"/>
  <c r="M219" i="3"/>
  <c r="M207" i="3"/>
  <c r="M195" i="3"/>
  <c r="M171" i="3"/>
  <c r="M159" i="3"/>
  <c r="M147" i="3"/>
  <c r="M135" i="3"/>
  <c r="M123" i="3"/>
  <c r="M111" i="3"/>
  <c r="M99" i="3"/>
  <c r="M87" i="3"/>
  <c r="M75" i="3"/>
  <c r="M63" i="3"/>
  <c r="M15" i="3"/>
  <c r="M918" i="3"/>
  <c r="M906" i="3"/>
  <c r="M894" i="3"/>
  <c r="M870" i="3"/>
  <c r="M858" i="3"/>
  <c r="M846" i="3"/>
  <c r="M834" i="3"/>
  <c r="M822" i="3"/>
  <c r="M798" i="3"/>
  <c r="M786" i="3"/>
  <c r="M774" i="3"/>
  <c r="M762" i="3"/>
  <c r="M750" i="3"/>
  <c r="M738" i="3"/>
  <c r="M726" i="3"/>
  <c r="M714" i="3"/>
  <c r="M702" i="3"/>
  <c r="M690" i="3"/>
  <c r="M678" i="3"/>
  <c r="M666" i="3"/>
  <c r="M654" i="3"/>
  <c r="M642" i="3"/>
  <c r="M630" i="3"/>
  <c r="M618" i="3"/>
  <c r="M606" i="3"/>
  <c r="M594" i="3"/>
  <c r="M582" i="3"/>
  <c r="M570" i="3"/>
  <c r="M558" i="3"/>
  <c r="M546" i="3"/>
  <c r="M522" i="3"/>
  <c r="M510" i="3"/>
  <c r="M498" i="3"/>
  <c r="M486" i="3"/>
  <c r="M474" i="3"/>
  <c r="M462" i="3"/>
  <c r="M450" i="3"/>
  <c r="M438" i="3"/>
  <c r="M426" i="3"/>
  <c r="M414" i="3"/>
  <c r="M402" i="3"/>
  <c r="M378" i="3"/>
  <c r="M366" i="3"/>
  <c r="M354" i="3"/>
  <c r="M342" i="3"/>
  <c r="M330" i="3"/>
  <c r="M318" i="3"/>
  <c r="M306" i="3"/>
  <c r="M294" i="3"/>
  <c r="M282" i="3"/>
  <c r="M270" i="3"/>
  <c r="M258" i="3"/>
  <c r="M246" i="3"/>
  <c r="M234" i="3"/>
  <c r="M222" i="3"/>
  <c r="M210" i="3"/>
  <c r="M198" i="3"/>
  <c r="M186" i="3"/>
  <c r="M162" i="3"/>
  <c r="M138" i="3"/>
  <c r="M126" i="3"/>
  <c r="M114" i="3"/>
  <c r="M102" i="3"/>
  <c r="M90" i="3"/>
  <c r="M78" i="3"/>
  <c r="M66" i="3"/>
  <c r="M54" i="3"/>
  <c r="M42" i="3"/>
  <c r="M30" i="3"/>
  <c r="M18" i="3"/>
  <c r="M6" i="3"/>
  <c r="M221" i="3"/>
  <c r="M209" i="3"/>
  <c r="M41" i="3"/>
  <c r="M292" i="3"/>
  <c r="M220" i="3"/>
  <c r="M136" i="3"/>
  <c r="M40" i="3"/>
  <c r="M39" i="3"/>
  <c r="M2" i="3"/>
  <c r="M910" i="3"/>
  <c r="M898" i="3"/>
  <c r="M886" i="3"/>
  <c r="M874" i="3"/>
  <c r="M862" i="3"/>
  <c r="M850" i="3"/>
  <c r="M838" i="3"/>
  <c r="M826" i="3"/>
  <c r="M814" i="3"/>
  <c r="M802" i="3"/>
  <c r="M790" i="3"/>
  <c r="M778" i="3"/>
  <c r="M766" i="3"/>
  <c r="M754" i="3"/>
  <c r="M742" i="3"/>
  <c r="M730" i="3"/>
  <c r="M718" i="3"/>
  <c r="M706" i="3"/>
  <c r="M694" i="3"/>
  <c r="M682" i="3"/>
  <c r="M670" i="3"/>
  <c r="M658" i="3"/>
  <c r="M646" i="3"/>
  <c r="M634" i="3"/>
  <c r="M622" i="3"/>
  <c r="M610" i="3"/>
  <c r="M598" i="3"/>
  <c r="M586" i="3"/>
  <c r="M574" i="3"/>
  <c r="M562" i="3"/>
  <c r="M550" i="3"/>
  <c r="M538" i="3"/>
  <c r="M526" i="3"/>
  <c r="M514" i="3"/>
  <c r="M502" i="3"/>
  <c r="M490" i="3"/>
  <c r="M478" i="3"/>
  <c r="M466" i="3"/>
  <c r="M454" i="3"/>
  <c r="M442" i="3"/>
  <c r="M430" i="3"/>
  <c r="M418" i="3"/>
  <c r="M406" i="3"/>
  <c r="M394" i="3"/>
  <c r="M382" i="3"/>
  <c r="M370" i="3"/>
  <c r="M358" i="3"/>
  <c r="M346" i="3"/>
  <c r="M334" i="3"/>
  <c r="M322" i="3"/>
  <c r="M310" i="3"/>
  <c r="M298" i="3"/>
  <c r="M286" i="3"/>
  <c r="M274" i="3"/>
  <c r="M262" i="3"/>
  <c r="M250" i="3"/>
  <c r="M238" i="3"/>
  <c r="M226" i="3"/>
  <c r="M214" i="3"/>
  <c r="M202" i="3"/>
  <c r="M190" i="3"/>
  <c r="M178" i="3"/>
  <c r="M166" i="3"/>
  <c r="M154" i="3"/>
  <c r="M142" i="3"/>
  <c r="M130" i="3"/>
  <c r="M118" i="3"/>
  <c r="M106" i="3"/>
  <c r="M94" i="3"/>
  <c r="M82" i="3"/>
  <c r="M70" i="3"/>
  <c r="M58" i="3"/>
  <c r="M46" i="3"/>
  <c r="M34" i="3"/>
  <c r="M22" i="3"/>
  <c r="M10" i="3"/>
  <c r="M861" i="3"/>
  <c r="M849" i="3"/>
  <c r="M837" i="3"/>
  <c r="M825" i="3"/>
  <c r="M813" i="3"/>
  <c r="M801" i="3"/>
  <c r="M789" i="3"/>
  <c r="M777" i="3"/>
  <c r="M765" i="3"/>
  <c r="M753" i="3"/>
  <c r="M741" i="3"/>
  <c r="M729" i="3"/>
  <c r="M717" i="3"/>
  <c r="M705" i="3"/>
  <c r="M693" i="3"/>
  <c r="M681" i="3"/>
  <c r="M669" i="3"/>
  <c r="M657" i="3"/>
  <c r="M645" i="3"/>
  <c r="M633" i="3"/>
  <c r="M621" i="3"/>
  <c r="M609" i="3"/>
  <c r="M597" i="3"/>
  <c r="M585" i="3"/>
  <c r="M573" i="3"/>
  <c r="M561" i="3"/>
  <c r="M549" i="3"/>
  <c r="M537" i="3"/>
  <c r="M525" i="3"/>
  <c r="M513" i="3"/>
  <c r="M501" i="3"/>
  <c r="M489" i="3"/>
  <c r="M477" i="3"/>
  <c r="M465" i="3"/>
  <c r="M453" i="3"/>
  <c r="M441" i="3"/>
  <c r="M429" i="3"/>
  <c r="M417" i="3"/>
  <c r="M405" i="3"/>
  <c r="M393" i="3"/>
  <c r="M381" i="3"/>
  <c r="M369" i="3"/>
  <c r="M357" i="3"/>
  <c r="M345" i="3"/>
  <c r="M333" i="3"/>
  <c r="M321" i="3"/>
  <c r="M309" i="3"/>
  <c r="M297" i="3"/>
  <c r="M285" i="3"/>
  <c r="M273" i="3"/>
  <c r="M261" i="3"/>
  <c r="M249" i="3"/>
  <c r="M237" i="3"/>
  <c r="M225" i="3"/>
  <c r="M213" i="3"/>
  <c r="M201" i="3"/>
  <c r="M189" i="3"/>
  <c r="M177" i="3"/>
  <c r="M165" i="3"/>
  <c r="M153" i="3"/>
  <c r="M141" i="3"/>
  <c r="M129" i="3"/>
  <c r="M117" i="3"/>
  <c r="M105" i="3"/>
  <c r="M93" i="3"/>
  <c r="M81" i="3"/>
  <c r="M69" i="3"/>
  <c r="M57" i="3"/>
  <c r="M45" i="3"/>
  <c r="M33" i="3"/>
  <c r="M21" i="3"/>
  <c r="M9" i="3"/>
  <c r="M692" i="3"/>
  <c r="M680" i="3"/>
  <c r="M656" i="3"/>
  <c r="M632" i="3"/>
  <c r="M608" i="3"/>
  <c r="M584" i="3"/>
  <c r="M560" i="3"/>
  <c r="M536" i="3"/>
  <c r="M512" i="3"/>
  <c r="M488" i="3"/>
  <c r="M464" i="3"/>
  <c r="M919" i="3"/>
  <c r="M907" i="3"/>
  <c r="M895" i="3"/>
  <c r="M883" i="3"/>
  <c r="M871" i="3"/>
  <c r="M859" i="3"/>
  <c r="M847" i="3"/>
  <c r="M835" i="3"/>
  <c r="M823" i="3"/>
  <c r="M811" i="3"/>
  <c r="M799" i="3"/>
  <c r="M787" i="3"/>
  <c r="M775" i="3"/>
  <c r="M763" i="3"/>
  <c r="M751" i="3"/>
  <c r="M739" i="3"/>
  <c r="M727" i="3"/>
  <c r="M715" i="3"/>
  <c r="M703" i="3"/>
  <c r="M691" i="3"/>
  <c r="M679" i="3"/>
  <c r="M667" i="3"/>
  <c r="M655" i="3"/>
  <c r="M643" i="3"/>
  <c r="M631" i="3"/>
  <c r="M619" i="3"/>
  <c r="M607" i="3"/>
  <c r="M595" i="3"/>
  <c r="M583" i="3"/>
  <c r="M571" i="3"/>
  <c r="M559" i="3"/>
  <c r="M547" i="3"/>
  <c r="M535" i="3"/>
  <c r="M523" i="3"/>
  <c r="M511" i="3"/>
  <c r="M499" i="3"/>
  <c r="M728" i="3"/>
  <c r="M704" i="3"/>
  <c r="M668" i="3"/>
  <c r="M644" i="3"/>
  <c r="M620" i="3"/>
  <c r="M596" i="3"/>
  <c r="M572" i="3"/>
  <c r="M548" i="3"/>
  <c r="M524" i="3"/>
  <c r="M500" i="3"/>
  <c r="M476" i="3"/>
  <c r="M185" i="3"/>
  <c r="M173" i="3"/>
  <c r="M161" i="3"/>
  <c r="M149" i="3"/>
  <c r="M137" i="3"/>
  <c r="M125" i="3"/>
  <c r="M113" i="3"/>
  <c r="M101" i="3"/>
  <c r="M77" i="3"/>
  <c r="M53" i="3"/>
  <c r="M29" i="3"/>
  <c r="M5" i="3"/>
  <c r="M280" i="3"/>
  <c r="M232" i="3"/>
  <c r="M208" i="3"/>
  <c r="M196" i="3"/>
  <c r="M172" i="3"/>
  <c r="M148" i="3"/>
  <c r="M124" i="3"/>
  <c r="M100" i="3"/>
  <c r="M76" i="3"/>
  <c r="M52" i="3"/>
  <c r="M28" i="3"/>
  <c r="M4" i="3"/>
  <c r="M51" i="3"/>
  <c r="M27" i="3"/>
  <c r="M3" i="3"/>
  <c r="M452" i="3"/>
  <c r="M440" i="3"/>
  <c r="M428" i="3"/>
  <c r="M416" i="3"/>
  <c r="M404" i="3"/>
  <c r="M392" i="3"/>
  <c r="M380" i="3"/>
  <c r="M368" i="3"/>
  <c r="M356" i="3"/>
  <c r="M344" i="3"/>
  <c r="M332" i="3"/>
  <c r="M320" i="3"/>
  <c r="M308" i="3"/>
  <c r="M296" i="3"/>
  <c r="M284" i="3"/>
  <c r="M272" i="3"/>
  <c r="M260" i="3"/>
  <c r="M248" i="3"/>
  <c r="M236" i="3"/>
  <c r="M224" i="3"/>
  <c r="M212" i="3"/>
  <c r="M200" i="3"/>
  <c r="M188" i="3"/>
  <c r="M176" i="3"/>
  <c r="M164" i="3"/>
  <c r="M152" i="3"/>
  <c r="M140" i="3"/>
  <c r="M128" i="3"/>
  <c r="M116" i="3"/>
  <c r="M104" i="3"/>
  <c r="M92" i="3"/>
  <c r="M80" i="3"/>
  <c r="M68" i="3"/>
  <c r="M56" i="3"/>
  <c r="M44" i="3"/>
  <c r="M32" i="3"/>
  <c r="M20" i="3"/>
  <c r="M8" i="3"/>
  <c r="M487" i="3"/>
  <c r="M475" i="3"/>
  <c r="M463" i="3"/>
  <c r="M451" i="3"/>
  <c r="M439" i="3"/>
  <c r="M427" i="3"/>
  <c r="M415" i="3"/>
  <c r="M403" i="3"/>
  <c r="M391" i="3"/>
  <c r="M379" i="3"/>
  <c r="M367" i="3"/>
  <c r="M355" i="3"/>
  <c r="M343" i="3"/>
  <c r="M331" i="3"/>
  <c r="M319" i="3"/>
  <c r="M307" i="3"/>
  <c r="M295" i="3"/>
  <c r="M283" i="3"/>
  <c r="M271" i="3"/>
  <c r="M259" i="3"/>
  <c r="M247" i="3"/>
  <c r="M235" i="3"/>
  <c r="M223" i="3"/>
  <c r="M211" i="3"/>
  <c r="M199" i="3"/>
  <c r="M187" i="3"/>
  <c r="M175" i="3"/>
  <c r="M163" i="3"/>
  <c r="M151" i="3"/>
  <c r="M139" i="3"/>
  <c r="M127" i="3"/>
  <c r="M115" i="3"/>
  <c r="M103" i="3"/>
  <c r="M91" i="3"/>
  <c r="M79" i="3"/>
  <c r="M67" i="3"/>
  <c r="M55" i="3"/>
  <c r="M43" i="3"/>
  <c r="M31" i="3"/>
  <c r="M19" i="3"/>
  <c r="M7" i="3"/>
  <c r="D3" i="1"/>
  <c r="D2" i="3"/>
  <c r="D4" i="1"/>
  <c r="D5" i="1"/>
  <c r="D6" i="1"/>
  <c r="V1" i="3" l="1"/>
  <c r="B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13A4BA-3BB4-474C-92E6-D5EAC8679A65}" keepAlive="1" name="Query - heart_disease_uci" description="Connection to the 'heart_disease_uci' query in the workbook." type="5" refreshedVersion="8" background="1" saveData="1">
    <dbPr connection="Provider=Microsoft.Mashup.OleDb.1;Data Source=$Workbook$;Location=heart_disease_uci;Extended Properties=&quot;&quot;" command="SELECT * FROM [heart_disease_uci]"/>
  </connection>
  <connection id="2" xr16:uid="{9885E5EF-A985-4DC3-B0D3-3C6B4BCB3FC2}" keepAlive="1" name="Query - HeartData" description="Connection to the 'HeartData' query in the workbook." type="5" refreshedVersion="8" background="1" saveData="1">
    <dbPr connection="Provider=Microsoft.Mashup.OleDb.1;Data Source=$Workbook$;Location=HeartData;Extended Properties=&quot;&quot;" command="SELECT * FROM [HeartData]"/>
  </connection>
</connections>
</file>

<file path=xl/sharedStrings.xml><?xml version="1.0" encoding="utf-8"?>
<sst xmlns="http://schemas.openxmlformats.org/spreadsheetml/2006/main" count="11222" uniqueCount="100">
  <si>
    <t>id</t>
  </si>
  <si>
    <t>age</t>
  </si>
  <si>
    <t>sex</t>
  </si>
  <si>
    <t>dataset</t>
  </si>
  <si>
    <t>cp</t>
  </si>
  <si>
    <t>trestbps</t>
  </si>
  <si>
    <t>chol</t>
  </si>
  <si>
    <t>fbs</t>
  </si>
  <si>
    <t>restecg</t>
  </si>
  <si>
    <t>thalch</t>
  </si>
  <si>
    <t>exang</t>
  </si>
  <si>
    <t>slope</t>
  </si>
  <si>
    <t>ca</t>
  </si>
  <si>
    <t>thal</t>
  </si>
  <si>
    <t>num</t>
  </si>
  <si>
    <t>oldpeak</t>
  </si>
  <si>
    <t>Male</t>
  </si>
  <si>
    <t>Cleveland</t>
  </si>
  <si>
    <t>typical angina</t>
  </si>
  <si>
    <t>TRUE</t>
  </si>
  <si>
    <t>lv hypertrophy</t>
  </si>
  <si>
    <t>FALSE</t>
  </si>
  <si>
    <t>downsloping</t>
  </si>
  <si>
    <t>fixed defect</t>
  </si>
  <si>
    <t>asymptomatic</t>
  </si>
  <si>
    <t>flat</t>
  </si>
  <si>
    <t>normal</t>
  </si>
  <si>
    <t>reversable defect</t>
  </si>
  <si>
    <t>non-anginal</t>
  </si>
  <si>
    <t>Female</t>
  </si>
  <si>
    <t>atypical angina</t>
  </si>
  <si>
    <t>upsloping</t>
  </si>
  <si>
    <t/>
  </si>
  <si>
    <t>st-t abnormality</t>
  </si>
  <si>
    <t>Hungary</t>
  </si>
  <si>
    <t>Switzerland</t>
  </si>
  <si>
    <t>VA Long Beach</t>
  </si>
  <si>
    <t>Column</t>
  </si>
  <si>
    <t>Total Records</t>
  </si>
  <si>
    <t>Missing / Zero Values</t>
  </si>
  <si>
    <t>Missing %</t>
  </si>
  <si>
    <t>Overall data completeness:</t>
  </si>
  <si>
    <t>Data Quality Assessment — UCI Heart Disease Dataset (n=920)</t>
  </si>
  <si>
    <t>ID</t>
  </si>
  <si>
    <t>Age</t>
  </si>
  <si>
    <t>Sex</t>
  </si>
  <si>
    <t>Age Group</t>
  </si>
  <si>
    <t>Status</t>
  </si>
  <si>
    <t>Chol Flag</t>
  </si>
  <si>
    <t>BP Flag</t>
  </si>
  <si>
    <t>ST Flag</t>
  </si>
  <si>
    <t>Angina Flag</t>
  </si>
  <si>
    <t>Population Averages</t>
  </si>
  <si>
    <t>Avg Chol</t>
  </si>
  <si>
    <t>Avg BP</t>
  </si>
  <si>
    <t>Avg ST</t>
  </si>
  <si>
    <t>FBS Flag</t>
  </si>
  <si>
    <t>CA Flag</t>
  </si>
  <si>
    <t>Risk Score</t>
  </si>
  <si>
    <t>Row Labels</t>
  </si>
  <si>
    <t>Grand Total</t>
  </si>
  <si>
    <t>Total Patients</t>
  </si>
  <si>
    <t>Diseased</t>
  </si>
  <si>
    <t>Is Diseased</t>
  </si>
  <si>
    <t>Sum of Is Diseased</t>
  </si>
  <si>
    <t>Disease Rate %</t>
  </si>
  <si>
    <t>45-54</t>
  </si>
  <si>
    <t>55-64</t>
  </si>
  <si>
    <t>65+</t>
  </si>
  <si>
    <t>Under 45</t>
  </si>
  <si>
    <t>Column Labels</t>
  </si>
  <si>
    <t>Patients</t>
  </si>
  <si>
    <t>CP</t>
  </si>
  <si>
    <t>Ischemic Heart Disease — Risk Factor Analysis</t>
  </si>
  <si>
    <t>UCI Heart Disease Dataset | 920 Patients | 16 Clinical Attributes</t>
  </si>
  <si>
    <t>Healthy</t>
  </si>
  <si>
    <t>Disease Rate</t>
  </si>
  <si>
    <t>Female Rate%</t>
  </si>
  <si>
    <t>Male Rate%</t>
  </si>
  <si>
    <t>Enter Patient ID:</t>
  </si>
  <si>
    <t>Chest Pain Type</t>
  </si>
  <si>
    <t>Resting BP</t>
  </si>
  <si>
    <t>Cholesterol</t>
  </si>
  <si>
    <t>Fasting Blood Sugar</t>
  </si>
  <si>
    <t>Max Heart Rate</t>
  </si>
  <si>
    <t>Exercise Angina</t>
  </si>
  <si>
    <t>Oldpeak</t>
  </si>
  <si>
    <t>CA</t>
  </si>
  <si>
    <t>Thal</t>
  </si>
  <si>
    <t>Diagnosis</t>
  </si>
  <si>
    <t>Clinical Indicators by Sex &amp; Diagnosis Status</t>
  </si>
  <si>
    <t>Healthy Male</t>
  </si>
  <si>
    <t>Diseased Male</t>
  </si>
  <si>
    <t>Healthy Female</t>
  </si>
  <si>
    <t>Diseased Female</t>
  </si>
  <si>
    <t>Avg Cholesterol</t>
  </si>
  <si>
    <t>Avg Resting BP</t>
  </si>
  <si>
    <t>Avg Max Heart Rate</t>
  </si>
  <si>
    <t>Avg Oldpeak</t>
  </si>
  <si>
    <t>Patient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</si>
</sst>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3"/>
      <color theme="4" tint="-0.249977111117893"/>
      <name val="Calibri"/>
      <family val="2"/>
      <charset val="204"/>
      <scheme val="minor"/>
    </font>
    <font>
      <b/>
      <sz val="18"/>
      <color theme="4" tint="-0.249977111117893"/>
      <name val="Calibri"/>
      <family val="2"/>
      <scheme val="minor"/>
    </font>
    <font>
      <sz val="11"/>
      <color theme="4" tint="-0.249977111117893"/>
      <name val="Calibri"/>
      <family val="2"/>
      <scheme val="minor"/>
    </font>
    <font>
      <i/>
      <sz val="11"/>
      <color theme="2" tint="-0.499984740745262"/>
      <name val="Calibri"/>
      <family val="2"/>
      <charset val="204"/>
      <scheme val="minor"/>
    </font>
    <font>
      <i/>
      <sz val="9"/>
      <color theme="2" tint="-0.499984740745262"/>
      <name val="Calibri"/>
      <family val="2"/>
      <charset val="204"/>
      <scheme val="minor"/>
    </font>
    <font>
      <b/>
      <sz val="20"/>
      <color theme="4" tint="-0.249977111117893"/>
      <name val="Calibri"/>
      <family val="2"/>
      <charset val="204"/>
      <scheme val="minor"/>
    </font>
    <font>
      <b/>
      <sz val="20"/>
      <color rgb="FFC00000"/>
      <name val="Calibri"/>
      <family val="2"/>
      <charset val="204"/>
      <scheme val="minor"/>
    </font>
    <font>
      <b/>
      <sz val="20"/>
      <color theme="9" tint="-0.249977111117893"/>
      <name val="Calibri"/>
      <family val="2"/>
      <charset val="204"/>
      <scheme val="minor"/>
    </font>
    <font>
      <b/>
      <sz val="20"/>
      <color theme="5" tint="-0.249977111117893"/>
      <name val="Calibri"/>
      <family val="2"/>
      <charset val="204"/>
      <scheme val="minor"/>
    </font>
    <font>
      <b/>
      <sz val="11"/>
      <color theme="1"/>
      <name val="Calibri"/>
      <family val="2"/>
      <charset val="204"/>
      <scheme val="minor"/>
    </font>
    <font>
      <b/>
      <sz val="14"/>
      <color theme="4" tint="-0.249977111117893"/>
      <name val="Calibri"/>
      <family val="2"/>
      <charset val="204"/>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
      <patternFill patternType="solid">
        <fgColor theme="8" tint="0.79998168889431442"/>
        <bgColor indexed="64"/>
      </patternFill>
    </fill>
  </fills>
  <borders count="9">
    <border>
      <left/>
      <right/>
      <top/>
      <bottom/>
      <diagonal/>
    </border>
    <border>
      <left/>
      <right/>
      <top/>
      <bottom style="thin">
        <color theme="4" tint="0.39997558519241921"/>
      </bottom>
      <diagonal/>
    </border>
    <border>
      <left/>
      <right/>
      <top style="thin">
        <color theme="4" tint="0.39997558519241921"/>
      </top>
      <bottom/>
      <diagonal/>
    </border>
    <border>
      <left style="thin">
        <color theme="2" tint="-0.499984740745262"/>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164" fontId="0" fillId="0" borderId="0" xfId="1" applyNumberFormat="1" applyFont="1"/>
    <xf numFmtId="164" fontId="0" fillId="0" borderId="0" xfId="0" applyNumberFormat="1"/>
    <xf numFmtId="0" fontId="3" fillId="0" borderId="0" xfId="0" applyFont="1"/>
    <xf numFmtId="1" fontId="0" fillId="0" borderId="0" xfId="0" applyNumberFormat="1"/>
    <xf numFmtId="165" fontId="0" fillId="0" borderId="0" xfId="0" applyNumberFormat="1"/>
    <xf numFmtId="0" fontId="2" fillId="2" borderId="1" xfId="0" applyFont="1" applyFill="1" applyBorder="1"/>
    <xf numFmtId="0" fontId="0" fillId="0" borderId="0" xfId="0" pivotButton="1"/>
    <xf numFmtId="0" fontId="0" fillId="0" borderId="0" xfId="0" applyAlignment="1">
      <alignment horizontal="left"/>
    </xf>
    <xf numFmtId="164" fontId="2" fillId="2" borderId="2" xfId="0" applyNumberFormat="1" applyFont="1" applyFill="1" applyBorder="1"/>
    <xf numFmtId="0" fontId="7" fillId="3" borderId="3" xfId="0" applyFont="1" applyFill="1" applyBorder="1"/>
    <xf numFmtId="0" fontId="0" fillId="3" borderId="4" xfId="0" applyFill="1" applyBorder="1"/>
    <xf numFmtId="0" fontId="8" fillId="3" borderId="5" xfId="0" applyFont="1" applyFill="1" applyBorder="1" applyAlignment="1">
      <alignment horizontal="center"/>
    </xf>
    <xf numFmtId="0" fontId="0" fillId="3" borderId="6" xfId="0" applyFill="1" applyBorder="1"/>
    <xf numFmtId="0" fontId="9" fillId="3" borderId="5" xfId="0" applyFont="1" applyFill="1" applyBorder="1" applyAlignment="1">
      <alignment horizontal="center"/>
    </xf>
    <xf numFmtId="0" fontId="10" fillId="3" borderId="5" xfId="0" applyFont="1" applyFill="1" applyBorder="1" applyAlignment="1">
      <alignment horizontal="center"/>
    </xf>
    <xf numFmtId="164" fontId="11" fillId="3" borderId="5" xfId="0" applyNumberFormat="1" applyFont="1" applyFill="1" applyBorder="1" applyAlignment="1">
      <alignment horizontal="center"/>
    </xf>
    <xf numFmtId="0" fontId="13" fillId="4" borderId="7" xfId="0" applyFont="1" applyFill="1" applyBorder="1"/>
    <xf numFmtId="0" fontId="12" fillId="0" borderId="0" xfId="0" applyFont="1"/>
    <xf numFmtId="1" fontId="0" fillId="4" borderId="8" xfId="0" applyNumberFormat="1" applyFill="1" applyBorder="1"/>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0" fillId="0" borderId="0" xfId="0" applyAlignment="1">
      <alignment horizontal="center"/>
    </xf>
    <xf numFmtId="0" fontId="13" fillId="0" borderId="0" xfId="0" applyFont="1" applyAlignment="1">
      <alignment horizontal="left"/>
    </xf>
    <xf numFmtId="0" fontId="0" fillId="0" borderId="0" xfId="0" applyNumberFormat="1"/>
  </cellXfs>
  <cellStyles count="2">
    <cellStyle name="Normal" xfId="0" builtinId="0"/>
    <cellStyle name="Percent" xfId="1" builtinId="5"/>
  </cellStyles>
  <dxfs count="29">
    <dxf>
      <numFmt numFmtId="0" formatCode="General"/>
    </dxf>
    <dxf>
      <numFmt numFmtId="0" formatCode="General"/>
    </dxf>
    <dxf>
      <numFmt numFmtId="0" formatCode="General"/>
    </dxf>
    <dxf>
      <numFmt numFmtId="0" formatCode="General"/>
    </dxf>
    <dxf>
      <numFmt numFmtId="0" formatCode="General"/>
    </dxf>
    <dxf>
      <fill>
        <patternFill>
          <bgColor rgb="FF92D050"/>
        </patternFill>
      </fill>
    </dxf>
    <dxf>
      <fill>
        <patternFill>
          <bgColor theme="7" tint="0.39994506668294322"/>
        </patternFill>
      </fill>
    </dxf>
    <dxf>
      <fill>
        <patternFill>
          <bgColor rgb="FFFF0000"/>
        </patternFill>
      </fill>
    </dxf>
    <dxf>
      <numFmt numFmtId="0" formatCode="General"/>
    </dxf>
    <dxf>
      <numFmt numFmtId="1" formatCode="0"/>
    </dxf>
    <dxf>
      <numFmt numFmtId="1" formatCode="0"/>
    </dxf>
    <dxf>
      <numFmt numFmtId="1" formatCode="0"/>
    </dxf>
    <dxf>
      <numFmt numFmtId="1" formatCode="0"/>
    </dxf>
    <dxf>
      <numFmt numFmtId="165" formatCode="0.0"/>
    </dxf>
    <dxf>
      <numFmt numFmtId="1" formatCode="0"/>
    </dxf>
    <dxf>
      <numFmt numFmtId="0" formatCode="General"/>
    </dxf>
    <dxf>
      <numFmt numFmtId="1" formatCode="0"/>
    </dxf>
    <dxf>
      <numFmt numFmtId="0" formatCode="General"/>
    </dxf>
    <dxf>
      <numFmt numFmtId="0" formatCode="General"/>
    </dxf>
    <dxf>
      <numFmt numFmtId="1" formatCode="0"/>
    </dxf>
    <dxf>
      <numFmt numFmtId="0" formatCode="General"/>
    </dxf>
    <dxf>
      <numFmt numFmtId="0" formatCode="General"/>
    </dxf>
    <dxf>
      <numFmt numFmtId="1" formatCode="0"/>
    </dxf>
    <dxf>
      <numFmt numFmtId="1" formatCode="0"/>
    </dxf>
    <dxf>
      <numFmt numFmtId="0" formatCode="General"/>
    </dxf>
    <dxf>
      <numFmt numFmtId="0" formatCode="General"/>
    </dxf>
    <dxf>
      <numFmt numFmtId="0" formatCode="General"/>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1"/>
          <c:order val="1"/>
          <c:tx>
            <c:strRef>
              <c:f>PivotTables!$B$700</c:f>
              <c:strCache>
                <c:ptCount val="1"/>
                <c:pt idx="0">
                  <c:v>Disease Rate %</c:v>
                </c:pt>
              </c:strCache>
            </c:strRef>
          </c:tx>
          <c:spPr>
            <a:solidFill>
              <a:schemeClr val="accent2"/>
            </a:solidFill>
            <a:ln>
              <a:noFill/>
            </a:ln>
            <a:effectLst/>
          </c:spPr>
          <c:invertIfNegative val="0"/>
          <c:cat>
            <c:numRef>
              <c:f>PivotTables!$A$701:$A$707</c:f>
              <c:numCache>
                <c:formatCode>General</c:formatCode>
                <c:ptCount val="7"/>
                <c:pt idx="0">
                  <c:v>0</c:v>
                </c:pt>
                <c:pt idx="1">
                  <c:v>1</c:v>
                </c:pt>
                <c:pt idx="2">
                  <c:v>2</c:v>
                </c:pt>
                <c:pt idx="3">
                  <c:v>3</c:v>
                </c:pt>
                <c:pt idx="4">
                  <c:v>4</c:v>
                </c:pt>
                <c:pt idx="5">
                  <c:v>5</c:v>
                </c:pt>
                <c:pt idx="6">
                  <c:v>6</c:v>
                </c:pt>
              </c:numCache>
            </c:numRef>
          </c:cat>
          <c:val>
            <c:numRef>
              <c:f>PivotTables!$B$701:$B$707</c:f>
              <c:numCache>
                <c:formatCode>0.0%</c:formatCode>
                <c:ptCount val="7"/>
                <c:pt idx="0">
                  <c:v>0.55555555555555558</c:v>
                </c:pt>
                <c:pt idx="1">
                  <c:v>0.61904761904761907</c:v>
                </c:pt>
                <c:pt idx="2">
                  <c:v>0.34210526315789475</c:v>
                </c:pt>
                <c:pt idx="3">
                  <c:v>0.51583710407239824</c:v>
                </c:pt>
                <c:pt idx="4">
                  <c:v>0.73488372093023258</c:v>
                </c:pt>
                <c:pt idx="5">
                  <c:v>0.86250000000000004</c:v>
                </c:pt>
                <c:pt idx="6">
                  <c:v>1</c:v>
                </c:pt>
              </c:numCache>
            </c:numRef>
          </c:val>
          <c:extLst>
            <c:ext xmlns:c16="http://schemas.microsoft.com/office/drawing/2014/chart" uri="{C3380CC4-5D6E-409C-BE32-E72D297353CC}">
              <c16:uniqueId val="{00000000-F208-4C31-B8A9-C186FB0C6D0B}"/>
            </c:ext>
          </c:extLst>
        </c:ser>
        <c:dLbls>
          <c:showLegendKey val="0"/>
          <c:showVal val="0"/>
          <c:showCatName val="0"/>
          <c:showSerName val="0"/>
          <c:showPercent val="0"/>
          <c:showBubbleSize val="0"/>
        </c:dLbls>
        <c:gapWidth val="219"/>
        <c:overlap val="-27"/>
        <c:axId val="1189019775"/>
        <c:axId val="1189011135"/>
        <c:extLst>
          <c:ext xmlns:c15="http://schemas.microsoft.com/office/drawing/2012/chart" uri="{02D57815-91ED-43cb-92C2-25804820EDAC}">
            <c15:filteredBarSeries>
              <c15:ser>
                <c:idx val="0"/>
                <c:order val="0"/>
                <c:tx>
                  <c:strRef>
                    <c:extLst>
                      <c:ext uri="{02D57815-91ED-43cb-92C2-25804820EDAC}">
                        <c15:formulaRef>
                          <c15:sqref>PivotTables!$A$700</c15:sqref>
                        </c15:formulaRef>
                      </c:ext>
                    </c:extLst>
                    <c:strCache>
                      <c:ptCount val="1"/>
                      <c:pt idx="0">
                        <c:v>Risk Score</c:v>
                      </c:pt>
                    </c:strCache>
                  </c:strRef>
                </c:tx>
                <c:spPr>
                  <a:solidFill>
                    <a:schemeClr val="accent1"/>
                  </a:solidFill>
                  <a:ln>
                    <a:noFill/>
                  </a:ln>
                  <a:effectLst/>
                </c:spPr>
                <c:invertIfNegative val="0"/>
                <c:cat>
                  <c:numRef>
                    <c:extLst>
                      <c:ext uri="{02D57815-91ED-43cb-92C2-25804820EDAC}">
                        <c15:formulaRef>
                          <c15:sqref>PivotTables!$A$701:$A$707</c15:sqref>
                        </c15:formulaRef>
                      </c:ext>
                    </c:extLst>
                    <c:numCache>
                      <c:formatCode>General</c:formatCode>
                      <c:ptCount val="7"/>
                      <c:pt idx="0">
                        <c:v>0</c:v>
                      </c:pt>
                      <c:pt idx="1">
                        <c:v>1</c:v>
                      </c:pt>
                      <c:pt idx="2">
                        <c:v>2</c:v>
                      </c:pt>
                      <c:pt idx="3">
                        <c:v>3</c:v>
                      </c:pt>
                      <c:pt idx="4">
                        <c:v>4</c:v>
                      </c:pt>
                      <c:pt idx="5">
                        <c:v>5</c:v>
                      </c:pt>
                      <c:pt idx="6">
                        <c:v>6</c:v>
                      </c:pt>
                    </c:numCache>
                  </c:numRef>
                </c:cat>
                <c:val>
                  <c:numRef>
                    <c:extLst>
                      <c:ext uri="{02D57815-91ED-43cb-92C2-25804820EDAC}">
                        <c15:formulaRef>
                          <c15:sqref>PivotTables!$A$701:$A$707</c15:sqref>
                        </c15:formulaRef>
                      </c:ext>
                    </c:extLst>
                    <c:numCache>
                      <c:formatCode>General</c:formatCode>
                      <c:ptCount val="7"/>
                      <c:pt idx="0">
                        <c:v>0</c:v>
                      </c:pt>
                      <c:pt idx="1">
                        <c:v>1</c:v>
                      </c:pt>
                      <c:pt idx="2">
                        <c:v>2</c:v>
                      </c:pt>
                      <c:pt idx="3">
                        <c:v>3</c:v>
                      </c:pt>
                      <c:pt idx="4">
                        <c:v>4</c:v>
                      </c:pt>
                      <c:pt idx="5">
                        <c:v>5</c:v>
                      </c:pt>
                      <c:pt idx="6">
                        <c:v>6</c:v>
                      </c:pt>
                    </c:numCache>
                  </c:numRef>
                </c:val>
                <c:extLst>
                  <c:ext xmlns:c16="http://schemas.microsoft.com/office/drawing/2014/chart" uri="{C3380CC4-5D6E-409C-BE32-E72D297353CC}">
                    <c16:uniqueId val="{00000001-F208-4C31-B8A9-C186FB0C6D0B}"/>
                  </c:ext>
                </c:extLst>
              </c15:ser>
            </c15:filteredBarSeries>
          </c:ext>
        </c:extLst>
      </c:barChart>
      <c:catAx>
        <c:axId val="118901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89011135"/>
        <c:crosses val="autoZero"/>
        <c:auto val="1"/>
        <c:lblAlgn val="ctr"/>
        <c:lblOffset val="100"/>
        <c:noMultiLvlLbl val="0"/>
      </c:catAx>
      <c:valAx>
        <c:axId val="11890111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89019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Disease Rate by Risk Score</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lumMod val="75000"/>
              </a:schemeClr>
            </a:solidFill>
            <a:ln>
              <a:noFill/>
            </a:ln>
            <a:effectLst/>
          </c:spPr>
          <c:invertIfNegative val="0"/>
          <c:cat>
            <c:numRef>
              <c:f>PivotTables!$A$4:$A$10</c:f>
              <c:numCache>
                <c:formatCode>General</c:formatCode>
                <c:ptCount val="7"/>
                <c:pt idx="0">
                  <c:v>0</c:v>
                </c:pt>
                <c:pt idx="1">
                  <c:v>1</c:v>
                </c:pt>
                <c:pt idx="2">
                  <c:v>2</c:v>
                </c:pt>
                <c:pt idx="3">
                  <c:v>3</c:v>
                </c:pt>
                <c:pt idx="4">
                  <c:v>4</c:v>
                </c:pt>
                <c:pt idx="5">
                  <c:v>5</c:v>
                </c:pt>
                <c:pt idx="6">
                  <c:v>6</c:v>
                </c:pt>
              </c:numCache>
            </c:numRef>
          </c:cat>
          <c:val>
            <c:numRef>
              <c:f>PivotTables!$D$4:$D$10</c:f>
              <c:numCache>
                <c:formatCode>0.0%</c:formatCode>
                <c:ptCount val="7"/>
                <c:pt idx="0">
                  <c:v>0.55555555555555558</c:v>
                </c:pt>
                <c:pt idx="1">
                  <c:v>0.61904761904761907</c:v>
                </c:pt>
                <c:pt idx="2">
                  <c:v>0.34210526315789475</c:v>
                </c:pt>
                <c:pt idx="3">
                  <c:v>0.51583710407239824</c:v>
                </c:pt>
                <c:pt idx="4">
                  <c:v>0.73488372093023258</c:v>
                </c:pt>
                <c:pt idx="5">
                  <c:v>0.86250000000000004</c:v>
                </c:pt>
                <c:pt idx="6">
                  <c:v>1</c:v>
                </c:pt>
              </c:numCache>
            </c:numRef>
          </c:val>
          <c:extLst>
            <c:ext xmlns:c16="http://schemas.microsoft.com/office/drawing/2014/chart" uri="{C3380CC4-5D6E-409C-BE32-E72D297353CC}">
              <c16:uniqueId val="{00000000-CE24-4166-951D-E75D8B8C3DB2}"/>
            </c:ext>
          </c:extLst>
        </c:ser>
        <c:dLbls>
          <c:showLegendKey val="0"/>
          <c:showVal val="0"/>
          <c:showCatName val="0"/>
          <c:showSerName val="0"/>
          <c:showPercent val="0"/>
          <c:showBubbleSize val="0"/>
        </c:dLbls>
        <c:gapWidth val="219"/>
        <c:overlap val="-27"/>
        <c:axId val="1188979935"/>
        <c:axId val="1188993855"/>
      </c:barChart>
      <c:catAx>
        <c:axId val="118897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88993855"/>
        <c:crosses val="autoZero"/>
        <c:auto val="1"/>
        <c:lblAlgn val="ctr"/>
        <c:lblOffset val="100"/>
        <c:noMultiLvlLbl val="0"/>
      </c:catAx>
      <c:valAx>
        <c:axId val="1188993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8897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Disease Rate by Age Group &amp; Sex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tx>
            <c:strRef>
              <c:f>PivotTables!$K$5</c:f>
              <c:strCache>
                <c:ptCount val="1"/>
                <c:pt idx="0">
                  <c:v>Female Rate%</c:v>
                </c:pt>
              </c:strCache>
            </c:strRef>
          </c:tx>
          <c:spPr>
            <a:solidFill>
              <a:schemeClr val="accent1">
                <a:lumMod val="75000"/>
              </a:schemeClr>
            </a:solidFill>
            <a:ln>
              <a:noFill/>
            </a:ln>
            <a:effectLst/>
          </c:spPr>
          <c:invertIfNegative val="0"/>
          <c:cat>
            <c:strRef>
              <c:f>PivotTables!$F$6:$F$9</c:f>
              <c:strCache>
                <c:ptCount val="4"/>
                <c:pt idx="0">
                  <c:v>Under 45</c:v>
                </c:pt>
                <c:pt idx="1">
                  <c:v>45-54</c:v>
                </c:pt>
                <c:pt idx="2">
                  <c:v>55-64</c:v>
                </c:pt>
                <c:pt idx="3">
                  <c:v>65+</c:v>
                </c:pt>
              </c:strCache>
            </c:strRef>
          </c:cat>
          <c:val>
            <c:numRef>
              <c:f>PivotTables!$K$6:$K$9</c:f>
              <c:numCache>
                <c:formatCode>0.0%</c:formatCode>
                <c:ptCount val="4"/>
                <c:pt idx="0">
                  <c:v>0.11904761904761904</c:v>
                </c:pt>
                <c:pt idx="1">
                  <c:v>0.16216216216216217</c:v>
                </c:pt>
                <c:pt idx="2">
                  <c:v>0.49152542372881358</c:v>
                </c:pt>
                <c:pt idx="3">
                  <c:v>0.21052631578947367</c:v>
                </c:pt>
              </c:numCache>
            </c:numRef>
          </c:val>
          <c:extLst>
            <c:ext xmlns:c16="http://schemas.microsoft.com/office/drawing/2014/chart" uri="{C3380CC4-5D6E-409C-BE32-E72D297353CC}">
              <c16:uniqueId val="{00000000-1F20-4E88-8151-69F2AC0EF155}"/>
            </c:ext>
          </c:extLst>
        </c:ser>
        <c:ser>
          <c:idx val="1"/>
          <c:order val="1"/>
          <c:tx>
            <c:strRef>
              <c:f>PivotTables!$L$5</c:f>
              <c:strCache>
                <c:ptCount val="1"/>
                <c:pt idx="0">
                  <c:v>Male Rate%</c:v>
                </c:pt>
              </c:strCache>
            </c:strRef>
          </c:tx>
          <c:spPr>
            <a:solidFill>
              <a:schemeClr val="accent1">
                <a:lumMod val="60000"/>
                <a:lumOff val="40000"/>
              </a:schemeClr>
            </a:solidFill>
            <a:ln>
              <a:noFill/>
            </a:ln>
            <a:effectLst/>
          </c:spPr>
          <c:invertIfNegative val="0"/>
          <c:cat>
            <c:strRef>
              <c:f>PivotTables!$F$6:$F$9</c:f>
              <c:strCache>
                <c:ptCount val="4"/>
                <c:pt idx="0">
                  <c:v>Under 45</c:v>
                </c:pt>
                <c:pt idx="1">
                  <c:v>45-54</c:v>
                </c:pt>
                <c:pt idx="2">
                  <c:v>55-64</c:v>
                </c:pt>
                <c:pt idx="3">
                  <c:v>65+</c:v>
                </c:pt>
              </c:strCache>
            </c:strRef>
          </c:cat>
          <c:val>
            <c:numRef>
              <c:f>PivotTables!$L$6:$L$9</c:f>
              <c:numCache>
                <c:formatCode>0.0%</c:formatCode>
                <c:ptCount val="4"/>
                <c:pt idx="0">
                  <c:v>0.38970588235294118</c:v>
                </c:pt>
                <c:pt idx="1">
                  <c:v>0.57727272727272727</c:v>
                </c:pt>
                <c:pt idx="2">
                  <c:v>0.73776223776223782</c:v>
                </c:pt>
                <c:pt idx="3">
                  <c:v>0.80952380952380953</c:v>
                </c:pt>
              </c:numCache>
            </c:numRef>
          </c:val>
          <c:extLst>
            <c:ext xmlns:c16="http://schemas.microsoft.com/office/drawing/2014/chart" uri="{C3380CC4-5D6E-409C-BE32-E72D297353CC}">
              <c16:uniqueId val="{00000001-1F20-4E88-8151-69F2AC0EF155}"/>
            </c:ext>
          </c:extLst>
        </c:ser>
        <c:dLbls>
          <c:showLegendKey val="0"/>
          <c:showVal val="0"/>
          <c:showCatName val="0"/>
          <c:showSerName val="0"/>
          <c:showPercent val="0"/>
          <c:showBubbleSize val="0"/>
        </c:dLbls>
        <c:gapWidth val="219"/>
        <c:overlap val="-27"/>
        <c:axId val="1189002495"/>
        <c:axId val="1189005855"/>
      </c:barChart>
      <c:catAx>
        <c:axId val="118900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89005855"/>
        <c:crosses val="autoZero"/>
        <c:auto val="1"/>
        <c:lblAlgn val="ctr"/>
        <c:lblOffset val="100"/>
        <c:noMultiLvlLbl val="0"/>
      </c:catAx>
      <c:valAx>
        <c:axId val="1189005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89002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Disease Rate by Chest Pain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PivotTables!$Q$3</c:f>
              <c:strCache>
                <c:ptCount val="1"/>
                <c:pt idx="0">
                  <c:v>Disease Rate %</c:v>
                </c:pt>
              </c:strCache>
            </c:strRef>
          </c:tx>
          <c:spPr>
            <a:solidFill>
              <a:schemeClr val="accent1">
                <a:lumMod val="75000"/>
              </a:schemeClr>
            </a:solidFill>
            <a:ln>
              <a:noFill/>
            </a:ln>
            <a:effectLst/>
          </c:spPr>
          <c:invertIfNegative val="0"/>
          <c:cat>
            <c:strRef>
              <c:f>PivotTables!$N$4:$N$7</c:f>
              <c:strCache>
                <c:ptCount val="4"/>
                <c:pt idx="0">
                  <c:v>asymptomatic</c:v>
                </c:pt>
                <c:pt idx="1">
                  <c:v>atypical angina</c:v>
                </c:pt>
                <c:pt idx="2">
                  <c:v>non-anginal</c:v>
                </c:pt>
                <c:pt idx="3">
                  <c:v>typical angina</c:v>
                </c:pt>
              </c:strCache>
            </c:strRef>
          </c:cat>
          <c:val>
            <c:numRef>
              <c:f>PivotTables!$Q$4:$Q$7</c:f>
              <c:numCache>
                <c:formatCode>0.0%</c:formatCode>
                <c:ptCount val="4"/>
                <c:pt idx="0">
                  <c:v>0.79032258064516125</c:v>
                </c:pt>
                <c:pt idx="1">
                  <c:v>0.13793103448275862</c:v>
                </c:pt>
                <c:pt idx="2">
                  <c:v>0.35784313725490197</c:v>
                </c:pt>
                <c:pt idx="3">
                  <c:v>0.43478260869565216</c:v>
                </c:pt>
              </c:numCache>
            </c:numRef>
          </c:val>
          <c:extLst>
            <c:ext xmlns:c16="http://schemas.microsoft.com/office/drawing/2014/chart" uri="{C3380CC4-5D6E-409C-BE32-E72D297353CC}">
              <c16:uniqueId val="{00000000-8264-424B-9F72-FBD26A1D5E8A}"/>
            </c:ext>
          </c:extLst>
        </c:ser>
        <c:dLbls>
          <c:showLegendKey val="0"/>
          <c:showVal val="0"/>
          <c:showCatName val="0"/>
          <c:showSerName val="0"/>
          <c:showPercent val="0"/>
          <c:showBubbleSize val="0"/>
        </c:dLbls>
        <c:gapWidth val="182"/>
        <c:axId val="1188989535"/>
        <c:axId val="1188991935"/>
      </c:barChart>
      <c:catAx>
        <c:axId val="118898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88991935"/>
        <c:crosses val="autoZero"/>
        <c:auto val="1"/>
        <c:lblAlgn val="ctr"/>
        <c:lblOffset val="100"/>
        <c:noMultiLvlLbl val="0"/>
      </c:catAx>
      <c:valAx>
        <c:axId val="11889919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8898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419100</xdr:colOff>
      <xdr:row>692</xdr:row>
      <xdr:rowOff>72390</xdr:rowOff>
    </xdr:from>
    <xdr:to>
      <xdr:col>15</xdr:col>
      <xdr:colOff>0</xdr:colOff>
      <xdr:row>707</xdr:row>
      <xdr:rowOff>72390</xdr:rowOff>
    </xdr:to>
    <xdr:graphicFrame macro="">
      <xdr:nvGraphicFramePr>
        <xdr:cNvPr id="2" name="Chart 1">
          <a:extLst>
            <a:ext uri="{FF2B5EF4-FFF2-40B4-BE49-F238E27FC236}">
              <a16:creationId xmlns:a16="http://schemas.microsoft.com/office/drawing/2014/main" id="{DC02D40A-0418-1192-4CC1-8DDBF9F9F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49118</xdr:rowOff>
    </xdr:from>
    <xdr:to>
      <xdr:col>7</xdr:col>
      <xdr:colOff>204610</xdr:colOff>
      <xdr:row>22</xdr:row>
      <xdr:rowOff>40651</xdr:rowOff>
    </xdr:to>
    <xdr:graphicFrame macro="">
      <xdr:nvGraphicFramePr>
        <xdr:cNvPr id="3" name="Chart 3">
          <a:extLst>
            <a:ext uri="{FF2B5EF4-FFF2-40B4-BE49-F238E27FC236}">
              <a16:creationId xmlns:a16="http://schemas.microsoft.com/office/drawing/2014/main" id="{F43E2DD3-39F5-C970-987E-809AA772F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532125</xdr:colOff>
      <xdr:row>7</xdr:row>
      <xdr:rowOff>21441</xdr:rowOff>
    </xdr:from>
    <xdr:to>
      <xdr:col>15</xdr:col>
      <xdr:colOff>114984</xdr:colOff>
      <xdr:row>22</xdr:row>
      <xdr:rowOff>10488</xdr:rowOff>
    </xdr:to>
    <xdr:graphicFrame macro="">
      <xdr:nvGraphicFramePr>
        <xdr:cNvPr id="4" name="Chart 5">
          <a:extLst>
            <a:ext uri="{FF2B5EF4-FFF2-40B4-BE49-F238E27FC236}">
              <a16:creationId xmlns:a16="http://schemas.microsoft.com/office/drawing/2014/main" id="{50C1AA8A-D017-1DFB-E98B-3671A86AE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55110</xdr:rowOff>
    </xdr:from>
    <xdr:to>
      <xdr:col>7</xdr:col>
      <xdr:colOff>375856</xdr:colOff>
      <xdr:row>38</xdr:row>
      <xdr:rowOff>178781</xdr:rowOff>
    </xdr:to>
    <xdr:graphicFrame macro="">
      <xdr:nvGraphicFramePr>
        <xdr:cNvPr id="5" name="Chart 6">
          <a:extLst>
            <a:ext uri="{FF2B5EF4-FFF2-40B4-BE49-F238E27FC236}">
              <a16:creationId xmlns:a16="http://schemas.microsoft.com/office/drawing/2014/main" id="{2A97AF23-0C75-CD1D-75C3-ABEE90F1A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75363</xdr:colOff>
      <xdr:row>24</xdr:row>
      <xdr:rowOff>167472</xdr:rowOff>
    </xdr:from>
    <xdr:to>
      <xdr:col>14</xdr:col>
      <xdr:colOff>376813</xdr:colOff>
      <xdr:row>36</xdr:row>
      <xdr:rowOff>58615</xdr:rowOff>
    </xdr:to>
    <xdr:sp macro="" textlink="">
      <xdr:nvSpPr>
        <xdr:cNvPr id="6" name="TextBox 5">
          <a:extLst>
            <a:ext uri="{FF2B5EF4-FFF2-40B4-BE49-F238E27FC236}">
              <a16:creationId xmlns:a16="http://schemas.microsoft.com/office/drawing/2014/main" id="{2B0FEB7E-C5D3-D150-C041-489E41AD3C2C}"/>
            </a:ext>
          </a:extLst>
        </xdr:cNvPr>
        <xdr:cNvSpPr txBox="1"/>
      </xdr:nvSpPr>
      <xdr:spPr>
        <a:xfrm>
          <a:off x="5074418" y="4839956"/>
          <a:ext cx="4086329" cy="2101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de-DE" sz="1800">
              <a:solidFill>
                <a:schemeClr val="accent1">
                  <a:lumMod val="75000"/>
                </a:schemeClr>
              </a:solidFill>
            </a:rPr>
            <a:t>Key Findings: </a:t>
          </a:r>
          <a:endParaRPr lang="ru-RU" sz="1800">
            <a:solidFill>
              <a:schemeClr val="accent1">
                <a:lumMod val="75000"/>
              </a:schemeClr>
            </a:solidFill>
          </a:endParaRPr>
        </a:p>
        <a:p>
          <a:pPr marL="285750" indent="-285750" algn="l">
            <a:buFont typeface="Arial" panose="020B0604020202020204" pitchFamily="34" charset="0"/>
            <a:buChar char="•"/>
          </a:pPr>
          <a:r>
            <a:rPr lang="de-DE" sz="1800">
              <a:solidFill>
                <a:schemeClr val="accent1">
                  <a:lumMod val="75000"/>
                </a:schemeClr>
              </a:solidFill>
            </a:rPr>
            <a:t>Males show 2.4x higher disease rate than females</a:t>
          </a:r>
          <a:endParaRPr lang="ru-RU" sz="1800">
            <a:solidFill>
              <a:schemeClr val="accent1">
                <a:lumMod val="75000"/>
              </a:schemeClr>
            </a:solidFill>
          </a:endParaRPr>
        </a:p>
        <a:p>
          <a:pPr marL="285750" indent="-285750" algn="l">
            <a:buFont typeface="Arial" panose="020B0604020202020204" pitchFamily="34" charset="0"/>
            <a:buChar char="•"/>
          </a:pPr>
          <a:r>
            <a:rPr lang="de-DE" sz="1800">
              <a:solidFill>
                <a:schemeClr val="accent1">
                  <a:lumMod val="75000"/>
                </a:schemeClr>
              </a:solidFill>
            </a:rPr>
            <a:t> Risk Score 6 → 100% disease rate</a:t>
          </a:r>
          <a:endParaRPr lang="ru-RU" sz="1800">
            <a:solidFill>
              <a:schemeClr val="accent1">
                <a:lumMod val="75000"/>
              </a:schemeClr>
            </a:solidFill>
          </a:endParaRPr>
        </a:p>
        <a:p>
          <a:pPr marL="285750" indent="-285750" algn="l">
            <a:buFont typeface="Arial" panose="020B0604020202020204" pitchFamily="34" charset="0"/>
            <a:buChar char="•"/>
          </a:pPr>
          <a:r>
            <a:rPr lang="de-DE" sz="1800">
              <a:solidFill>
                <a:schemeClr val="accent1">
                  <a:lumMod val="75000"/>
                </a:schemeClr>
              </a:solidFill>
            </a:rPr>
            <a:t>79% of asymptomatic patients are diseased</a:t>
          </a:r>
          <a:endParaRPr lang="ru-RU" sz="1800">
            <a:solidFill>
              <a:schemeClr val="accent1">
                <a:lumMod val="75000"/>
              </a:schemeClr>
            </a:solidFill>
          </a:endParaRPr>
        </a:p>
      </xdr:txBody>
    </xdr:sp>
    <xdr:clientData/>
  </xdr:twoCellAnchor>
  <xdr:twoCellAnchor editAs="oneCell">
    <xdr:from>
      <xdr:col>15</xdr:col>
      <xdr:colOff>265546</xdr:colOff>
      <xdr:row>7</xdr:row>
      <xdr:rowOff>69274</xdr:rowOff>
    </xdr:from>
    <xdr:to>
      <xdr:col>18</xdr:col>
      <xdr:colOff>258619</xdr:colOff>
      <xdr:row>15</xdr:row>
      <xdr:rowOff>80819</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9B063301-86C0-4589-B540-068EF563DBD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644008" y="1628443"/>
              <a:ext cx="1821873" cy="151209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300180</xdr:colOff>
      <xdr:row>16</xdr:row>
      <xdr:rowOff>103909</xdr:rowOff>
    </xdr:from>
    <xdr:to>
      <xdr:col>18</xdr:col>
      <xdr:colOff>293253</xdr:colOff>
      <xdr:row>21</xdr:row>
      <xdr:rowOff>138545</xdr:rowOff>
    </xdr:to>
    <mc:AlternateContent xmlns:mc="http://schemas.openxmlformats.org/markup-compatibility/2006" xmlns:a14="http://schemas.microsoft.com/office/drawing/2010/main">
      <mc:Choice Requires="a14">
        <xdr:graphicFrame macro="">
          <xdr:nvGraphicFramePr>
            <xdr:cNvPr id="8" name="Sex">
              <a:extLst>
                <a:ext uri="{FF2B5EF4-FFF2-40B4-BE49-F238E27FC236}">
                  <a16:creationId xmlns:a16="http://schemas.microsoft.com/office/drawing/2014/main" id="{639365DD-B0EB-4D79-B822-320F10DACD5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9678642" y="3351201"/>
              <a:ext cx="1821873" cy="97248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Тео" refreshedDate="46193.974233564812" createdVersion="8" refreshedVersion="8" minRefreshableVersion="3" recordCount="920" xr:uid="{42315D54-2BE1-4F0F-86A6-A62F24F8E249}">
  <cacheSource type="worksheet">
    <worksheetSource name="analysis"/>
  </cacheSource>
  <cacheFields count="15">
    <cacheField name="ID" numFmtId="0">
      <sharedItems/>
    </cacheField>
    <cacheField name="Age" numFmtId="1">
      <sharedItems containsSemiMixedTypes="0" containsString="0" containsNumber="1" containsInteger="1" minValue="28" maxValue="77"/>
    </cacheField>
    <cacheField name="Sex" numFmtId="0">
      <sharedItems count="2">
        <s v="Male"/>
        <s v="Female"/>
      </sharedItems>
    </cacheField>
    <cacheField name="Age Group" numFmtId="0">
      <sharedItems count="4">
        <s v="55-64"/>
        <s v="65+"/>
        <s v="Under 45"/>
        <s v="45-54"/>
      </sharedItems>
    </cacheField>
    <cacheField name="CP" numFmtId="0">
      <sharedItems count="4">
        <s v="typical angina"/>
        <s v="asymptomatic"/>
        <s v="non-anginal"/>
        <s v="atypical angina"/>
      </sharedItems>
    </cacheField>
    <cacheField name="Status" numFmtId="0">
      <sharedItems/>
    </cacheField>
    <cacheField name="Chol Flag" numFmtId="0">
      <sharedItems containsSemiMixedTypes="0" containsString="0" containsNumber="1" containsInteger="1" minValue="0" maxValue="1"/>
    </cacheField>
    <cacheField name="BP Flag" numFmtId="0">
      <sharedItems containsSemiMixedTypes="0" containsString="0" containsNumber="1" containsInteger="1" minValue="0" maxValue="1"/>
    </cacheField>
    <cacheField name="ST Flag" numFmtId="0">
      <sharedItems containsSemiMixedTypes="0" containsString="0" containsNumber="1" containsInteger="1" minValue="0" maxValue="1"/>
    </cacheField>
    <cacheField name="Angina Flag" numFmtId="0">
      <sharedItems containsSemiMixedTypes="0" containsString="0" containsNumber="1" containsInteger="1" minValue="0" maxValue="1"/>
    </cacheField>
    <cacheField name="FBS Flag" numFmtId="0">
      <sharedItems containsSemiMixedTypes="0" containsString="0" containsNumber="1" containsInteger="1" minValue="0" maxValue="1"/>
    </cacheField>
    <cacheField name="CA Flag" numFmtId="0">
      <sharedItems containsSemiMixedTypes="0" containsString="0" containsNumber="1" containsInteger="1" minValue="0" maxValue="1"/>
    </cacheField>
    <cacheField name="Risk Score" numFmtId="0">
      <sharedItems containsSemiMixedTypes="0" containsString="0" containsNumber="1" containsInteger="1" minValue="0" maxValue="6" count="7">
        <n v="4"/>
        <n v="5"/>
        <n v="3"/>
        <n v="6"/>
        <n v="2"/>
        <n v="1"/>
        <n v="0"/>
      </sharedItems>
    </cacheField>
    <cacheField name="Is Diseased" numFmtId="0">
      <sharedItems containsSemiMixedTypes="0" containsString="0" containsNumber="1" containsInteger="1" minValue="0" maxValue="1"/>
    </cacheField>
    <cacheField name="Disease Rate" numFmtId="0" formula="'Is Diseased'/ID" databaseField="0"/>
  </cacheFields>
  <extLst>
    <ext xmlns:x14="http://schemas.microsoft.com/office/spreadsheetml/2009/9/main" uri="{725AE2AE-9491-48be-B2B4-4EB974FC3084}">
      <x14:pivotCacheDefinition pivotCacheId="1674592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0">
  <r>
    <s v="1"/>
    <n v="63"/>
    <x v="0"/>
    <x v="0"/>
    <x v="0"/>
    <s v="Healthy"/>
    <n v="1"/>
    <n v="1"/>
    <n v="1"/>
    <n v="0"/>
    <n v="1"/>
    <n v="0"/>
    <x v="0"/>
    <n v="0"/>
  </r>
  <r>
    <s v="2"/>
    <n v="67"/>
    <x v="0"/>
    <x v="1"/>
    <x v="1"/>
    <s v="Diseased"/>
    <n v="1"/>
    <n v="1"/>
    <n v="1"/>
    <n v="1"/>
    <n v="0"/>
    <n v="1"/>
    <x v="1"/>
    <n v="1"/>
  </r>
  <r>
    <s v="3"/>
    <n v="67"/>
    <x v="0"/>
    <x v="1"/>
    <x v="1"/>
    <s v="Diseased"/>
    <n v="1"/>
    <n v="1"/>
    <n v="1"/>
    <n v="1"/>
    <n v="0"/>
    <n v="1"/>
    <x v="1"/>
    <n v="1"/>
  </r>
  <r>
    <s v="4"/>
    <n v="37"/>
    <x v="0"/>
    <x v="2"/>
    <x v="2"/>
    <s v="Healthy"/>
    <n v="1"/>
    <n v="1"/>
    <n v="1"/>
    <n v="0"/>
    <n v="0"/>
    <n v="0"/>
    <x v="2"/>
    <n v="0"/>
  </r>
  <r>
    <s v="5"/>
    <n v="41"/>
    <x v="1"/>
    <x v="2"/>
    <x v="3"/>
    <s v="Healthy"/>
    <n v="1"/>
    <n v="1"/>
    <n v="1"/>
    <n v="0"/>
    <n v="0"/>
    <n v="0"/>
    <x v="2"/>
    <n v="0"/>
  </r>
  <r>
    <s v="6"/>
    <n v="56"/>
    <x v="0"/>
    <x v="0"/>
    <x v="3"/>
    <s v="Healthy"/>
    <n v="1"/>
    <n v="1"/>
    <n v="1"/>
    <n v="0"/>
    <n v="0"/>
    <n v="0"/>
    <x v="2"/>
    <n v="0"/>
  </r>
  <r>
    <s v="7"/>
    <n v="62"/>
    <x v="1"/>
    <x v="0"/>
    <x v="1"/>
    <s v="Diseased"/>
    <n v="1"/>
    <n v="1"/>
    <n v="1"/>
    <n v="0"/>
    <n v="0"/>
    <n v="1"/>
    <x v="0"/>
    <n v="1"/>
  </r>
  <r>
    <s v="8"/>
    <n v="57"/>
    <x v="1"/>
    <x v="0"/>
    <x v="1"/>
    <s v="Healthy"/>
    <n v="1"/>
    <n v="1"/>
    <n v="1"/>
    <n v="1"/>
    <n v="0"/>
    <n v="0"/>
    <x v="0"/>
    <n v="0"/>
  </r>
  <r>
    <s v="9"/>
    <n v="63"/>
    <x v="0"/>
    <x v="0"/>
    <x v="1"/>
    <s v="Diseased"/>
    <n v="1"/>
    <n v="1"/>
    <n v="1"/>
    <n v="0"/>
    <n v="0"/>
    <n v="1"/>
    <x v="0"/>
    <n v="1"/>
  </r>
  <r>
    <s v="10"/>
    <n v="53"/>
    <x v="0"/>
    <x v="3"/>
    <x v="1"/>
    <s v="Diseased"/>
    <n v="1"/>
    <n v="1"/>
    <n v="1"/>
    <n v="1"/>
    <n v="1"/>
    <n v="0"/>
    <x v="1"/>
    <n v="1"/>
  </r>
  <r>
    <s v="11"/>
    <n v="57"/>
    <x v="0"/>
    <x v="0"/>
    <x v="1"/>
    <s v="Healthy"/>
    <n v="1"/>
    <n v="1"/>
    <n v="1"/>
    <n v="0"/>
    <n v="0"/>
    <n v="0"/>
    <x v="2"/>
    <n v="0"/>
  </r>
  <r>
    <s v="12"/>
    <n v="56"/>
    <x v="1"/>
    <x v="0"/>
    <x v="3"/>
    <s v="Healthy"/>
    <n v="1"/>
    <n v="1"/>
    <n v="1"/>
    <n v="0"/>
    <n v="0"/>
    <n v="0"/>
    <x v="2"/>
    <n v="0"/>
  </r>
  <r>
    <s v="13"/>
    <n v="56"/>
    <x v="0"/>
    <x v="0"/>
    <x v="2"/>
    <s v="Diseased"/>
    <n v="1"/>
    <n v="1"/>
    <n v="1"/>
    <n v="1"/>
    <n v="1"/>
    <n v="1"/>
    <x v="3"/>
    <n v="1"/>
  </r>
  <r>
    <s v="14"/>
    <n v="44"/>
    <x v="0"/>
    <x v="2"/>
    <x v="3"/>
    <s v="Healthy"/>
    <n v="1"/>
    <n v="1"/>
    <n v="0"/>
    <n v="0"/>
    <n v="0"/>
    <n v="0"/>
    <x v="4"/>
    <n v="0"/>
  </r>
  <r>
    <s v="15"/>
    <n v="52"/>
    <x v="0"/>
    <x v="3"/>
    <x v="2"/>
    <s v="Healthy"/>
    <n v="1"/>
    <n v="1"/>
    <n v="1"/>
    <n v="0"/>
    <n v="1"/>
    <n v="0"/>
    <x v="0"/>
    <n v="0"/>
  </r>
  <r>
    <s v="16"/>
    <n v="57"/>
    <x v="0"/>
    <x v="0"/>
    <x v="2"/>
    <s v="Healthy"/>
    <n v="1"/>
    <n v="1"/>
    <n v="1"/>
    <n v="0"/>
    <n v="0"/>
    <n v="0"/>
    <x v="2"/>
    <n v="0"/>
  </r>
  <r>
    <s v="17"/>
    <n v="48"/>
    <x v="0"/>
    <x v="3"/>
    <x v="3"/>
    <s v="Diseased"/>
    <n v="1"/>
    <n v="1"/>
    <n v="1"/>
    <n v="0"/>
    <n v="0"/>
    <n v="0"/>
    <x v="2"/>
    <n v="1"/>
  </r>
  <r>
    <s v="18"/>
    <n v="54"/>
    <x v="0"/>
    <x v="3"/>
    <x v="1"/>
    <s v="Healthy"/>
    <n v="1"/>
    <n v="1"/>
    <n v="1"/>
    <n v="0"/>
    <n v="0"/>
    <n v="0"/>
    <x v="2"/>
    <n v="0"/>
  </r>
  <r>
    <s v="19"/>
    <n v="48"/>
    <x v="1"/>
    <x v="3"/>
    <x v="2"/>
    <s v="Healthy"/>
    <n v="1"/>
    <n v="1"/>
    <n v="1"/>
    <n v="0"/>
    <n v="0"/>
    <n v="0"/>
    <x v="2"/>
    <n v="0"/>
  </r>
  <r>
    <s v="20"/>
    <n v="49"/>
    <x v="0"/>
    <x v="3"/>
    <x v="3"/>
    <s v="Healthy"/>
    <n v="1"/>
    <n v="1"/>
    <n v="1"/>
    <n v="0"/>
    <n v="0"/>
    <n v="0"/>
    <x v="2"/>
    <n v="0"/>
  </r>
  <r>
    <s v="21"/>
    <n v="64"/>
    <x v="0"/>
    <x v="0"/>
    <x v="0"/>
    <s v="Healthy"/>
    <n v="1"/>
    <n v="1"/>
    <n v="1"/>
    <n v="1"/>
    <n v="0"/>
    <n v="0"/>
    <x v="0"/>
    <n v="0"/>
  </r>
  <r>
    <s v="22"/>
    <n v="58"/>
    <x v="1"/>
    <x v="0"/>
    <x v="0"/>
    <s v="Healthy"/>
    <n v="1"/>
    <n v="1"/>
    <n v="1"/>
    <n v="0"/>
    <n v="1"/>
    <n v="0"/>
    <x v="0"/>
    <n v="0"/>
  </r>
  <r>
    <s v="23"/>
    <n v="58"/>
    <x v="0"/>
    <x v="0"/>
    <x v="3"/>
    <s v="Diseased"/>
    <n v="1"/>
    <n v="1"/>
    <n v="1"/>
    <n v="0"/>
    <n v="0"/>
    <n v="0"/>
    <x v="2"/>
    <n v="1"/>
  </r>
  <r>
    <s v="24"/>
    <n v="58"/>
    <x v="0"/>
    <x v="0"/>
    <x v="2"/>
    <s v="Diseased"/>
    <n v="1"/>
    <n v="1"/>
    <n v="1"/>
    <n v="0"/>
    <n v="0"/>
    <n v="1"/>
    <x v="0"/>
    <n v="1"/>
  </r>
  <r>
    <s v="25"/>
    <n v="60"/>
    <x v="0"/>
    <x v="0"/>
    <x v="1"/>
    <s v="Diseased"/>
    <n v="1"/>
    <n v="1"/>
    <n v="1"/>
    <n v="1"/>
    <n v="0"/>
    <n v="1"/>
    <x v="1"/>
    <n v="1"/>
  </r>
  <r>
    <s v="26"/>
    <n v="50"/>
    <x v="1"/>
    <x v="3"/>
    <x v="2"/>
    <s v="Healthy"/>
    <n v="1"/>
    <n v="1"/>
    <n v="1"/>
    <n v="0"/>
    <n v="0"/>
    <n v="0"/>
    <x v="2"/>
    <n v="0"/>
  </r>
  <r>
    <s v="27"/>
    <n v="58"/>
    <x v="1"/>
    <x v="0"/>
    <x v="2"/>
    <s v="Healthy"/>
    <n v="1"/>
    <n v="1"/>
    <n v="0"/>
    <n v="0"/>
    <n v="0"/>
    <n v="0"/>
    <x v="4"/>
    <n v="0"/>
  </r>
  <r>
    <s v="28"/>
    <n v="66"/>
    <x v="1"/>
    <x v="1"/>
    <x v="0"/>
    <s v="Healthy"/>
    <n v="1"/>
    <n v="1"/>
    <n v="1"/>
    <n v="0"/>
    <n v="0"/>
    <n v="0"/>
    <x v="2"/>
    <n v="0"/>
  </r>
  <r>
    <s v="29"/>
    <n v="43"/>
    <x v="0"/>
    <x v="2"/>
    <x v="1"/>
    <s v="Healthy"/>
    <n v="1"/>
    <n v="1"/>
    <n v="1"/>
    <n v="0"/>
    <n v="0"/>
    <n v="0"/>
    <x v="2"/>
    <n v="0"/>
  </r>
  <r>
    <s v="30"/>
    <n v="40"/>
    <x v="0"/>
    <x v="2"/>
    <x v="1"/>
    <s v="Diseased"/>
    <n v="1"/>
    <n v="1"/>
    <n v="1"/>
    <n v="1"/>
    <n v="0"/>
    <n v="0"/>
    <x v="0"/>
    <n v="1"/>
  </r>
  <r>
    <s v="31"/>
    <n v="69"/>
    <x v="1"/>
    <x v="1"/>
    <x v="0"/>
    <s v="Healthy"/>
    <n v="1"/>
    <n v="1"/>
    <n v="1"/>
    <n v="0"/>
    <n v="0"/>
    <n v="1"/>
    <x v="0"/>
    <n v="0"/>
  </r>
  <r>
    <s v="32"/>
    <n v="60"/>
    <x v="0"/>
    <x v="0"/>
    <x v="1"/>
    <s v="Diseased"/>
    <n v="1"/>
    <n v="1"/>
    <n v="1"/>
    <n v="1"/>
    <n v="1"/>
    <n v="1"/>
    <x v="3"/>
    <n v="1"/>
  </r>
  <r>
    <s v="33"/>
    <n v="64"/>
    <x v="0"/>
    <x v="0"/>
    <x v="2"/>
    <s v="Diseased"/>
    <n v="1"/>
    <n v="1"/>
    <n v="0"/>
    <n v="0"/>
    <n v="0"/>
    <n v="0"/>
    <x v="4"/>
    <n v="1"/>
  </r>
  <r>
    <s v="34"/>
    <n v="59"/>
    <x v="0"/>
    <x v="0"/>
    <x v="1"/>
    <s v="Healthy"/>
    <n v="1"/>
    <n v="1"/>
    <n v="1"/>
    <n v="0"/>
    <n v="0"/>
    <n v="0"/>
    <x v="2"/>
    <n v="0"/>
  </r>
  <r>
    <s v="35"/>
    <n v="44"/>
    <x v="0"/>
    <x v="2"/>
    <x v="2"/>
    <s v="Healthy"/>
    <n v="1"/>
    <n v="1"/>
    <n v="1"/>
    <n v="1"/>
    <n v="0"/>
    <n v="0"/>
    <x v="0"/>
    <n v="0"/>
  </r>
  <r>
    <s v="36"/>
    <n v="42"/>
    <x v="0"/>
    <x v="2"/>
    <x v="1"/>
    <s v="Healthy"/>
    <n v="1"/>
    <n v="1"/>
    <n v="0"/>
    <n v="0"/>
    <n v="0"/>
    <n v="0"/>
    <x v="4"/>
    <n v="0"/>
  </r>
  <r>
    <s v="37"/>
    <n v="43"/>
    <x v="0"/>
    <x v="2"/>
    <x v="1"/>
    <s v="Diseased"/>
    <n v="1"/>
    <n v="1"/>
    <n v="1"/>
    <n v="1"/>
    <n v="0"/>
    <n v="0"/>
    <x v="0"/>
    <n v="1"/>
  </r>
  <r>
    <s v="38"/>
    <n v="57"/>
    <x v="0"/>
    <x v="0"/>
    <x v="1"/>
    <s v="Diseased"/>
    <n v="1"/>
    <n v="1"/>
    <n v="1"/>
    <n v="1"/>
    <n v="0"/>
    <n v="1"/>
    <x v="1"/>
    <n v="1"/>
  </r>
  <r>
    <s v="39"/>
    <n v="55"/>
    <x v="0"/>
    <x v="0"/>
    <x v="1"/>
    <s v="Diseased"/>
    <n v="1"/>
    <n v="1"/>
    <n v="1"/>
    <n v="1"/>
    <n v="0"/>
    <n v="1"/>
    <x v="1"/>
    <n v="1"/>
  </r>
  <r>
    <s v="40"/>
    <n v="61"/>
    <x v="0"/>
    <x v="0"/>
    <x v="2"/>
    <s v="Healthy"/>
    <n v="1"/>
    <n v="1"/>
    <n v="1"/>
    <n v="1"/>
    <n v="1"/>
    <n v="0"/>
    <x v="1"/>
    <n v="0"/>
  </r>
  <r>
    <s v="41"/>
    <n v="65"/>
    <x v="1"/>
    <x v="1"/>
    <x v="1"/>
    <s v="Diseased"/>
    <n v="1"/>
    <n v="1"/>
    <n v="1"/>
    <n v="0"/>
    <n v="0"/>
    <n v="1"/>
    <x v="0"/>
    <n v="1"/>
  </r>
  <r>
    <s v="42"/>
    <n v="40"/>
    <x v="0"/>
    <x v="2"/>
    <x v="0"/>
    <s v="Healthy"/>
    <n v="1"/>
    <n v="1"/>
    <n v="1"/>
    <n v="1"/>
    <n v="0"/>
    <n v="0"/>
    <x v="0"/>
    <n v="0"/>
  </r>
  <r>
    <s v="43"/>
    <n v="71"/>
    <x v="1"/>
    <x v="1"/>
    <x v="3"/>
    <s v="Healthy"/>
    <n v="1"/>
    <n v="1"/>
    <n v="1"/>
    <n v="0"/>
    <n v="0"/>
    <n v="1"/>
    <x v="0"/>
    <n v="0"/>
  </r>
  <r>
    <s v="44"/>
    <n v="59"/>
    <x v="0"/>
    <x v="0"/>
    <x v="2"/>
    <s v="Healthy"/>
    <n v="1"/>
    <n v="1"/>
    <n v="1"/>
    <n v="0"/>
    <n v="1"/>
    <n v="0"/>
    <x v="0"/>
    <n v="0"/>
  </r>
  <r>
    <s v="45"/>
    <n v="61"/>
    <x v="1"/>
    <x v="0"/>
    <x v="1"/>
    <s v="Diseased"/>
    <n v="1"/>
    <n v="1"/>
    <n v="0"/>
    <n v="0"/>
    <n v="0"/>
    <n v="0"/>
    <x v="4"/>
    <n v="1"/>
  </r>
  <r>
    <s v="46"/>
    <n v="58"/>
    <x v="0"/>
    <x v="0"/>
    <x v="2"/>
    <s v="Diseased"/>
    <n v="1"/>
    <n v="1"/>
    <n v="1"/>
    <n v="0"/>
    <n v="0"/>
    <n v="1"/>
    <x v="0"/>
    <n v="1"/>
  </r>
  <r>
    <s v="47"/>
    <n v="51"/>
    <x v="0"/>
    <x v="3"/>
    <x v="2"/>
    <s v="Healthy"/>
    <n v="1"/>
    <n v="1"/>
    <n v="1"/>
    <n v="0"/>
    <n v="0"/>
    <n v="0"/>
    <x v="2"/>
    <n v="0"/>
  </r>
  <r>
    <s v="48"/>
    <n v="50"/>
    <x v="0"/>
    <x v="3"/>
    <x v="1"/>
    <s v="Diseased"/>
    <n v="1"/>
    <n v="1"/>
    <n v="1"/>
    <n v="0"/>
    <n v="0"/>
    <n v="0"/>
    <x v="2"/>
    <n v="1"/>
  </r>
  <r>
    <s v="49"/>
    <n v="65"/>
    <x v="1"/>
    <x v="1"/>
    <x v="2"/>
    <s v="Healthy"/>
    <n v="1"/>
    <n v="1"/>
    <n v="1"/>
    <n v="0"/>
    <n v="1"/>
    <n v="1"/>
    <x v="1"/>
    <n v="0"/>
  </r>
  <r>
    <s v="50"/>
    <n v="53"/>
    <x v="0"/>
    <x v="3"/>
    <x v="2"/>
    <s v="Healthy"/>
    <n v="1"/>
    <n v="1"/>
    <n v="1"/>
    <n v="0"/>
    <n v="1"/>
    <n v="0"/>
    <x v="0"/>
    <n v="0"/>
  </r>
  <r>
    <s v="51"/>
    <n v="41"/>
    <x v="1"/>
    <x v="2"/>
    <x v="3"/>
    <s v="Healthy"/>
    <n v="1"/>
    <n v="1"/>
    <n v="0"/>
    <n v="0"/>
    <n v="0"/>
    <n v="1"/>
    <x v="2"/>
    <n v="0"/>
  </r>
  <r>
    <s v="52"/>
    <n v="65"/>
    <x v="0"/>
    <x v="1"/>
    <x v="1"/>
    <s v="Healthy"/>
    <n v="1"/>
    <n v="1"/>
    <n v="1"/>
    <n v="0"/>
    <n v="0"/>
    <n v="0"/>
    <x v="2"/>
    <n v="0"/>
  </r>
  <r>
    <s v="53"/>
    <n v="44"/>
    <x v="0"/>
    <x v="2"/>
    <x v="1"/>
    <s v="Diseased"/>
    <n v="1"/>
    <n v="1"/>
    <n v="0"/>
    <n v="0"/>
    <n v="0"/>
    <n v="1"/>
    <x v="2"/>
    <n v="1"/>
  </r>
  <r>
    <s v="54"/>
    <n v="44"/>
    <x v="0"/>
    <x v="2"/>
    <x v="3"/>
    <s v="Healthy"/>
    <n v="1"/>
    <n v="1"/>
    <n v="0"/>
    <n v="0"/>
    <n v="0"/>
    <n v="0"/>
    <x v="4"/>
    <n v="0"/>
  </r>
  <r>
    <s v="55"/>
    <n v="60"/>
    <x v="0"/>
    <x v="0"/>
    <x v="1"/>
    <s v="Diseased"/>
    <n v="1"/>
    <n v="1"/>
    <n v="1"/>
    <n v="1"/>
    <n v="0"/>
    <n v="1"/>
    <x v="1"/>
    <n v="1"/>
  </r>
  <r>
    <s v="56"/>
    <n v="54"/>
    <x v="0"/>
    <x v="3"/>
    <x v="1"/>
    <s v="Diseased"/>
    <n v="1"/>
    <n v="1"/>
    <n v="1"/>
    <n v="1"/>
    <n v="0"/>
    <n v="1"/>
    <x v="1"/>
    <n v="1"/>
  </r>
  <r>
    <s v="57"/>
    <n v="50"/>
    <x v="0"/>
    <x v="3"/>
    <x v="2"/>
    <s v="Diseased"/>
    <n v="1"/>
    <n v="1"/>
    <n v="1"/>
    <n v="0"/>
    <n v="0"/>
    <n v="1"/>
    <x v="0"/>
    <n v="1"/>
  </r>
  <r>
    <s v="58"/>
    <n v="41"/>
    <x v="0"/>
    <x v="2"/>
    <x v="1"/>
    <s v="Diseased"/>
    <n v="1"/>
    <n v="1"/>
    <n v="0"/>
    <n v="0"/>
    <n v="0"/>
    <n v="0"/>
    <x v="4"/>
    <n v="1"/>
  </r>
  <r>
    <s v="59"/>
    <n v="54"/>
    <x v="0"/>
    <x v="3"/>
    <x v="2"/>
    <s v="Healthy"/>
    <n v="1"/>
    <n v="1"/>
    <n v="1"/>
    <n v="0"/>
    <n v="0"/>
    <n v="1"/>
    <x v="0"/>
    <n v="0"/>
  </r>
  <r>
    <s v="60"/>
    <n v="51"/>
    <x v="0"/>
    <x v="3"/>
    <x v="0"/>
    <s v="Healthy"/>
    <n v="1"/>
    <n v="1"/>
    <n v="1"/>
    <n v="1"/>
    <n v="0"/>
    <n v="1"/>
    <x v="1"/>
    <n v="0"/>
  </r>
  <r>
    <s v="61"/>
    <n v="51"/>
    <x v="1"/>
    <x v="3"/>
    <x v="1"/>
    <s v="Diseased"/>
    <n v="1"/>
    <n v="1"/>
    <n v="1"/>
    <n v="1"/>
    <n v="0"/>
    <n v="0"/>
    <x v="0"/>
    <n v="1"/>
  </r>
  <r>
    <s v="62"/>
    <n v="46"/>
    <x v="1"/>
    <x v="3"/>
    <x v="2"/>
    <s v="Healthy"/>
    <n v="1"/>
    <n v="1"/>
    <n v="1"/>
    <n v="1"/>
    <n v="0"/>
    <n v="0"/>
    <x v="0"/>
    <n v="0"/>
  </r>
  <r>
    <s v="63"/>
    <n v="58"/>
    <x v="0"/>
    <x v="0"/>
    <x v="1"/>
    <s v="Diseased"/>
    <n v="1"/>
    <n v="1"/>
    <n v="1"/>
    <n v="1"/>
    <n v="0"/>
    <n v="1"/>
    <x v="1"/>
    <n v="1"/>
  </r>
  <r>
    <s v="64"/>
    <n v="54"/>
    <x v="1"/>
    <x v="3"/>
    <x v="2"/>
    <s v="Healthy"/>
    <n v="1"/>
    <n v="1"/>
    <n v="0"/>
    <n v="0"/>
    <n v="1"/>
    <n v="0"/>
    <x v="2"/>
    <n v="0"/>
  </r>
  <r>
    <s v="65"/>
    <n v="54"/>
    <x v="0"/>
    <x v="3"/>
    <x v="1"/>
    <s v="Diseased"/>
    <n v="1"/>
    <n v="1"/>
    <n v="1"/>
    <n v="0"/>
    <n v="0"/>
    <n v="1"/>
    <x v="0"/>
    <n v="1"/>
  </r>
  <r>
    <s v="66"/>
    <n v="60"/>
    <x v="0"/>
    <x v="0"/>
    <x v="1"/>
    <s v="Diseased"/>
    <n v="1"/>
    <n v="1"/>
    <n v="1"/>
    <n v="1"/>
    <n v="0"/>
    <n v="1"/>
    <x v="1"/>
    <n v="1"/>
  </r>
  <r>
    <s v="67"/>
    <n v="60"/>
    <x v="0"/>
    <x v="0"/>
    <x v="2"/>
    <s v="Diseased"/>
    <n v="1"/>
    <n v="1"/>
    <n v="1"/>
    <n v="0"/>
    <n v="0"/>
    <n v="0"/>
    <x v="2"/>
    <n v="1"/>
  </r>
  <r>
    <s v="68"/>
    <n v="54"/>
    <x v="0"/>
    <x v="3"/>
    <x v="2"/>
    <s v="Healthy"/>
    <n v="1"/>
    <n v="1"/>
    <n v="1"/>
    <n v="0"/>
    <n v="0"/>
    <n v="0"/>
    <x v="2"/>
    <n v="0"/>
  </r>
  <r>
    <s v="69"/>
    <n v="59"/>
    <x v="0"/>
    <x v="0"/>
    <x v="1"/>
    <s v="Diseased"/>
    <n v="1"/>
    <n v="1"/>
    <n v="1"/>
    <n v="1"/>
    <n v="0"/>
    <n v="0"/>
    <x v="0"/>
    <n v="1"/>
  </r>
  <r>
    <s v="70"/>
    <n v="46"/>
    <x v="0"/>
    <x v="3"/>
    <x v="2"/>
    <s v="Diseased"/>
    <n v="1"/>
    <n v="1"/>
    <n v="1"/>
    <n v="0"/>
    <n v="0"/>
    <n v="0"/>
    <x v="2"/>
    <n v="1"/>
  </r>
  <r>
    <s v="71"/>
    <n v="65"/>
    <x v="1"/>
    <x v="1"/>
    <x v="2"/>
    <s v="Healthy"/>
    <n v="1"/>
    <n v="1"/>
    <n v="1"/>
    <n v="0"/>
    <n v="0"/>
    <n v="0"/>
    <x v="2"/>
    <n v="0"/>
  </r>
  <r>
    <s v="72"/>
    <n v="67"/>
    <x v="0"/>
    <x v="1"/>
    <x v="1"/>
    <s v="Diseased"/>
    <n v="1"/>
    <n v="1"/>
    <n v="1"/>
    <n v="0"/>
    <n v="1"/>
    <n v="1"/>
    <x v="1"/>
    <n v="1"/>
  </r>
  <r>
    <s v="73"/>
    <n v="62"/>
    <x v="0"/>
    <x v="0"/>
    <x v="1"/>
    <s v="Diseased"/>
    <n v="1"/>
    <n v="1"/>
    <n v="1"/>
    <n v="1"/>
    <n v="0"/>
    <n v="1"/>
    <x v="1"/>
    <n v="1"/>
  </r>
  <r>
    <s v="74"/>
    <n v="65"/>
    <x v="0"/>
    <x v="1"/>
    <x v="1"/>
    <s v="Diseased"/>
    <n v="1"/>
    <n v="1"/>
    <n v="1"/>
    <n v="0"/>
    <n v="0"/>
    <n v="1"/>
    <x v="0"/>
    <n v="1"/>
  </r>
  <r>
    <s v="75"/>
    <n v="44"/>
    <x v="0"/>
    <x v="2"/>
    <x v="1"/>
    <s v="Diseased"/>
    <n v="1"/>
    <n v="1"/>
    <n v="0"/>
    <n v="0"/>
    <n v="0"/>
    <n v="1"/>
    <x v="2"/>
    <n v="1"/>
  </r>
  <r>
    <s v="76"/>
    <n v="65"/>
    <x v="1"/>
    <x v="1"/>
    <x v="2"/>
    <s v="Healthy"/>
    <n v="1"/>
    <n v="1"/>
    <n v="1"/>
    <n v="0"/>
    <n v="0"/>
    <n v="0"/>
    <x v="2"/>
    <n v="0"/>
  </r>
  <r>
    <s v="77"/>
    <n v="60"/>
    <x v="0"/>
    <x v="0"/>
    <x v="1"/>
    <s v="Diseased"/>
    <n v="1"/>
    <n v="1"/>
    <n v="1"/>
    <n v="1"/>
    <n v="0"/>
    <n v="1"/>
    <x v="1"/>
    <n v="1"/>
  </r>
  <r>
    <s v="78"/>
    <n v="51"/>
    <x v="1"/>
    <x v="3"/>
    <x v="2"/>
    <s v="Healthy"/>
    <n v="1"/>
    <n v="1"/>
    <n v="1"/>
    <n v="0"/>
    <n v="0"/>
    <n v="1"/>
    <x v="0"/>
    <n v="0"/>
  </r>
  <r>
    <s v="79"/>
    <n v="48"/>
    <x v="0"/>
    <x v="3"/>
    <x v="3"/>
    <s v="Healthy"/>
    <n v="1"/>
    <n v="1"/>
    <n v="1"/>
    <n v="0"/>
    <n v="0"/>
    <n v="0"/>
    <x v="2"/>
    <n v="0"/>
  </r>
  <r>
    <s v="80"/>
    <n v="58"/>
    <x v="0"/>
    <x v="0"/>
    <x v="1"/>
    <s v="Diseased"/>
    <n v="1"/>
    <n v="1"/>
    <n v="1"/>
    <n v="1"/>
    <n v="0"/>
    <n v="0"/>
    <x v="0"/>
    <n v="1"/>
  </r>
  <r>
    <s v="81"/>
    <n v="45"/>
    <x v="0"/>
    <x v="3"/>
    <x v="1"/>
    <s v="Healthy"/>
    <n v="1"/>
    <n v="1"/>
    <n v="1"/>
    <n v="1"/>
    <n v="0"/>
    <n v="0"/>
    <x v="0"/>
    <n v="0"/>
  </r>
  <r>
    <s v="82"/>
    <n v="53"/>
    <x v="1"/>
    <x v="3"/>
    <x v="1"/>
    <s v="Healthy"/>
    <n v="1"/>
    <n v="1"/>
    <n v="1"/>
    <n v="0"/>
    <n v="0"/>
    <n v="0"/>
    <x v="2"/>
    <n v="0"/>
  </r>
  <r>
    <s v="83"/>
    <n v="39"/>
    <x v="0"/>
    <x v="2"/>
    <x v="2"/>
    <s v="Healthy"/>
    <n v="1"/>
    <n v="1"/>
    <n v="0"/>
    <n v="0"/>
    <n v="0"/>
    <n v="0"/>
    <x v="4"/>
    <n v="0"/>
  </r>
  <r>
    <s v="84"/>
    <n v="68"/>
    <x v="0"/>
    <x v="1"/>
    <x v="2"/>
    <s v="Diseased"/>
    <n v="1"/>
    <n v="1"/>
    <n v="1"/>
    <n v="1"/>
    <n v="1"/>
    <n v="0"/>
    <x v="1"/>
    <n v="1"/>
  </r>
  <r>
    <s v="85"/>
    <n v="52"/>
    <x v="0"/>
    <x v="3"/>
    <x v="3"/>
    <s v="Healthy"/>
    <n v="1"/>
    <n v="1"/>
    <n v="1"/>
    <n v="0"/>
    <n v="0"/>
    <n v="0"/>
    <x v="2"/>
    <n v="0"/>
  </r>
  <r>
    <s v="86"/>
    <n v="44"/>
    <x v="0"/>
    <x v="2"/>
    <x v="2"/>
    <s v="Healthy"/>
    <n v="1"/>
    <n v="1"/>
    <n v="0"/>
    <n v="0"/>
    <n v="0"/>
    <n v="0"/>
    <x v="4"/>
    <n v="0"/>
  </r>
  <r>
    <s v="87"/>
    <n v="47"/>
    <x v="0"/>
    <x v="3"/>
    <x v="2"/>
    <s v="Healthy"/>
    <n v="1"/>
    <n v="1"/>
    <n v="0"/>
    <n v="0"/>
    <n v="0"/>
    <n v="0"/>
    <x v="4"/>
    <n v="0"/>
  </r>
  <r>
    <s v="88"/>
    <n v="53"/>
    <x v="1"/>
    <x v="3"/>
    <x v="2"/>
    <s v="Healthy"/>
    <n v="1"/>
    <n v="1"/>
    <n v="0"/>
    <n v="0"/>
    <n v="0"/>
    <n v="0"/>
    <x v="4"/>
    <n v="0"/>
  </r>
  <r>
    <s v="89"/>
    <n v="53"/>
    <x v="1"/>
    <x v="3"/>
    <x v="1"/>
    <s v="Healthy"/>
    <n v="1"/>
    <n v="1"/>
    <n v="0"/>
    <n v="0"/>
    <n v="0"/>
    <n v="0"/>
    <x v="4"/>
    <n v="0"/>
  </r>
  <r>
    <s v="90"/>
    <n v="51"/>
    <x v="1"/>
    <x v="3"/>
    <x v="2"/>
    <s v="Healthy"/>
    <n v="1"/>
    <n v="1"/>
    <n v="1"/>
    <n v="0"/>
    <n v="0"/>
    <n v="0"/>
    <x v="2"/>
    <n v="0"/>
  </r>
  <r>
    <s v="91"/>
    <n v="66"/>
    <x v="0"/>
    <x v="1"/>
    <x v="1"/>
    <s v="Healthy"/>
    <n v="1"/>
    <n v="1"/>
    <n v="1"/>
    <n v="0"/>
    <n v="0"/>
    <n v="0"/>
    <x v="2"/>
    <n v="0"/>
  </r>
  <r>
    <s v="92"/>
    <n v="62"/>
    <x v="1"/>
    <x v="0"/>
    <x v="1"/>
    <s v="Diseased"/>
    <n v="1"/>
    <n v="1"/>
    <n v="1"/>
    <n v="0"/>
    <n v="0"/>
    <n v="1"/>
    <x v="0"/>
    <n v="1"/>
  </r>
  <r>
    <s v="93"/>
    <n v="62"/>
    <x v="0"/>
    <x v="0"/>
    <x v="2"/>
    <s v="Healthy"/>
    <n v="1"/>
    <n v="1"/>
    <n v="1"/>
    <n v="0"/>
    <n v="0"/>
    <n v="1"/>
    <x v="0"/>
    <n v="0"/>
  </r>
  <r>
    <s v="94"/>
    <n v="44"/>
    <x v="1"/>
    <x v="2"/>
    <x v="2"/>
    <s v="Healthy"/>
    <n v="1"/>
    <n v="1"/>
    <n v="1"/>
    <n v="0"/>
    <n v="0"/>
    <n v="0"/>
    <x v="2"/>
    <n v="0"/>
  </r>
  <r>
    <s v="95"/>
    <n v="63"/>
    <x v="1"/>
    <x v="0"/>
    <x v="2"/>
    <s v="Healthy"/>
    <n v="1"/>
    <n v="1"/>
    <n v="0"/>
    <n v="0"/>
    <n v="0"/>
    <n v="0"/>
    <x v="4"/>
    <n v="0"/>
  </r>
  <r>
    <s v="96"/>
    <n v="52"/>
    <x v="0"/>
    <x v="3"/>
    <x v="1"/>
    <s v="Diseased"/>
    <n v="1"/>
    <n v="1"/>
    <n v="0"/>
    <n v="1"/>
    <n v="0"/>
    <n v="1"/>
    <x v="0"/>
    <n v="1"/>
  </r>
  <r>
    <s v="97"/>
    <n v="59"/>
    <x v="0"/>
    <x v="0"/>
    <x v="1"/>
    <s v="Diseased"/>
    <n v="1"/>
    <n v="1"/>
    <n v="1"/>
    <n v="1"/>
    <n v="0"/>
    <n v="1"/>
    <x v="1"/>
    <n v="1"/>
  </r>
  <r>
    <s v="98"/>
    <n v="60"/>
    <x v="1"/>
    <x v="0"/>
    <x v="1"/>
    <s v="Diseased"/>
    <n v="1"/>
    <n v="1"/>
    <n v="1"/>
    <n v="0"/>
    <n v="0"/>
    <n v="1"/>
    <x v="0"/>
    <n v="1"/>
  </r>
  <r>
    <s v="99"/>
    <n v="52"/>
    <x v="0"/>
    <x v="3"/>
    <x v="3"/>
    <s v="Healthy"/>
    <n v="1"/>
    <n v="1"/>
    <n v="1"/>
    <n v="0"/>
    <n v="0"/>
    <n v="1"/>
    <x v="0"/>
    <n v="0"/>
  </r>
  <r>
    <s v="100"/>
    <n v="48"/>
    <x v="0"/>
    <x v="3"/>
    <x v="1"/>
    <s v="Healthy"/>
    <n v="1"/>
    <n v="1"/>
    <n v="0"/>
    <n v="0"/>
    <n v="0"/>
    <n v="0"/>
    <x v="4"/>
    <n v="0"/>
  </r>
  <r>
    <s v="101"/>
    <n v="45"/>
    <x v="0"/>
    <x v="3"/>
    <x v="1"/>
    <s v="Healthy"/>
    <n v="1"/>
    <n v="1"/>
    <n v="0"/>
    <n v="0"/>
    <n v="0"/>
    <n v="0"/>
    <x v="4"/>
    <n v="0"/>
  </r>
  <r>
    <s v="102"/>
    <n v="34"/>
    <x v="0"/>
    <x v="2"/>
    <x v="0"/>
    <s v="Healthy"/>
    <n v="1"/>
    <n v="1"/>
    <n v="0"/>
    <n v="0"/>
    <n v="0"/>
    <n v="0"/>
    <x v="4"/>
    <n v="0"/>
  </r>
  <r>
    <s v="103"/>
    <n v="57"/>
    <x v="1"/>
    <x v="0"/>
    <x v="1"/>
    <s v="Healthy"/>
    <n v="1"/>
    <n v="1"/>
    <n v="0"/>
    <n v="0"/>
    <n v="0"/>
    <n v="1"/>
    <x v="2"/>
    <n v="0"/>
  </r>
  <r>
    <s v="104"/>
    <n v="71"/>
    <x v="1"/>
    <x v="1"/>
    <x v="2"/>
    <s v="Healthy"/>
    <n v="1"/>
    <n v="1"/>
    <n v="0"/>
    <n v="0"/>
    <n v="1"/>
    <n v="1"/>
    <x v="0"/>
    <n v="0"/>
  </r>
  <r>
    <s v="105"/>
    <n v="49"/>
    <x v="0"/>
    <x v="3"/>
    <x v="2"/>
    <s v="Diseased"/>
    <n v="1"/>
    <n v="1"/>
    <n v="1"/>
    <n v="0"/>
    <n v="0"/>
    <n v="1"/>
    <x v="0"/>
    <n v="1"/>
  </r>
  <r>
    <s v="106"/>
    <n v="54"/>
    <x v="0"/>
    <x v="3"/>
    <x v="3"/>
    <s v="Healthy"/>
    <n v="1"/>
    <n v="1"/>
    <n v="0"/>
    <n v="0"/>
    <n v="0"/>
    <n v="0"/>
    <x v="4"/>
    <n v="0"/>
  </r>
  <r>
    <s v="107"/>
    <n v="59"/>
    <x v="0"/>
    <x v="0"/>
    <x v="1"/>
    <s v="Diseased"/>
    <n v="1"/>
    <n v="1"/>
    <n v="0"/>
    <n v="1"/>
    <n v="0"/>
    <n v="1"/>
    <x v="0"/>
    <n v="1"/>
  </r>
  <r>
    <s v="108"/>
    <n v="57"/>
    <x v="0"/>
    <x v="0"/>
    <x v="2"/>
    <s v="Diseased"/>
    <n v="1"/>
    <n v="1"/>
    <n v="1"/>
    <n v="0"/>
    <n v="0"/>
    <n v="1"/>
    <x v="0"/>
    <n v="1"/>
  </r>
  <r>
    <s v="109"/>
    <n v="61"/>
    <x v="0"/>
    <x v="0"/>
    <x v="1"/>
    <s v="Diseased"/>
    <n v="1"/>
    <n v="1"/>
    <n v="1"/>
    <n v="1"/>
    <n v="0"/>
    <n v="1"/>
    <x v="1"/>
    <n v="1"/>
  </r>
  <r>
    <s v="110"/>
    <n v="39"/>
    <x v="0"/>
    <x v="2"/>
    <x v="1"/>
    <s v="Diseased"/>
    <n v="1"/>
    <n v="1"/>
    <n v="1"/>
    <n v="0"/>
    <n v="0"/>
    <n v="0"/>
    <x v="2"/>
    <n v="1"/>
  </r>
  <r>
    <s v="111"/>
    <n v="61"/>
    <x v="1"/>
    <x v="0"/>
    <x v="1"/>
    <s v="Diseased"/>
    <n v="1"/>
    <n v="1"/>
    <n v="1"/>
    <n v="1"/>
    <n v="0"/>
    <n v="0"/>
    <x v="0"/>
    <n v="1"/>
  </r>
  <r>
    <s v="112"/>
    <n v="56"/>
    <x v="0"/>
    <x v="0"/>
    <x v="1"/>
    <s v="Diseased"/>
    <n v="1"/>
    <n v="1"/>
    <n v="1"/>
    <n v="1"/>
    <n v="1"/>
    <n v="1"/>
    <x v="3"/>
    <n v="1"/>
  </r>
  <r>
    <s v="113"/>
    <n v="52"/>
    <x v="0"/>
    <x v="3"/>
    <x v="0"/>
    <s v="Healthy"/>
    <n v="1"/>
    <n v="1"/>
    <n v="0"/>
    <n v="0"/>
    <n v="0"/>
    <n v="0"/>
    <x v="4"/>
    <n v="0"/>
  </r>
  <r>
    <s v="114"/>
    <n v="43"/>
    <x v="1"/>
    <x v="2"/>
    <x v="1"/>
    <s v="Diseased"/>
    <n v="1"/>
    <n v="1"/>
    <n v="1"/>
    <n v="1"/>
    <n v="1"/>
    <n v="0"/>
    <x v="1"/>
    <n v="1"/>
  </r>
  <r>
    <s v="115"/>
    <n v="62"/>
    <x v="1"/>
    <x v="0"/>
    <x v="2"/>
    <s v="Diseased"/>
    <n v="1"/>
    <n v="1"/>
    <n v="1"/>
    <n v="0"/>
    <n v="0"/>
    <n v="1"/>
    <x v="0"/>
    <n v="1"/>
  </r>
  <r>
    <s v="116"/>
    <n v="41"/>
    <x v="0"/>
    <x v="2"/>
    <x v="3"/>
    <s v="Healthy"/>
    <n v="1"/>
    <n v="1"/>
    <n v="0"/>
    <n v="0"/>
    <n v="0"/>
    <n v="0"/>
    <x v="4"/>
    <n v="0"/>
  </r>
  <r>
    <s v="117"/>
    <n v="58"/>
    <x v="0"/>
    <x v="0"/>
    <x v="2"/>
    <s v="Healthy"/>
    <n v="1"/>
    <n v="1"/>
    <n v="0"/>
    <n v="0"/>
    <n v="1"/>
    <n v="0"/>
    <x v="2"/>
    <n v="0"/>
  </r>
  <r>
    <s v="118"/>
    <n v="35"/>
    <x v="1"/>
    <x v="2"/>
    <x v="1"/>
    <s v="Healthy"/>
    <n v="1"/>
    <n v="1"/>
    <n v="1"/>
    <n v="0"/>
    <n v="0"/>
    <n v="0"/>
    <x v="2"/>
    <n v="0"/>
  </r>
  <r>
    <s v="119"/>
    <n v="63"/>
    <x v="0"/>
    <x v="0"/>
    <x v="1"/>
    <s v="Diseased"/>
    <n v="1"/>
    <n v="1"/>
    <n v="1"/>
    <n v="1"/>
    <n v="1"/>
    <n v="1"/>
    <x v="3"/>
    <n v="1"/>
  </r>
  <r>
    <s v="120"/>
    <n v="65"/>
    <x v="0"/>
    <x v="1"/>
    <x v="1"/>
    <s v="Diseased"/>
    <n v="1"/>
    <n v="1"/>
    <n v="1"/>
    <n v="0"/>
    <n v="0"/>
    <n v="1"/>
    <x v="0"/>
    <n v="1"/>
  </r>
  <r>
    <s v="121"/>
    <n v="48"/>
    <x v="0"/>
    <x v="3"/>
    <x v="1"/>
    <s v="Diseased"/>
    <n v="1"/>
    <n v="1"/>
    <n v="0"/>
    <n v="1"/>
    <n v="1"/>
    <n v="1"/>
    <x v="1"/>
    <n v="1"/>
  </r>
  <r>
    <s v="122"/>
    <n v="63"/>
    <x v="1"/>
    <x v="0"/>
    <x v="1"/>
    <s v="Diseased"/>
    <n v="1"/>
    <n v="1"/>
    <n v="1"/>
    <n v="0"/>
    <n v="0"/>
    <n v="1"/>
    <x v="0"/>
    <n v="1"/>
  </r>
  <r>
    <s v="123"/>
    <n v="51"/>
    <x v="0"/>
    <x v="3"/>
    <x v="2"/>
    <s v="Healthy"/>
    <n v="1"/>
    <n v="1"/>
    <n v="1"/>
    <n v="1"/>
    <n v="0"/>
    <n v="0"/>
    <x v="0"/>
    <n v="0"/>
  </r>
  <r>
    <s v="124"/>
    <n v="55"/>
    <x v="0"/>
    <x v="0"/>
    <x v="1"/>
    <s v="Diseased"/>
    <n v="1"/>
    <n v="1"/>
    <n v="1"/>
    <n v="1"/>
    <n v="0"/>
    <n v="0"/>
    <x v="0"/>
    <n v="1"/>
  </r>
  <r>
    <s v="125"/>
    <n v="65"/>
    <x v="0"/>
    <x v="1"/>
    <x v="0"/>
    <s v="Diseased"/>
    <n v="1"/>
    <n v="1"/>
    <n v="1"/>
    <n v="0"/>
    <n v="1"/>
    <n v="1"/>
    <x v="1"/>
    <n v="1"/>
  </r>
  <r>
    <s v="126"/>
    <n v="45"/>
    <x v="1"/>
    <x v="3"/>
    <x v="3"/>
    <s v="Healthy"/>
    <n v="1"/>
    <n v="1"/>
    <n v="1"/>
    <n v="0"/>
    <n v="0"/>
    <n v="0"/>
    <x v="2"/>
    <n v="0"/>
  </r>
  <r>
    <s v="127"/>
    <n v="56"/>
    <x v="1"/>
    <x v="0"/>
    <x v="1"/>
    <s v="Diseased"/>
    <n v="1"/>
    <n v="1"/>
    <n v="1"/>
    <n v="1"/>
    <n v="1"/>
    <n v="1"/>
    <x v="3"/>
    <n v="1"/>
  </r>
  <r>
    <s v="128"/>
    <n v="54"/>
    <x v="0"/>
    <x v="3"/>
    <x v="1"/>
    <s v="Diseased"/>
    <n v="1"/>
    <n v="1"/>
    <n v="1"/>
    <n v="1"/>
    <n v="0"/>
    <n v="1"/>
    <x v="1"/>
    <n v="1"/>
  </r>
  <r>
    <s v="129"/>
    <n v="44"/>
    <x v="0"/>
    <x v="2"/>
    <x v="3"/>
    <s v="Healthy"/>
    <n v="1"/>
    <n v="1"/>
    <n v="0"/>
    <n v="0"/>
    <n v="0"/>
    <n v="0"/>
    <x v="4"/>
    <n v="0"/>
  </r>
  <r>
    <s v="130"/>
    <n v="62"/>
    <x v="1"/>
    <x v="0"/>
    <x v="1"/>
    <s v="Healthy"/>
    <n v="1"/>
    <n v="1"/>
    <n v="0"/>
    <n v="0"/>
    <n v="0"/>
    <n v="0"/>
    <x v="4"/>
    <n v="0"/>
  </r>
  <r>
    <s v="131"/>
    <n v="54"/>
    <x v="0"/>
    <x v="3"/>
    <x v="2"/>
    <s v="Healthy"/>
    <n v="1"/>
    <n v="1"/>
    <n v="1"/>
    <n v="0"/>
    <n v="0"/>
    <n v="0"/>
    <x v="2"/>
    <n v="0"/>
  </r>
  <r>
    <s v="132"/>
    <n v="51"/>
    <x v="0"/>
    <x v="3"/>
    <x v="2"/>
    <s v="Healthy"/>
    <n v="1"/>
    <n v="1"/>
    <n v="0"/>
    <n v="1"/>
    <n v="0"/>
    <n v="1"/>
    <x v="0"/>
    <n v="0"/>
  </r>
  <r>
    <s v="133"/>
    <n v="29"/>
    <x v="0"/>
    <x v="2"/>
    <x v="3"/>
    <s v="Healthy"/>
    <n v="1"/>
    <n v="1"/>
    <n v="0"/>
    <n v="0"/>
    <n v="0"/>
    <n v="0"/>
    <x v="4"/>
    <n v="0"/>
  </r>
  <r>
    <s v="134"/>
    <n v="51"/>
    <x v="0"/>
    <x v="3"/>
    <x v="1"/>
    <s v="Healthy"/>
    <n v="1"/>
    <n v="1"/>
    <n v="0"/>
    <n v="1"/>
    <n v="0"/>
    <n v="0"/>
    <x v="2"/>
    <n v="0"/>
  </r>
  <r>
    <s v="135"/>
    <n v="43"/>
    <x v="1"/>
    <x v="2"/>
    <x v="2"/>
    <s v="Healthy"/>
    <n v="1"/>
    <n v="1"/>
    <n v="1"/>
    <n v="0"/>
    <n v="0"/>
    <n v="0"/>
    <x v="2"/>
    <n v="0"/>
  </r>
  <r>
    <s v="136"/>
    <n v="55"/>
    <x v="1"/>
    <x v="0"/>
    <x v="3"/>
    <s v="Healthy"/>
    <n v="1"/>
    <n v="1"/>
    <n v="1"/>
    <n v="0"/>
    <n v="0"/>
    <n v="0"/>
    <x v="2"/>
    <n v="0"/>
  </r>
  <r>
    <s v="137"/>
    <n v="70"/>
    <x v="0"/>
    <x v="1"/>
    <x v="1"/>
    <s v="Diseased"/>
    <n v="1"/>
    <n v="1"/>
    <n v="1"/>
    <n v="1"/>
    <n v="0"/>
    <n v="0"/>
    <x v="0"/>
    <n v="1"/>
  </r>
  <r>
    <s v="138"/>
    <n v="62"/>
    <x v="0"/>
    <x v="0"/>
    <x v="3"/>
    <s v="Diseased"/>
    <n v="1"/>
    <n v="1"/>
    <n v="1"/>
    <n v="0"/>
    <n v="0"/>
    <n v="1"/>
    <x v="0"/>
    <n v="1"/>
  </r>
  <r>
    <s v="139"/>
    <n v="35"/>
    <x v="0"/>
    <x v="2"/>
    <x v="1"/>
    <s v="Diseased"/>
    <n v="1"/>
    <n v="1"/>
    <n v="1"/>
    <n v="1"/>
    <n v="0"/>
    <n v="0"/>
    <x v="0"/>
    <n v="1"/>
  </r>
  <r>
    <s v="140"/>
    <n v="51"/>
    <x v="0"/>
    <x v="3"/>
    <x v="2"/>
    <s v="Healthy"/>
    <n v="1"/>
    <n v="1"/>
    <n v="1"/>
    <n v="0"/>
    <n v="1"/>
    <n v="0"/>
    <x v="0"/>
    <n v="0"/>
  </r>
  <r>
    <s v="141"/>
    <n v="59"/>
    <x v="0"/>
    <x v="0"/>
    <x v="3"/>
    <s v="Healthy"/>
    <n v="1"/>
    <n v="1"/>
    <n v="0"/>
    <n v="1"/>
    <n v="0"/>
    <n v="0"/>
    <x v="2"/>
    <n v="0"/>
  </r>
  <r>
    <s v="142"/>
    <n v="59"/>
    <x v="0"/>
    <x v="0"/>
    <x v="0"/>
    <s v="Diseased"/>
    <n v="1"/>
    <n v="1"/>
    <n v="1"/>
    <n v="0"/>
    <n v="0"/>
    <n v="0"/>
    <x v="2"/>
    <n v="1"/>
  </r>
  <r>
    <s v="143"/>
    <n v="52"/>
    <x v="0"/>
    <x v="3"/>
    <x v="3"/>
    <s v="Healthy"/>
    <n v="1"/>
    <n v="1"/>
    <n v="0"/>
    <n v="0"/>
    <n v="1"/>
    <n v="0"/>
    <x v="2"/>
    <n v="0"/>
  </r>
  <r>
    <s v="144"/>
    <n v="64"/>
    <x v="0"/>
    <x v="0"/>
    <x v="2"/>
    <s v="Diseased"/>
    <n v="1"/>
    <n v="1"/>
    <n v="1"/>
    <n v="1"/>
    <n v="0"/>
    <n v="0"/>
    <x v="0"/>
    <n v="1"/>
  </r>
  <r>
    <s v="145"/>
    <n v="58"/>
    <x v="0"/>
    <x v="0"/>
    <x v="2"/>
    <s v="Healthy"/>
    <n v="1"/>
    <n v="1"/>
    <n v="1"/>
    <n v="1"/>
    <n v="0"/>
    <n v="0"/>
    <x v="0"/>
    <n v="0"/>
  </r>
  <r>
    <s v="146"/>
    <n v="47"/>
    <x v="0"/>
    <x v="3"/>
    <x v="2"/>
    <s v="Diseased"/>
    <n v="1"/>
    <n v="1"/>
    <n v="0"/>
    <n v="0"/>
    <n v="0"/>
    <n v="0"/>
    <x v="4"/>
    <n v="1"/>
  </r>
  <r>
    <s v="147"/>
    <n v="57"/>
    <x v="0"/>
    <x v="0"/>
    <x v="1"/>
    <s v="Diseased"/>
    <n v="1"/>
    <n v="1"/>
    <n v="1"/>
    <n v="0"/>
    <n v="1"/>
    <n v="1"/>
    <x v="1"/>
    <n v="1"/>
  </r>
  <r>
    <s v="148"/>
    <n v="41"/>
    <x v="0"/>
    <x v="2"/>
    <x v="2"/>
    <s v="Healthy"/>
    <n v="1"/>
    <n v="1"/>
    <n v="0"/>
    <n v="0"/>
    <n v="0"/>
    <n v="0"/>
    <x v="4"/>
    <n v="0"/>
  </r>
  <r>
    <s v="149"/>
    <n v="45"/>
    <x v="0"/>
    <x v="3"/>
    <x v="3"/>
    <s v="Healthy"/>
    <n v="1"/>
    <n v="1"/>
    <n v="0"/>
    <n v="0"/>
    <n v="0"/>
    <n v="0"/>
    <x v="4"/>
    <n v="0"/>
  </r>
  <r>
    <s v="150"/>
    <n v="60"/>
    <x v="1"/>
    <x v="0"/>
    <x v="2"/>
    <s v="Healthy"/>
    <n v="1"/>
    <n v="1"/>
    <n v="0"/>
    <n v="0"/>
    <n v="0"/>
    <n v="1"/>
    <x v="2"/>
    <n v="0"/>
  </r>
  <r>
    <s v="151"/>
    <n v="52"/>
    <x v="0"/>
    <x v="3"/>
    <x v="0"/>
    <s v="Healthy"/>
    <n v="1"/>
    <n v="1"/>
    <n v="1"/>
    <n v="0"/>
    <n v="1"/>
    <n v="0"/>
    <x v="0"/>
    <n v="0"/>
  </r>
  <r>
    <s v="152"/>
    <n v="42"/>
    <x v="1"/>
    <x v="2"/>
    <x v="1"/>
    <s v="Healthy"/>
    <n v="1"/>
    <n v="1"/>
    <n v="1"/>
    <n v="0"/>
    <n v="0"/>
    <n v="0"/>
    <x v="2"/>
    <n v="0"/>
  </r>
  <r>
    <s v="153"/>
    <n v="67"/>
    <x v="1"/>
    <x v="1"/>
    <x v="2"/>
    <s v="Healthy"/>
    <n v="1"/>
    <n v="1"/>
    <n v="1"/>
    <n v="0"/>
    <n v="0"/>
    <n v="0"/>
    <x v="2"/>
    <n v="0"/>
  </r>
  <r>
    <s v="154"/>
    <n v="55"/>
    <x v="0"/>
    <x v="0"/>
    <x v="1"/>
    <s v="Diseased"/>
    <n v="1"/>
    <n v="1"/>
    <n v="1"/>
    <n v="1"/>
    <n v="0"/>
    <n v="1"/>
    <x v="1"/>
    <n v="1"/>
  </r>
  <r>
    <s v="155"/>
    <n v="64"/>
    <x v="0"/>
    <x v="0"/>
    <x v="1"/>
    <s v="Diseased"/>
    <n v="1"/>
    <n v="1"/>
    <n v="1"/>
    <n v="1"/>
    <n v="0"/>
    <n v="1"/>
    <x v="1"/>
    <n v="1"/>
  </r>
  <r>
    <s v="156"/>
    <n v="70"/>
    <x v="0"/>
    <x v="1"/>
    <x v="1"/>
    <s v="Diseased"/>
    <n v="1"/>
    <n v="1"/>
    <n v="1"/>
    <n v="0"/>
    <n v="0"/>
    <n v="1"/>
    <x v="0"/>
    <n v="1"/>
  </r>
  <r>
    <s v="157"/>
    <n v="51"/>
    <x v="0"/>
    <x v="3"/>
    <x v="1"/>
    <s v="Diseased"/>
    <n v="1"/>
    <n v="1"/>
    <n v="1"/>
    <n v="1"/>
    <n v="0"/>
    <n v="0"/>
    <x v="0"/>
    <n v="1"/>
  </r>
  <r>
    <s v="158"/>
    <n v="58"/>
    <x v="0"/>
    <x v="0"/>
    <x v="1"/>
    <s v="Diseased"/>
    <n v="1"/>
    <n v="1"/>
    <n v="0"/>
    <n v="0"/>
    <n v="0"/>
    <n v="1"/>
    <x v="2"/>
    <n v="1"/>
  </r>
  <r>
    <s v="159"/>
    <n v="60"/>
    <x v="0"/>
    <x v="0"/>
    <x v="1"/>
    <s v="Diseased"/>
    <n v="1"/>
    <n v="1"/>
    <n v="1"/>
    <n v="0"/>
    <n v="0"/>
    <n v="1"/>
    <x v="0"/>
    <n v="1"/>
  </r>
  <r>
    <s v="160"/>
    <n v="68"/>
    <x v="0"/>
    <x v="1"/>
    <x v="2"/>
    <s v="Healthy"/>
    <n v="1"/>
    <n v="1"/>
    <n v="1"/>
    <n v="0"/>
    <n v="0"/>
    <n v="1"/>
    <x v="0"/>
    <n v="0"/>
  </r>
  <r>
    <s v="161"/>
    <n v="46"/>
    <x v="0"/>
    <x v="3"/>
    <x v="3"/>
    <s v="Healthy"/>
    <n v="1"/>
    <n v="1"/>
    <n v="0"/>
    <n v="0"/>
    <n v="1"/>
    <n v="0"/>
    <x v="2"/>
    <n v="0"/>
  </r>
  <r>
    <s v="162"/>
    <n v="77"/>
    <x v="0"/>
    <x v="1"/>
    <x v="1"/>
    <s v="Diseased"/>
    <n v="1"/>
    <n v="1"/>
    <n v="0"/>
    <n v="1"/>
    <n v="0"/>
    <n v="1"/>
    <x v="0"/>
    <n v="1"/>
  </r>
  <r>
    <s v="163"/>
    <n v="54"/>
    <x v="1"/>
    <x v="3"/>
    <x v="2"/>
    <s v="Healthy"/>
    <n v="1"/>
    <n v="1"/>
    <n v="1"/>
    <n v="0"/>
    <n v="0"/>
    <n v="0"/>
    <x v="2"/>
    <n v="0"/>
  </r>
  <r>
    <s v="164"/>
    <n v="58"/>
    <x v="1"/>
    <x v="0"/>
    <x v="1"/>
    <s v="Healthy"/>
    <n v="1"/>
    <n v="1"/>
    <n v="1"/>
    <n v="0"/>
    <n v="0"/>
    <n v="0"/>
    <x v="2"/>
    <n v="0"/>
  </r>
  <r>
    <s v="165"/>
    <n v="48"/>
    <x v="0"/>
    <x v="3"/>
    <x v="2"/>
    <s v="Healthy"/>
    <n v="1"/>
    <n v="1"/>
    <n v="0"/>
    <n v="0"/>
    <n v="1"/>
    <n v="1"/>
    <x v="0"/>
    <n v="0"/>
  </r>
  <r>
    <s v="166"/>
    <n v="57"/>
    <x v="0"/>
    <x v="0"/>
    <x v="1"/>
    <s v="Healthy"/>
    <n v="1"/>
    <n v="1"/>
    <n v="0"/>
    <n v="1"/>
    <n v="0"/>
    <n v="0"/>
    <x v="2"/>
    <n v="0"/>
  </r>
  <r>
    <s v="167"/>
    <n v="52"/>
    <x v="0"/>
    <x v="3"/>
    <x v="2"/>
    <s v="Healthy"/>
    <n v="1"/>
    <n v="1"/>
    <n v="0"/>
    <n v="0"/>
    <n v="0"/>
    <n v="0"/>
    <x v="4"/>
    <n v="0"/>
  </r>
  <r>
    <s v="168"/>
    <n v="54"/>
    <x v="1"/>
    <x v="3"/>
    <x v="3"/>
    <s v="Healthy"/>
    <n v="1"/>
    <n v="1"/>
    <n v="0"/>
    <n v="1"/>
    <n v="1"/>
    <n v="1"/>
    <x v="1"/>
    <n v="0"/>
  </r>
  <r>
    <s v="169"/>
    <n v="35"/>
    <x v="0"/>
    <x v="2"/>
    <x v="1"/>
    <s v="Diseased"/>
    <n v="1"/>
    <n v="1"/>
    <n v="0"/>
    <n v="1"/>
    <n v="0"/>
    <n v="0"/>
    <x v="2"/>
    <n v="1"/>
  </r>
  <r>
    <s v="170"/>
    <n v="45"/>
    <x v="1"/>
    <x v="3"/>
    <x v="3"/>
    <s v="Healthy"/>
    <n v="1"/>
    <n v="1"/>
    <n v="0"/>
    <n v="0"/>
    <n v="0"/>
    <n v="0"/>
    <x v="4"/>
    <n v="0"/>
  </r>
  <r>
    <s v="171"/>
    <n v="70"/>
    <x v="0"/>
    <x v="1"/>
    <x v="2"/>
    <s v="Diseased"/>
    <n v="1"/>
    <n v="1"/>
    <n v="1"/>
    <n v="1"/>
    <n v="0"/>
    <n v="1"/>
    <x v="1"/>
    <n v="1"/>
  </r>
  <r>
    <s v="172"/>
    <n v="53"/>
    <x v="0"/>
    <x v="3"/>
    <x v="1"/>
    <s v="Healthy"/>
    <n v="1"/>
    <n v="1"/>
    <n v="0"/>
    <n v="1"/>
    <n v="0"/>
    <n v="0"/>
    <x v="2"/>
    <n v="0"/>
  </r>
  <r>
    <s v="173"/>
    <n v="59"/>
    <x v="1"/>
    <x v="0"/>
    <x v="1"/>
    <s v="Diseased"/>
    <n v="1"/>
    <n v="1"/>
    <n v="0"/>
    <n v="1"/>
    <n v="0"/>
    <n v="0"/>
    <x v="2"/>
    <n v="1"/>
  </r>
  <r>
    <s v="174"/>
    <n v="62"/>
    <x v="1"/>
    <x v="0"/>
    <x v="1"/>
    <s v="Healthy"/>
    <n v="1"/>
    <n v="1"/>
    <n v="1"/>
    <n v="0"/>
    <n v="0"/>
    <n v="0"/>
    <x v="2"/>
    <n v="0"/>
  </r>
  <r>
    <s v="175"/>
    <n v="64"/>
    <x v="0"/>
    <x v="0"/>
    <x v="1"/>
    <s v="Diseased"/>
    <n v="1"/>
    <n v="1"/>
    <n v="1"/>
    <n v="0"/>
    <n v="0"/>
    <n v="1"/>
    <x v="0"/>
    <n v="1"/>
  </r>
  <r>
    <s v="176"/>
    <n v="57"/>
    <x v="0"/>
    <x v="0"/>
    <x v="1"/>
    <s v="Diseased"/>
    <n v="1"/>
    <n v="1"/>
    <n v="1"/>
    <n v="1"/>
    <n v="0"/>
    <n v="1"/>
    <x v="1"/>
    <n v="1"/>
  </r>
  <r>
    <s v="177"/>
    <n v="52"/>
    <x v="0"/>
    <x v="3"/>
    <x v="1"/>
    <s v="Healthy"/>
    <n v="1"/>
    <n v="1"/>
    <n v="1"/>
    <n v="0"/>
    <n v="1"/>
    <n v="1"/>
    <x v="1"/>
    <n v="0"/>
  </r>
  <r>
    <s v="178"/>
    <n v="56"/>
    <x v="0"/>
    <x v="0"/>
    <x v="1"/>
    <s v="Diseased"/>
    <n v="1"/>
    <n v="1"/>
    <n v="1"/>
    <n v="1"/>
    <n v="0"/>
    <n v="1"/>
    <x v="1"/>
    <n v="1"/>
  </r>
  <r>
    <s v="179"/>
    <n v="43"/>
    <x v="0"/>
    <x v="2"/>
    <x v="2"/>
    <s v="Healthy"/>
    <n v="1"/>
    <n v="1"/>
    <n v="1"/>
    <n v="0"/>
    <n v="0"/>
    <n v="1"/>
    <x v="0"/>
    <n v="0"/>
  </r>
  <r>
    <s v="180"/>
    <n v="53"/>
    <x v="0"/>
    <x v="3"/>
    <x v="2"/>
    <s v="Healthy"/>
    <n v="1"/>
    <n v="1"/>
    <n v="0"/>
    <n v="0"/>
    <n v="1"/>
    <n v="1"/>
    <x v="0"/>
    <n v="0"/>
  </r>
  <r>
    <s v="181"/>
    <n v="48"/>
    <x v="0"/>
    <x v="3"/>
    <x v="1"/>
    <s v="Diseased"/>
    <n v="1"/>
    <n v="1"/>
    <n v="1"/>
    <n v="0"/>
    <n v="0"/>
    <n v="0"/>
    <x v="2"/>
    <n v="1"/>
  </r>
  <r>
    <s v="182"/>
    <n v="56"/>
    <x v="1"/>
    <x v="0"/>
    <x v="1"/>
    <s v="Diseased"/>
    <n v="1"/>
    <n v="1"/>
    <n v="1"/>
    <n v="1"/>
    <n v="0"/>
    <n v="1"/>
    <x v="1"/>
    <n v="1"/>
  </r>
  <r>
    <s v="183"/>
    <n v="42"/>
    <x v="0"/>
    <x v="2"/>
    <x v="0"/>
    <s v="Healthy"/>
    <n v="1"/>
    <n v="1"/>
    <n v="1"/>
    <n v="0"/>
    <n v="0"/>
    <n v="1"/>
    <x v="0"/>
    <n v="0"/>
  </r>
  <r>
    <s v="184"/>
    <n v="59"/>
    <x v="0"/>
    <x v="0"/>
    <x v="0"/>
    <s v="Healthy"/>
    <n v="1"/>
    <n v="1"/>
    <n v="1"/>
    <n v="0"/>
    <n v="0"/>
    <n v="0"/>
    <x v="2"/>
    <n v="0"/>
  </r>
  <r>
    <s v="185"/>
    <n v="60"/>
    <x v="1"/>
    <x v="0"/>
    <x v="1"/>
    <s v="Diseased"/>
    <n v="1"/>
    <n v="1"/>
    <n v="0"/>
    <n v="0"/>
    <n v="0"/>
    <n v="0"/>
    <x v="4"/>
    <n v="1"/>
  </r>
  <r>
    <s v="186"/>
    <n v="63"/>
    <x v="1"/>
    <x v="0"/>
    <x v="3"/>
    <s v="Healthy"/>
    <n v="1"/>
    <n v="1"/>
    <n v="0"/>
    <n v="0"/>
    <n v="0"/>
    <n v="1"/>
    <x v="2"/>
    <n v="0"/>
  </r>
  <r>
    <s v="187"/>
    <n v="42"/>
    <x v="0"/>
    <x v="2"/>
    <x v="2"/>
    <s v="Healthy"/>
    <n v="1"/>
    <n v="1"/>
    <n v="1"/>
    <n v="0"/>
    <n v="1"/>
    <n v="0"/>
    <x v="0"/>
    <n v="0"/>
  </r>
  <r>
    <s v="188"/>
    <n v="66"/>
    <x v="0"/>
    <x v="1"/>
    <x v="3"/>
    <s v="Diseased"/>
    <n v="1"/>
    <n v="1"/>
    <n v="0"/>
    <n v="1"/>
    <n v="0"/>
    <n v="1"/>
    <x v="0"/>
    <n v="1"/>
  </r>
  <r>
    <s v="189"/>
    <n v="54"/>
    <x v="0"/>
    <x v="3"/>
    <x v="3"/>
    <s v="Diseased"/>
    <n v="1"/>
    <n v="1"/>
    <n v="0"/>
    <n v="0"/>
    <n v="0"/>
    <n v="1"/>
    <x v="2"/>
    <n v="1"/>
  </r>
  <r>
    <s v="190"/>
    <n v="69"/>
    <x v="0"/>
    <x v="1"/>
    <x v="2"/>
    <s v="Diseased"/>
    <n v="1"/>
    <n v="1"/>
    <n v="1"/>
    <n v="0"/>
    <n v="0"/>
    <n v="1"/>
    <x v="0"/>
    <n v="1"/>
  </r>
  <r>
    <s v="191"/>
    <n v="50"/>
    <x v="0"/>
    <x v="3"/>
    <x v="2"/>
    <s v="Healthy"/>
    <n v="1"/>
    <n v="1"/>
    <n v="0"/>
    <n v="0"/>
    <n v="0"/>
    <n v="0"/>
    <x v="4"/>
    <n v="0"/>
  </r>
  <r>
    <s v="192"/>
    <n v="51"/>
    <x v="0"/>
    <x v="3"/>
    <x v="1"/>
    <s v="Diseased"/>
    <n v="1"/>
    <n v="1"/>
    <n v="1"/>
    <n v="1"/>
    <n v="0"/>
    <n v="1"/>
    <x v="1"/>
    <n v="1"/>
  </r>
  <r>
    <s v="193"/>
    <n v="43"/>
    <x v="0"/>
    <x v="2"/>
    <x v="1"/>
    <s v="Diseased"/>
    <n v="1"/>
    <n v="1"/>
    <n v="1"/>
    <n v="1"/>
    <n v="1"/>
    <n v="0"/>
    <x v="1"/>
    <n v="1"/>
  </r>
  <r>
    <s v="194"/>
    <n v="62"/>
    <x v="1"/>
    <x v="0"/>
    <x v="1"/>
    <s v="Diseased"/>
    <n v="1"/>
    <n v="1"/>
    <n v="1"/>
    <n v="0"/>
    <n v="1"/>
    <n v="1"/>
    <x v="1"/>
    <n v="1"/>
  </r>
  <r>
    <s v="195"/>
    <n v="68"/>
    <x v="1"/>
    <x v="1"/>
    <x v="2"/>
    <s v="Healthy"/>
    <n v="1"/>
    <n v="1"/>
    <n v="1"/>
    <n v="0"/>
    <n v="0"/>
    <n v="0"/>
    <x v="2"/>
    <n v="0"/>
  </r>
  <r>
    <s v="196"/>
    <n v="67"/>
    <x v="0"/>
    <x v="1"/>
    <x v="1"/>
    <s v="Diseased"/>
    <n v="1"/>
    <n v="1"/>
    <n v="1"/>
    <n v="1"/>
    <n v="0"/>
    <n v="1"/>
    <x v="1"/>
    <n v="1"/>
  </r>
  <r>
    <s v="197"/>
    <n v="69"/>
    <x v="0"/>
    <x v="1"/>
    <x v="0"/>
    <s v="Healthy"/>
    <n v="1"/>
    <n v="1"/>
    <n v="1"/>
    <n v="0"/>
    <n v="1"/>
    <n v="1"/>
    <x v="1"/>
    <n v="0"/>
  </r>
  <r>
    <s v="198"/>
    <n v="45"/>
    <x v="1"/>
    <x v="3"/>
    <x v="1"/>
    <s v="Healthy"/>
    <n v="1"/>
    <n v="1"/>
    <n v="1"/>
    <n v="1"/>
    <n v="0"/>
    <n v="0"/>
    <x v="0"/>
    <n v="0"/>
  </r>
  <r>
    <s v="199"/>
    <n v="50"/>
    <x v="1"/>
    <x v="3"/>
    <x v="3"/>
    <s v="Healthy"/>
    <n v="1"/>
    <n v="1"/>
    <n v="1"/>
    <n v="0"/>
    <n v="0"/>
    <n v="0"/>
    <x v="2"/>
    <n v="0"/>
  </r>
  <r>
    <s v="200"/>
    <n v="59"/>
    <x v="0"/>
    <x v="0"/>
    <x v="0"/>
    <s v="Diseased"/>
    <n v="1"/>
    <n v="1"/>
    <n v="0"/>
    <n v="0"/>
    <n v="0"/>
    <n v="0"/>
    <x v="4"/>
    <n v="1"/>
  </r>
  <r>
    <s v="201"/>
    <n v="50"/>
    <x v="1"/>
    <x v="3"/>
    <x v="1"/>
    <s v="Healthy"/>
    <n v="1"/>
    <n v="1"/>
    <n v="0"/>
    <n v="0"/>
    <n v="0"/>
    <n v="0"/>
    <x v="4"/>
    <n v="0"/>
  </r>
  <r>
    <s v="202"/>
    <n v="64"/>
    <x v="1"/>
    <x v="0"/>
    <x v="1"/>
    <s v="Healthy"/>
    <n v="1"/>
    <n v="1"/>
    <n v="0"/>
    <n v="1"/>
    <n v="0"/>
    <n v="0"/>
    <x v="2"/>
    <n v="0"/>
  </r>
  <r>
    <s v="203"/>
    <n v="57"/>
    <x v="0"/>
    <x v="0"/>
    <x v="2"/>
    <s v="Healthy"/>
    <n v="1"/>
    <n v="1"/>
    <n v="1"/>
    <n v="0"/>
    <n v="1"/>
    <n v="1"/>
    <x v="1"/>
    <n v="0"/>
  </r>
  <r>
    <s v="204"/>
    <n v="64"/>
    <x v="1"/>
    <x v="0"/>
    <x v="2"/>
    <s v="Healthy"/>
    <n v="1"/>
    <n v="1"/>
    <n v="1"/>
    <n v="0"/>
    <n v="0"/>
    <n v="0"/>
    <x v="2"/>
    <n v="0"/>
  </r>
  <r>
    <s v="205"/>
    <n v="43"/>
    <x v="0"/>
    <x v="2"/>
    <x v="1"/>
    <s v="Healthy"/>
    <n v="1"/>
    <n v="1"/>
    <n v="0"/>
    <n v="0"/>
    <n v="0"/>
    <n v="0"/>
    <x v="4"/>
    <n v="0"/>
  </r>
  <r>
    <s v="206"/>
    <n v="45"/>
    <x v="0"/>
    <x v="3"/>
    <x v="1"/>
    <s v="Diseased"/>
    <n v="1"/>
    <n v="1"/>
    <n v="0"/>
    <n v="1"/>
    <n v="0"/>
    <n v="1"/>
    <x v="0"/>
    <n v="1"/>
  </r>
  <r>
    <s v="207"/>
    <n v="58"/>
    <x v="0"/>
    <x v="0"/>
    <x v="1"/>
    <s v="Diseased"/>
    <n v="1"/>
    <n v="1"/>
    <n v="1"/>
    <n v="1"/>
    <n v="0"/>
    <n v="1"/>
    <x v="1"/>
    <n v="1"/>
  </r>
  <r>
    <s v="208"/>
    <n v="50"/>
    <x v="0"/>
    <x v="3"/>
    <x v="1"/>
    <s v="Diseased"/>
    <n v="1"/>
    <n v="1"/>
    <n v="1"/>
    <n v="1"/>
    <n v="0"/>
    <n v="0"/>
    <x v="0"/>
    <n v="1"/>
  </r>
  <r>
    <s v="209"/>
    <n v="55"/>
    <x v="0"/>
    <x v="0"/>
    <x v="3"/>
    <s v="Healthy"/>
    <n v="1"/>
    <n v="1"/>
    <n v="0"/>
    <n v="0"/>
    <n v="0"/>
    <n v="0"/>
    <x v="4"/>
    <n v="0"/>
  </r>
  <r>
    <s v="210"/>
    <n v="62"/>
    <x v="1"/>
    <x v="0"/>
    <x v="1"/>
    <s v="Diseased"/>
    <n v="1"/>
    <n v="1"/>
    <n v="1"/>
    <n v="1"/>
    <n v="0"/>
    <n v="0"/>
    <x v="0"/>
    <n v="1"/>
  </r>
  <r>
    <s v="211"/>
    <n v="37"/>
    <x v="1"/>
    <x v="2"/>
    <x v="2"/>
    <s v="Healthy"/>
    <n v="1"/>
    <n v="1"/>
    <n v="0"/>
    <n v="0"/>
    <n v="0"/>
    <n v="0"/>
    <x v="4"/>
    <n v="0"/>
  </r>
  <r>
    <s v="212"/>
    <n v="38"/>
    <x v="0"/>
    <x v="2"/>
    <x v="0"/>
    <s v="Diseased"/>
    <n v="1"/>
    <n v="1"/>
    <n v="1"/>
    <n v="1"/>
    <n v="0"/>
    <n v="0"/>
    <x v="0"/>
    <n v="1"/>
  </r>
  <r>
    <s v="213"/>
    <n v="41"/>
    <x v="0"/>
    <x v="2"/>
    <x v="2"/>
    <s v="Healthy"/>
    <n v="1"/>
    <n v="1"/>
    <n v="1"/>
    <n v="0"/>
    <n v="0"/>
    <n v="0"/>
    <x v="2"/>
    <n v="0"/>
  </r>
  <r>
    <s v="214"/>
    <n v="66"/>
    <x v="1"/>
    <x v="1"/>
    <x v="1"/>
    <s v="Diseased"/>
    <n v="1"/>
    <n v="1"/>
    <n v="1"/>
    <n v="1"/>
    <n v="1"/>
    <n v="1"/>
    <x v="3"/>
    <n v="1"/>
  </r>
  <r>
    <s v="215"/>
    <n v="52"/>
    <x v="0"/>
    <x v="3"/>
    <x v="1"/>
    <s v="Diseased"/>
    <n v="1"/>
    <n v="1"/>
    <n v="0"/>
    <n v="0"/>
    <n v="0"/>
    <n v="1"/>
    <x v="2"/>
    <n v="1"/>
  </r>
  <r>
    <s v="216"/>
    <n v="56"/>
    <x v="0"/>
    <x v="0"/>
    <x v="0"/>
    <s v="Healthy"/>
    <n v="1"/>
    <n v="1"/>
    <n v="1"/>
    <n v="0"/>
    <n v="0"/>
    <n v="0"/>
    <x v="2"/>
    <n v="0"/>
  </r>
  <r>
    <s v="217"/>
    <n v="46"/>
    <x v="1"/>
    <x v="3"/>
    <x v="3"/>
    <s v="Healthy"/>
    <n v="1"/>
    <n v="1"/>
    <n v="0"/>
    <n v="0"/>
    <n v="0"/>
    <n v="0"/>
    <x v="4"/>
    <n v="0"/>
  </r>
  <r>
    <s v="218"/>
    <n v="46"/>
    <x v="1"/>
    <x v="3"/>
    <x v="1"/>
    <s v="Healthy"/>
    <n v="1"/>
    <n v="1"/>
    <n v="0"/>
    <n v="1"/>
    <n v="0"/>
    <n v="0"/>
    <x v="2"/>
    <n v="0"/>
  </r>
  <r>
    <s v="219"/>
    <n v="64"/>
    <x v="1"/>
    <x v="0"/>
    <x v="1"/>
    <s v="Healthy"/>
    <n v="1"/>
    <n v="1"/>
    <n v="1"/>
    <n v="0"/>
    <n v="0"/>
    <n v="1"/>
    <x v="0"/>
    <n v="0"/>
  </r>
  <r>
    <s v="220"/>
    <n v="59"/>
    <x v="0"/>
    <x v="0"/>
    <x v="1"/>
    <s v="Healthy"/>
    <n v="1"/>
    <n v="1"/>
    <n v="0"/>
    <n v="0"/>
    <n v="0"/>
    <n v="0"/>
    <x v="4"/>
    <n v="0"/>
  </r>
  <r>
    <s v="221"/>
    <n v="41"/>
    <x v="1"/>
    <x v="2"/>
    <x v="2"/>
    <s v="Healthy"/>
    <n v="1"/>
    <n v="1"/>
    <n v="0"/>
    <n v="1"/>
    <n v="0"/>
    <n v="0"/>
    <x v="2"/>
    <n v="0"/>
  </r>
  <r>
    <s v="222"/>
    <n v="54"/>
    <x v="1"/>
    <x v="3"/>
    <x v="2"/>
    <s v="Healthy"/>
    <n v="1"/>
    <n v="1"/>
    <n v="0"/>
    <n v="0"/>
    <n v="0"/>
    <n v="0"/>
    <x v="4"/>
    <n v="0"/>
  </r>
  <r>
    <s v="223"/>
    <n v="39"/>
    <x v="1"/>
    <x v="2"/>
    <x v="2"/>
    <s v="Healthy"/>
    <n v="1"/>
    <n v="1"/>
    <n v="0"/>
    <n v="0"/>
    <n v="0"/>
    <n v="0"/>
    <x v="4"/>
    <n v="0"/>
  </r>
  <r>
    <s v="224"/>
    <n v="53"/>
    <x v="0"/>
    <x v="3"/>
    <x v="1"/>
    <s v="Diseased"/>
    <n v="1"/>
    <n v="1"/>
    <n v="1"/>
    <n v="1"/>
    <n v="0"/>
    <n v="1"/>
    <x v="1"/>
    <n v="1"/>
  </r>
  <r>
    <s v="225"/>
    <n v="63"/>
    <x v="1"/>
    <x v="0"/>
    <x v="1"/>
    <s v="Diseased"/>
    <n v="1"/>
    <n v="1"/>
    <n v="1"/>
    <n v="1"/>
    <n v="0"/>
    <n v="1"/>
    <x v="1"/>
    <n v="1"/>
  </r>
  <r>
    <s v="226"/>
    <n v="34"/>
    <x v="1"/>
    <x v="2"/>
    <x v="3"/>
    <s v="Healthy"/>
    <n v="1"/>
    <n v="1"/>
    <n v="1"/>
    <n v="0"/>
    <n v="0"/>
    <n v="0"/>
    <x v="2"/>
    <n v="0"/>
  </r>
  <r>
    <s v="227"/>
    <n v="47"/>
    <x v="0"/>
    <x v="3"/>
    <x v="1"/>
    <s v="Healthy"/>
    <n v="1"/>
    <n v="1"/>
    <n v="1"/>
    <n v="0"/>
    <n v="0"/>
    <n v="0"/>
    <x v="2"/>
    <n v="0"/>
  </r>
  <r>
    <s v="228"/>
    <n v="67"/>
    <x v="1"/>
    <x v="1"/>
    <x v="2"/>
    <s v="Healthy"/>
    <n v="1"/>
    <n v="1"/>
    <n v="0"/>
    <n v="0"/>
    <n v="0"/>
    <n v="1"/>
    <x v="2"/>
    <n v="0"/>
  </r>
  <r>
    <s v="229"/>
    <n v="54"/>
    <x v="0"/>
    <x v="3"/>
    <x v="1"/>
    <s v="Diseased"/>
    <n v="1"/>
    <n v="1"/>
    <n v="0"/>
    <n v="1"/>
    <n v="0"/>
    <n v="1"/>
    <x v="0"/>
    <n v="1"/>
  </r>
  <r>
    <s v="230"/>
    <n v="66"/>
    <x v="0"/>
    <x v="1"/>
    <x v="1"/>
    <s v="Diseased"/>
    <n v="1"/>
    <n v="1"/>
    <n v="1"/>
    <n v="1"/>
    <n v="0"/>
    <n v="1"/>
    <x v="1"/>
    <n v="1"/>
  </r>
  <r>
    <s v="231"/>
    <n v="52"/>
    <x v="1"/>
    <x v="3"/>
    <x v="2"/>
    <s v="Healthy"/>
    <n v="1"/>
    <n v="1"/>
    <n v="1"/>
    <n v="0"/>
    <n v="0"/>
    <n v="0"/>
    <x v="2"/>
    <n v="0"/>
  </r>
  <r>
    <s v="232"/>
    <n v="55"/>
    <x v="1"/>
    <x v="0"/>
    <x v="1"/>
    <s v="Diseased"/>
    <n v="1"/>
    <n v="1"/>
    <n v="1"/>
    <n v="1"/>
    <n v="0"/>
    <n v="0"/>
    <x v="0"/>
    <n v="1"/>
  </r>
  <r>
    <s v="233"/>
    <n v="49"/>
    <x v="0"/>
    <x v="3"/>
    <x v="2"/>
    <s v="Diseased"/>
    <n v="1"/>
    <n v="1"/>
    <n v="1"/>
    <n v="0"/>
    <n v="0"/>
    <n v="1"/>
    <x v="0"/>
    <n v="1"/>
  </r>
  <r>
    <s v="234"/>
    <n v="74"/>
    <x v="1"/>
    <x v="1"/>
    <x v="3"/>
    <s v="Healthy"/>
    <n v="1"/>
    <n v="1"/>
    <n v="1"/>
    <n v="1"/>
    <n v="0"/>
    <n v="1"/>
    <x v="1"/>
    <n v="0"/>
  </r>
  <r>
    <s v="235"/>
    <n v="54"/>
    <x v="1"/>
    <x v="3"/>
    <x v="2"/>
    <s v="Healthy"/>
    <n v="1"/>
    <n v="1"/>
    <n v="0"/>
    <n v="0"/>
    <n v="0"/>
    <n v="1"/>
    <x v="2"/>
    <n v="0"/>
  </r>
  <r>
    <s v="236"/>
    <n v="54"/>
    <x v="0"/>
    <x v="3"/>
    <x v="1"/>
    <s v="Diseased"/>
    <n v="1"/>
    <n v="1"/>
    <n v="1"/>
    <n v="1"/>
    <n v="0"/>
    <n v="1"/>
    <x v="1"/>
    <n v="1"/>
  </r>
  <r>
    <s v="237"/>
    <n v="56"/>
    <x v="0"/>
    <x v="0"/>
    <x v="1"/>
    <s v="Diseased"/>
    <n v="1"/>
    <n v="1"/>
    <n v="1"/>
    <n v="1"/>
    <n v="1"/>
    <n v="0"/>
    <x v="1"/>
    <n v="1"/>
  </r>
  <r>
    <s v="238"/>
    <n v="46"/>
    <x v="0"/>
    <x v="3"/>
    <x v="1"/>
    <s v="Diseased"/>
    <n v="1"/>
    <n v="1"/>
    <n v="1"/>
    <n v="0"/>
    <n v="0"/>
    <n v="0"/>
    <x v="2"/>
    <n v="1"/>
  </r>
  <r>
    <s v="239"/>
    <n v="49"/>
    <x v="1"/>
    <x v="3"/>
    <x v="3"/>
    <s v="Healthy"/>
    <n v="1"/>
    <n v="1"/>
    <n v="0"/>
    <n v="0"/>
    <n v="0"/>
    <n v="0"/>
    <x v="4"/>
    <n v="0"/>
  </r>
  <r>
    <s v="240"/>
    <n v="42"/>
    <x v="0"/>
    <x v="2"/>
    <x v="3"/>
    <s v="Healthy"/>
    <n v="1"/>
    <n v="1"/>
    <n v="0"/>
    <n v="0"/>
    <n v="0"/>
    <n v="0"/>
    <x v="4"/>
    <n v="0"/>
  </r>
  <r>
    <s v="241"/>
    <n v="41"/>
    <x v="0"/>
    <x v="2"/>
    <x v="3"/>
    <s v="Healthy"/>
    <n v="1"/>
    <n v="1"/>
    <n v="0"/>
    <n v="0"/>
    <n v="0"/>
    <n v="0"/>
    <x v="4"/>
    <n v="0"/>
  </r>
  <r>
    <s v="242"/>
    <n v="41"/>
    <x v="1"/>
    <x v="2"/>
    <x v="3"/>
    <s v="Healthy"/>
    <n v="1"/>
    <n v="1"/>
    <n v="0"/>
    <n v="0"/>
    <n v="0"/>
    <n v="0"/>
    <x v="4"/>
    <n v="0"/>
  </r>
  <r>
    <s v="243"/>
    <n v="49"/>
    <x v="1"/>
    <x v="3"/>
    <x v="1"/>
    <s v="Healthy"/>
    <n v="1"/>
    <n v="1"/>
    <n v="0"/>
    <n v="0"/>
    <n v="0"/>
    <n v="0"/>
    <x v="4"/>
    <n v="0"/>
  </r>
  <r>
    <s v="244"/>
    <n v="61"/>
    <x v="0"/>
    <x v="0"/>
    <x v="0"/>
    <s v="Diseased"/>
    <n v="1"/>
    <n v="1"/>
    <n v="1"/>
    <n v="0"/>
    <n v="0"/>
    <n v="1"/>
    <x v="0"/>
    <n v="1"/>
  </r>
  <r>
    <s v="245"/>
    <n v="60"/>
    <x v="1"/>
    <x v="0"/>
    <x v="2"/>
    <s v="Healthy"/>
    <n v="1"/>
    <n v="1"/>
    <n v="0"/>
    <n v="0"/>
    <n v="1"/>
    <n v="0"/>
    <x v="2"/>
    <n v="0"/>
  </r>
  <r>
    <s v="246"/>
    <n v="67"/>
    <x v="0"/>
    <x v="1"/>
    <x v="1"/>
    <s v="Diseased"/>
    <n v="1"/>
    <n v="1"/>
    <n v="1"/>
    <n v="0"/>
    <n v="0"/>
    <n v="0"/>
    <x v="2"/>
    <n v="1"/>
  </r>
  <r>
    <s v="247"/>
    <n v="58"/>
    <x v="0"/>
    <x v="0"/>
    <x v="1"/>
    <s v="Diseased"/>
    <n v="1"/>
    <n v="1"/>
    <n v="1"/>
    <n v="0"/>
    <n v="0"/>
    <n v="1"/>
    <x v="0"/>
    <n v="1"/>
  </r>
  <r>
    <s v="248"/>
    <n v="47"/>
    <x v="0"/>
    <x v="3"/>
    <x v="1"/>
    <s v="Diseased"/>
    <n v="1"/>
    <n v="1"/>
    <n v="1"/>
    <n v="1"/>
    <n v="0"/>
    <n v="1"/>
    <x v="1"/>
    <n v="1"/>
  </r>
  <r>
    <s v="249"/>
    <n v="52"/>
    <x v="0"/>
    <x v="3"/>
    <x v="1"/>
    <s v="Diseased"/>
    <n v="1"/>
    <n v="1"/>
    <n v="1"/>
    <n v="0"/>
    <n v="0"/>
    <n v="1"/>
    <x v="0"/>
    <n v="1"/>
  </r>
  <r>
    <s v="250"/>
    <n v="62"/>
    <x v="0"/>
    <x v="0"/>
    <x v="3"/>
    <s v="Healthy"/>
    <n v="1"/>
    <n v="1"/>
    <n v="0"/>
    <n v="0"/>
    <n v="1"/>
    <n v="0"/>
    <x v="2"/>
    <n v="0"/>
  </r>
  <r>
    <s v="251"/>
    <n v="57"/>
    <x v="0"/>
    <x v="0"/>
    <x v="1"/>
    <s v="Healthy"/>
    <n v="1"/>
    <n v="1"/>
    <n v="1"/>
    <n v="1"/>
    <n v="0"/>
    <n v="0"/>
    <x v="0"/>
    <n v="0"/>
  </r>
  <r>
    <s v="252"/>
    <n v="58"/>
    <x v="0"/>
    <x v="0"/>
    <x v="1"/>
    <s v="Diseased"/>
    <n v="1"/>
    <n v="1"/>
    <n v="1"/>
    <n v="0"/>
    <n v="0"/>
    <n v="1"/>
    <x v="0"/>
    <n v="1"/>
  </r>
  <r>
    <s v="253"/>
    <n v="64"/>
    <x v="0"/>
    <x v="0"/>
    <x v="1"/>
    <s v="Healthy"/>
    <n v="1"/>
    <n v="1"/>
    <n v="1"/>
    <n v="1"/>
    <n v="0"/>
    <n v="1"/>
    <x v="1"/>
    <n v="0"/>
  </r>
  <r>
    <s v="254"/>
    <n v="51"/>
    <x v="1"/>
    <x v="3"/>
    <x v="2"/>
    <s v="Healthy"/>
    <n v="1"/>
    <n v="1"/>
    <n v="1"/>
    <n v="0"/>
    <n v="0"/>
    <n v="0"/>
    <x v="2"/>
    <n v="0"/>
  </r>
  <r>
    <s v="255"/>
    <n v="43"/>
    <x v="0"/>
    <x v="2"/>
    <x v="1"/>
    <s v="Healthy"/>
    <n v="1"/>
    <n v="1"/>
    <n v="1"/>
    <n v="0"/>
    <n v="0"/>
    <n v="0"/>
    <x v="2"/>
    <n v="0"/>
  </r>
  <r>
    <s v="256"/>
    <n v="42"/>
    <x v="1"/>
    <x v="2"/>
    <x v="2"/>
    <s v="Healthy"/>
    <n v="1"/>
    <n v="1"/>
    <n v="0"/>
    <n v="0"/>
    <n v="0"/>
    <n v="0"/>
    <x v="4"/>
    <n v="0"/>
  </r>
  <r>
    <s v="257"/>
    <n v="67"/>
    <x v="1"/>
    <x v="1"/>
    <x v="1"/>
    <s v="Healthy"/>
    <n v="1"/>
    <n v="1"/>
    <n v="1"/>
    <n v="0"/>
    <n v="0"/>
    <n v="1"/>
    <x v="0"/>
    <n v="0"/>
  </r>
  <r>
    <s v="258"/>
    <n v="76"/>
    <x v="1"/>
    <x v="1"/>
    <x v="2"/>
    <s v="Healthy"/>
    <n v="1"/>
    <n v="1"/>
    <n v="1"/>
    <n v="0"/>
    <n v="0"/>
    <n v="0"/>
    <x v="2"/>
    <n v="0"/>
  </r>
  <r>
    <s v="259"/>
    <n v="70"/>
    <x v="0"/>
    <x v="1"/>
    <x v="3"/>
    <s v="Healthy"/>
    <n v="1"/>
    <n v="1"/>
    <n v="0"/>
    <n v="0"/>
    <n v="0"/>
    <n v="0"/>
    <x v="4"/>
    <n v="0"/>
  </r>
  <r>
    <s v="260"/>
    <n v="57"/>
    <x v="0"/>
    <x v="0"/>
    <x v="3"/>
    <s v="Diseased"/>
    <n v="1"/>
    <n v="1"/>
    <n v="1"/>
    <n v="0"/>
    <n v="0"/>
    <n v="0"/>
    <x v="2"/>
    <n v="1"/>
  </r>
  <r>
    <s v="261"/>
    <n v="44"/>
    <x v="1"/>
    <x v="2"/>
    <x v="2"/>
    <s v="Healthy"/>
    <n v="1"/>
    <n v="1"/>
    <n v="1"/>
    <n v="0"/>
    <n v="0"/>
    <n v="1"/>
    <x v="0"/>
    <n v="0"/>
  </r>
  <r>
    <s v="262"/>
    <n v="58"/>
    <x v="1"/>
    <x v="0"/>
    <x v="3"/>
    <s v="Diseased"/>
    <n v="1"/>
    <n v="1"/>
    <n v="0"/>
    <n v="0"/>
    <n v="1"/>
    <n v="1"/>
    <x v="0"/>
    <n v="1"/>
  </r>
  <r>
    <s v="263"/>
    <n v="60"/>
    <x v="1"/>
    <x v="0"/>
    <x v="0"/>
    <s v="Healthy"/>
    <n v="1"/>
    <n v="1"/>
    <n v="1"/>
    <n v="0"/>
    <n v="0"/>
    <n v="0"/>
    <x v="2"/>
    <n v="0"/>
  </r>
  <r>
    <s v="264"/>
    <n v="44"/>
    <x v="0"/>
    <x v="2"/>
    <x v="2"/>
    <s v="Healthy"/>
    <n v="1"/>
    <n v="1"/>
    <n v="0"/>
    <n v="0"/>
    <n v="0"/>
    <n v="0"/>
    <x v="4"/>
    <n v="0"/>
  </r>
  <r>
    <s v="265"/>
    <n v="61"/>
    <x v="0"/>
    <x v="0"/>
    <x v="1"/>
    <s v="Diseased"/>
    <n v="1"/>
    <n v="1"/>
    <n v="1"/>
    <n v="1"/>
    <n v="0"/>
    <n v="1"/>
    <x v="1"/>
    <n v="1"/>
  </r>
  <r>
    <s v="266"/>
    <n v="42"/>
    <x v="0"/>
    <x v="2"/>
    <x v="1"/>
    <s v="Diseased"/>
    <n v="1"/>
    <n v="1"/>
    <n v="1"/>
    <n v="1"/>
    <n v="0"/>
    <n v="0"/>
    <x v="0"/>
    <n v="1"/>
  </r>
  <r>
    <s v="267"/>
    <n v="52"/>
    <x v="0"/>
    <x v="3"/>
    <x v="1"/>
    <s v="Diseased"/>
    <n v="1"/>
    <n v="1"/>
    <n v="1"/>
    <n v="1"/>
    <n v="1"/>
    <n v="0"/>
    <x v="1"/>
    <n v="1"/>
  </r>
  <r>
    <s v="268"/>
    <n v="59"/>
    <x v="0"/>
    <x v="0"/>
    <x v="2"/>
    <s v="Diseased"/>
    <n v="1"/>
    <n v="1"/>
    <n v="1"/>
    <n v="0"/>
    <n v="1"/>
    <n v="1"/>
    <x v="1"/>
    <n v="1"/>
  </r>
  <r>
    <s v="269"/>
    <n v="40"/>
    <x v="0"/>
    <x v="2"/>
    <x v="1"/>
    <s v="Diseased"/>
    <n v="1"/>
    <n v="1"/>
    <n v="0"/>
    <n v="0"/>
    <n v="0"/>
    <n v="0"/>
    <x v="4"/>
    <n v="1"/>
  </r>
  <r>
    <s v="270"/>
    <n v="42"/>
    <x v="0"/>
    <x v="2"/>
    <x v="2"/>
    <s v="Healthy"/>
    <n v="1"/>
    <n v="1"/>
    <n v="0"/>
    <n v="0"/>
    <n v="0"/>
    <n v="0"/>
    <x v="4"/>
    <n v="0"/>
  </r>
  <r>
    <s v="271"/>
    <n v="61"/>
    <x v="0"/>
    <x v="0"/>
    <x v="1"/>
    <s v="Diseased"/>
    <n v="1"/>
    <n v="1"/>
    <n v="1"/>
    <n v="1"/>
    <n v="0"/>
    <n v="1"/>
    <x v="1"/>
    <n v="1"/>
  </r>
  <r>
    <s v="272"/>
    <n v="66"/>
    <x v="0"/>
    <x v="1"/>
    <x v="1"/>
    <s v="Healthy"/>
    <n v="1"/>
    <n v="1"/>
    <n v="1"/>
    <n v="0"/>
    <n v="0"/>
    <n v="0"/>
    <x v="2"/>
    <n v="0"/>
  </r>
  <r>
    <s v="273"/>
    <n v="46"/>
    <x v="0"/>
    <x v="3"/>
    <x v="1"/>
    <s v="Diseased"/>
    <n v="1"/>
    <n v="1"/>
    <n v="1"/>
    <n v="1"/>
    <n v="0"/>
    <n v="1"/>
    <x v="1"/>
    <n v="1"/>
  </r>
  <r>
    <s v="274"/>
    <n v="71"/>
    <x v="1"/>
    <x v="1"/>
    <x v="1"/>
    <s v="Healthy"/>
    <n v="1"/>
    <n v="1"/>
    <n v="1"/>
    <n v="0"/>
    <n v="0"/>
    <n v="0"/>
    <x v="2"/>
    <n v="0"/>
  </r>
  <r>
    <s v="275"/>
    <n v="59"/>
    <x v="0"/>
    <x v="0"/>
    <x v="0"/>
    <s v="Diseased"/>
    <n v="1"/>
    <n v="1"/>
    <n v="1"/>
    <n v="0"/>
    <n v="0"/>
    <n v="1"/>
    <x v="0"/>
    <n v="1"/>
  </r>
  <r>
    <s v="276"/>
    <n v="64"/>
    <x v="0"/>
    <x v="0"/>
    <x v="0"/>
    <s v="Healthy"/>
    <n v="1"/>
    <n v="1"/>
    <n v="1"/>
    <n v="0"/>
    <n v="0"/>
    <n v="0"/>
    <x v="2"/>
    <n v="0"/>
  </r>
  <r>
    <s v="277"/>
    <n v="66"/>
    <x v="1"/>
    <x v="1"/>
    <x v="2"/>
    <s v="Healthy"/>
    <n v="1"/>
    <n v="1"/>
    <n v="0"/>
    <n v="0"/>
    <n v="0"/>
    <n v="1"/>
    <x v="2"/>
    <n v="0"/>
  </r>
  <r>
    <s v="278"/>
    <n v="39"/>
    <x v="1"/>
    <x v="2"/>
    <x v="2"/>
    <s v="Healthy"/>
    <n v="1"/>
    <n v="1"/>
    <n v="0"/>
    <n v="0"/>
    <n v="0"/>
    <n v="0"/>
    <x v="4"/>
    <n v="0"/>
  </r>
  <r>
    <s v="279"/>
    <n v="57"/>
    <x v="0"/>
    <x v="0"/>
    <x v="3"/>
    <s v="Diseased"/>
    <n v="1"/>
    <n v="1"/>
    <n v="0"/>
    <n v="0"/>
    <n v="0"/>
    <n v="1"/>
    <x v="2"/>
    <n v="1"/>
  </r>
  <r>
    <s v="280"/>
    <n v="58"/>
    <x v="1"/>
    <x v="0"/>
    <x v="1"/>
    <s v="Healthy"/>
    <n v="1"/>
    <n v="1"/>
    <n v="1"/>
    <n v="0"/>
    <n v="0"/>
    <n v="0"/>
    <x v="2"/>
    <n v="0"/>
  </r>
  <r>
    <s v="281"/>
    <n v="57"/>
    <x v="0"/>
    <x v="0"/>
    <x v="1"/>
    <s v="Diseased"/>
    <n v="1"/>
    <n v="1"/>
    <n v="1"/>
    <n v="1"/>
    <n v="0"/>
    <n v="1"/>
    <x v="1"/>
    <n v="1"/>
  </r>
  <r>
    <s v="282"/>
    <n v="47"/>
    <x v="0"/>
    <x v="3"/>
    <x v="2"/>
    <s v="Healthy"/>
    <n v="1"/>
    <n v="1"/>
    <n v="0"/>
    <n v="0"/>
    <n v="0"/>
    <n v="0"/>
    <x v="4"/>
    <n v="0"/>
  </r>
  <r>
    <s v="283"/>
    <n v="55"/>
    <x v="1"/>
    <x v="0"/>
    <x v="1"/>
    <s v="Diseased"/>
    <n v="1"/>
    <n v="1"/>
    <n v="1"/>
    <n v="1"/>
    <n v="0"/>
    <n v="1"/>
    <x v="1"/>
    <n v="1"/>
  </r>
  <r>
    <s v="284"/>
    <n v="35"/>
    <x v="0"/>
    <x v="2"/>
    <x v="3"/>
    <s v="Healthy"/>
    <n v="1"/>
    <n v="1"/>
    <n v="0"/>
    <n v="0"/>
    <n v="0"/>
    <n v="0"/>
    <x v="4"/>
    <n v="0"/>
  </r>
  <r>
    <s v="285"/>
    <n v="61"/>
    <x v="0"/>
    <x v="0"/>
    <x v="1"/>
    <s v="Diseased"/>
    <n v="1"/>
    <n v="1"/>
    <n v="0"/>
    <n v="0"/>
    <n v="0"/>
    <n v="1"/>
    <x v="2"/>
    <n v="1"/>
  </r>
  <r>
    <s v="286"/>
    <n v="58"/>
    <x v="0"/>
    <x v="0"/>
    <x v="1"/>
    <s v="Diseased"/>
    <n v="1"/>
    <n v="1"/>
    <n v="1"/>
    <n v="0"/>
    <n v="0"/>
    <n v="1"/>
    <x v="0"/>
    <n v="1"/>
  </r>
  <r>
    <s v="287"/>
    <n v="58"/>
    <x v="1"/>
    <x v="0"/>
    <x v="1"/>
    <s v="Diseased"/>
    <n v="1"/>
    <n v="1"/>
    <n v="1"/>
    <n v="1"/>
    <n v="1"/>
    <n v="1"/>
    <x v="3"/>
    <n v="1"/>
  </r>
  <r>
    <s v="288"/>
    <n v="58"/>
    <x v="0"/>
    <x v="0"/>
    <x v="3"/>
    <s v="Healthy"/>
    <n v="1"/>
    <n v="1"/>
    <n v="1"/>
    <n v="0"/>
    <n v="0"/>
    <n v="0"/>
    <x v="2"/>
    <n v="0"/>
  </r>
  <r>
    <s v="289"/>
    <n v="56"/>
    <x v="0"/>
    <x v="0"/>
    <x v="3"/>
    <s v="Healthy"/>
    <n v="1"/>
    <n v="1"/>
    <n v="0"/>
    <n v="0"/>
    <n v="0"/>
    <n v="0"/>
    <x v="4"/>
    <n v="0"/>
  </r>
  <r>
    <s v="290"/>
    <n v="56"/>
    <x v="0"/>
    <x v="0"/>
    <x v="3"/>
    <s v="Healthy"/>
    <n v="1"/>
    <n v="1"/>
    <n v="0"/>
    <n v="0"/>
    <n v="0"/>
    <n v="0"/>
    <x v="4"/>
    <n v="0"/>
  </r>
  <r>
    <s v="291"/>
    <n v="67"/>
    <x v="0"/>
    <x v="1"/>
    <x v="2"/>
    <s v="Diseased"/>
    <n v="1"/>
    <n v="1"/>
    <n v="1"/>
    <n v="0"/>
    <n v="0"/>
    <n v="0"/>
    <x v="2"/>
    <n v="1"/>
  </r>
  <r>
    <s v="292"/>
    <n v="55"/>
    <x v="1"/>
    <x v="0"/>
    <x v="3"/>
    <s v="Healthy"/>
    <n v="1"/>
    <n v="1"/>
    <n v="1"/>
    <n v="0"/>
    <n v="0"/>
    <n v="0"/>
    <x v="2"/>
    <n v="0"/>
  </r>
  <r>
    <s v="293"/>
    <n v="44"/>
    <x v="0"/>
    <x v="2"/>
    <x v="1"/>
    <s v="Diseased"/>
    <n v="1"/>
    <n v="1"/>
    <n v="1"/>
    <n v="1"/>
    <n v="0"/>
    <n v="0"/>
    <x v="0"/>
    <n v="1"/>
  </r>
  <r>
    <s v="294"/>
    <n v="63"/>
    <x v="0"/>
    <x v="0"/>
    <x v="1"/>
    <s v="Diseased"/>
    <n v="1"/>
    <n v="1"/>
    <n v="1"/>
    <n v="1"/>
    <n v="0"/>
    <n v="1"/>
    <x v="1"/>
    <n v="1"/>
  </r>
  <r>
    <s v="295"/>
    <n v="63"/>
    <x v="1"/>
    <x v="0"/>
    <x v="1"/>
    <s v="Diseased"/>
    <n v="1"/>
    <n v="1"/>
    <n v="0"/>
    <n v="1"/>
    <n v="0"/>
    <n v="0"/>
    <x v="2"/>
    <n v="1"/>
  </r>
  <r>
    <s v="296"/>
    <n v="41"/>
    <x v="0"/>
    <x v="2"/>
    <x v="3"/>
    <s v="Healthy"/>
    <n v="1"/>
    <n v="1"/>
    <n v="0"/>
    <n v="0"/>
    <n v="0"/>
    <n v="0"/>
    <x v="4"/>
    <n v="0"/>
  </r>
  <r>
    <s v="297"/>
    <n v="59"/>
    <x v="0"/>
    <x v="0"/>
    <x v="1"/>
    <s v="Diseased"/>
    <n v="1"/>
    <n v="1"/>
    <n v="1"/>
    <n v="0"/>
    <n v="1"/>
    <n v="1"/>
    <x v="1"/>
    <n v="1"/>
  </r>
  <r>
    <s v="298"/>
    <n v="57"/>
    <x v="1"/>
    <x v="0"/>
    <x v="1"/>
    <s v="Diseased"/>
    <n v="1"/>
    <n v="1"/>
    <n v="1"/>
    <n v="1"/>
    <n v="0"/>
    <n v="0"/>
    <x v="0"/>
    <n v="1"/>
  </r>
  <r>
    <s v="299"/>
    <n v="45"/>
    <x v="0"/>
    <x v="3"/>
    <x v="0"/>
    <s v="Diseased"/>
    <n v="1"/>
    <n v="1"/>
    <n v="1"/>
    <n v="0"/>
    <n v="0"/>
    <n v="0"/>
    <x v="2"/>
    <n v="1"/>
  </r>
  <r>
    <s v="300"/>
    <n v="68"/>
    <x v="0"/>
    <x v="1"/>
    <x v="1"/>
    <s v="Diseased"/>
    <n v="1"/>
    <n v="1"/>
    <n v="1"/>
    <n v="0"/>
    <n v="1"/>
    <n v="1"/>
    <x v="1"/>
    <n v="1"/>
  </r>
  <r>
    <s v="301"/>
    <n v="57"/>
    <x v="0"/>
    <x v="0"/>
    <x v="1"/>
    <s v="Diseased"/>
    <n v="1"/>
    <n v="1"/>
    <n v="1"/>
    <n v="1"/>
    <n v="0"/>
    <n v="1"/>
    <x v="1"/>
    <n v="1"/>
  </r>
  <r>
    <s v="302"/>
    <n v="57"/>
    <x v="1"/>
    <x v="0"/>
    <x v="3"/>
    <s v="Diseased"/>
    <n v="1"/>
    <n v="1"/>
    <n v="0"/>
    <n v="0"/>
    <n v="0"/>
    <n v="1"/>
    <x v="2"/>
    <n v="1"/>
  </r>
  <r>
    <s v="303"/>
    <n v="38"/>
    <x v="0"/>
    <x v="2"/>
    <x v="2"/>
    <s v="Healthy"/>
    <n v="1"/>
    <n v="1"/>
    <n v="0"/>
    <n v="0"/>
    <n v="0"/>
    <n v="0"/>
    <x v="4"/>
    <n v="0"/>
  </r>
  <r>
    <s v="304"/>
    <n v="28"/>
    <x v="0"/>
    <x v="2"/>
    <x v="3"/>
    <s v="Healthy"/>
    <n v="1"/>
    <n v="1"/>
    <n v="0"/>
    <n v="0"/>
    <n v="0"/>
    <n v="0"/>
    <x v="4"/>
    <n v="0"/>
  </r>
  <r>
    <s v="305"/>
    <n v="29"/>
    <x v="0"/>
    <x v="2"/>
    <x v="3"/>
    <s v="Healthy"/>
    <n v="1"/>
    <n v="1"/>
    <n v="0"/>
    <n v="0"/>
    <n v="0"/>
    <n v="0"/>
    <x v="4"/>
    <n v="0"/>
  </r>
  <r>
    <s v="306"/>
    <n v="29"/>
    <x v="0"/>
    <x v="2"/>
    <x v="3"/>
    <s v="Healthy"/>
    <n v="0"/>
    <n v="1"/>
    <n v="0"/>
    <n v="0"/>
    <n v="0"/>
    <n v="0"/>
    <x v="5"/>
    <n v="0"/>
  </r>
  <r>
    <s v="307"/>
    <n v="30"/>
    <x v="1"/>
    <x v="2"/>
    <x v="0"/>
    <s v="Healthy"/>
    <n v="1"/>
    <n v="1"/>
    <n v="0"/>
    <n v="0"/>
    <n v="0"/>
    <n v="0"/>
    <x v="4"/>
    <n v="0"/>
  </r>
  <r>
    <s v="308"/>
    <n v="31"/>
    <x v="1"/>
    <x v="2"/>
    <x v="3"/>
    <s v="Healthy"/>
    <n v="1"/>
    <n v="1"/>
    <n v="0"/>
    <n v="0"/>
    <n v="0"/>
    <n v="0"/>
    <x v="4"/>
    <n v="0"/>
  </r>
  <r>
    <s v="309"/>
    <n v="32"/>
    <x v="1"/>
    <x v="2"/>
    <x v="3"/>
    <s v="Healthy"/>
    <n v="1"/>
    <n v="1"/>
    <n v="0"/>
    <n v="0"/>
    <n v="0"/>
    <n v="0"/>
    <x v="4"/>
    <n v="0"/>
  </r>
  <r>
    <s v="310"/>
    <n v="32"/>
    <x v="0"/>
    <x v="2"/>
    <x v="3"/>
    <s v="Healthy"/>
    <n v="1"/>
    <n v="1"/>
    <n v="0"/>
    <n v="0"/>
    <n v="0"/>
    <n v="0"/>
    <x v="4"/>
    <n v="0"/>
  </r>
  <r>
    <s v="311"/>
    <n v="32"/>
    <x v="0"/>
    <x v="2"/>
    <x v="3"/>
    <s v="Healthy"/>
    <n v="1"/>
    <n v="1"/>
    <n v="0"/>
    <n v="0"/>
    <n v="0"/>
    <n v="0"/>
    <x v="4"/>
    <n v="0"/>
  </r>
  <r>
    <s v="312"/>
    <n v="33"/>
    <x v="0"/>
    <x v="2"/>
    <x v="2"/>
    <s v="Healthy"/>
    <n v="1"/>
    <n v="1"/>
    <n v="0"/>
    <n v="0"/>
    <n v="0"/>
    <n v="0"/>
    <x v="4"/>
    <n v="0"/>
  </r>
  <r>
    <s v="313"/>
    <n v="34"/>
    <x v="1"/>
    <x v="2"/>
    <x v="3"/>
    <s v="Healthy"/>
    <n v="1"/>
    <n v="1"/>
    <n v="0"/>
    <n v="0"/>
    <n v="0"/>
    <n v="0"/>
    <x v="4"/>
    <n v="0"/>
  </r>
  <r>
    <s v="314"/>
    <n v="34"/>
    <x v="0"/>
    <x v="2"/>
    <x v="3"/>
    <s v="Healthy"/>
    <n v="1"/>
    <n v="1"/>
    <n v="0"/>
    <n v="0"/>
    <n v="0"/>
    <n v="0"/>
    <x v="4"/>
    <n v="0"/>
  </r>
  <r>
    <s v="315"/>
    <n v="34"/>
    <x v="0"/>
    <x v="2"/>
    <x v="3"/>
    <s v="Healthy"/>
    <n v="1"/>
    <n v="1"/>
    <n v="0"/>
    <n v="0"/>
    <n v="0"/>
    <n v="0"/>
    <x v="4"/>
    <n v="0"/>
  </r>
  <r>
    <s v="316"/>
    <n v="35"/>
    <x v="1"/>
    <x v="2"/>
    <x v="0"/>
    <s v="Healthy"/>
    <n v="1"/>
    <n v="1"/>
    <n v="0"/>
    <n v="0"/>
    <n v="0"/>
    <n v="0"/>
    <x v="4"/>
    <n v="0"/>
  </r>
  <r>
    <s v="317"/>
    <n v="35"/>
    <x v="1"/>
    <x v="2"/>
    <x v="1"/>
    <s v="Healthy"/>
    <n v="1"/>
    <n v="1"/>
    <n v="0"/>
    <n v="0"/>
    <n v="0"/>
    <n v="0"/>
    <x v="4"/>
    <n v="0"/>
  </r>
  <r>
    <s v="318"/>
    <n v="35"/>
    <x v="0"/>
    <x v="2"/>
    <x v="3"/>
    <s v="Healthy"/>
    <n v="1"/>
    <n v="1"/>
    <n v="0"/>
    <n v="0"/>
    <n v="0"/>
    <n v="0"/>
    <x v="4"/>
    <n v="0"/>
  </r>
  <r>
    <s v="319"/>
    <n v="35"/>
    <x v="0"/>
    <x v="2"/>
    <x v="3"/>
    <s v="Healthy"/>
    <n v="1"/>
    <n v="1"/>
    <n v="0"/>
    <n v="0"/>
    <n v="0"/>
    <n v="0"/>
    <x v="4"/>
    <n v="0"/>
  </r>
  <r>
    <s v="320"/>
    <n v="36"/>
    <x v="0"/>
    <x v="2"/>
    <x v="3"/>
    <s v="Healthy"/>
    <n v="1"/>
    <n v="1"/>
    <n v="0"/>
    <n v="0"/>
    <n v="0"/>
    <n v="0"/>
    <x v="4"/>
    <n v="0"/>
  </r>
  <r>
    <s v="321"/>
    <n v="36"/>
    <x v="0"/>
    <x v="2"/>
    <x v="2"/>
    <s v="Healthy"/>
    <n v="1"/>
    <n v="1"/>
    <n v="1"/>
    <n v="0"/>
    <n v="0"/>
    <n v="0"/>
    <x v="2"/>
    <n v="0"/>
  </r>
  <r>
    <s v="322"/>
    <n v="36"/>
    <x v="0"/>
    <x v="2"/>
    <x v="2"/>
    <s v="Healthy"/>
    <n v="1"/>
    <n v="1"/>
    <n v="0"/>
    <n v="0"/>
    <n v="0"/>
    <n v="0"/>
    <x v="4"/>
    <n v="0"/>
  </r>
  <r>
    <s v="323"/>
    <n v="36"/>
    <x v="0"/>
    <x v="2"/>
    <x v="2"/>
    <s v="Healthy"/>
    <n v="1"/>
    <n v="1"/>
    <n v="0"/>
    <n v="0"/>
    <n v="0"/>
    <n v="0"/>
    <x v="4"/>
    <n v="0"/>
  </r>
  <r>
    <s v="324"/>
    <n v="37"/>
    <x v="1"/>
    <x v="2"/>
    <x v="3"/>
    <s v="Healthy"/>
    <n v="1"/>
    <n v="1"/>
    <n v="0"/>
    <n v="0"/>
    <n v="0"/>
    <n v="0"/>
    <x v="4"/>
    <n v="0"/>
  </r>
  <r>
    <s v="325"/>
    <n v="37"/>
    <x v="1"/>
    <x v="2"/>
    <x v="2"/>
    <s v="Healthy"/>
    <n v="1"/>
    <n v="1"/>
    <n v="0"/>
    <n v="0"/>
    <n v="0"/>
    <n v="0"/>
    <x v="4"/>
    <n v="0"/>
  </r>
  <r>
    <s v="326"/>
    <n v="37"/>
    <x v="1"/>
    <x v="2"/>
    <x v="1"/>
    <s v="Healthy"/>
    <n v="1"/>
    <n v="1"/>
    <n v="0"/>
    <n v="0"/>
    <n v="0"/>
    <n v="0"/>
    <x v="4"/>
    <n v="0"/>
  </r>
  <r>
    <s v="327"/>
    <n v="37"/>
    <x v="0"/>
    <x v="2"/>
    <x v="3"/>
    <s v="Healthy"/>
    <n v="1"/>
    <n v="1"/>
    <n v="0"/>
    <n v="0"/>
    <n v="0"/>
    <n v="0"/>
    <x v="4"/>
    <n v="0"/>
  </r>
  <r>
    <s v="328"/>
    <n v="37"/>
    <x v="0"/>
    <x v="2"/>
    <x v="2"/>
    <s v="Healthy"/>
    <n v="1"/>
    <n v="1"/>
    <n v="0"/>
    <n v="0"/>
    <n v="0"/>
    <n v="0"/>
    <x v="4"/>
    <n v="0"/>
  </r>
  <r>
    <s v="329"/>
    <n v="37"/>
    <x v="0"/>
    <x v="2"/>
    <x v="1"/>
    <s v="Healthy"/>
    <n v="1"/>
    <n v="1"/>
    <n v="0"/>
    <n v="0"/>
    <n v="0"/>
    <n v="0"/>
    <x v="4"/>
    <n v="0"/>
  </r>
  <r>
    <s v="330"/>
    <n v="37"/>
    <x v="0"/>
    <x v="2"/>
    <x v="1"/>
    <s v="Healthy"/>
    <n v="1"/>
    <n v="1"/>
    <n v="0"/>
    <n v="0"/>
    <n v="0"/>
    <n v="0"/>
    <x v="4"/>
    <n v="0"/>
  </r>
  <r>
    <s v="331"/>
    <n v="38"/>
    <x v="1"/>
    <x v="2"/>
    <x v="3"/>
    <s v="Healthy"/>
    <n v="1"/>
    <n v="1"/>
    <n v="0"/>
    <n v="0"/>
    <n v="0"/>
    <n v="0"/>
    <x v="4"/>
    <n v="0"/>
  </r>
  <r>
    <s v="332"/>
    <n v="38"/>
    <x v="0"/>
    <x v="2"/>
    <x v="3"/>
    <s v="Healthy"/>
    <n v="1"/>
    <n v="1"/>
    <n v="0"/>
    <n v="0"/>
    <n v="0"/>
    <n v="0"/>
    <x v="4"/>
    <n v="0"/>
  </r>
  <r>
    <s v="333"/>
    <n v="38"/>
    <x v="0"/>
    <x v="2"/>
    <x v="2"/>
    <s v="Healthy"/>
    <n v="1"/>
    <n v="1"/>
    <n v="0"/>
    <n v="0"/>
    <n v="0"/>
    <n v="0"/>
    <x v="4"/>
    <n v="0"/>
  </r>
  <r>
    <s v="334"/>
    <n v="39"/>
    <x v="1"/>
    <x v="2"/>
    <x v="2"/>
    <s v="Healthy"/>
    <n v="1"/>
    <n v="1"/>
    <n v="0"/>
    <n v="0"/>
    <n v="0"/>
    <n v="0"/>
    <x v="4"/>
    <n v="0"/>
  </r>
  <r>
    <s v="335"/>
    <n v="39"/>
    <x v="0"/>
    <x v="2"/>
    <x v="3"/>
    <s v="Healthy"/>
    <n v="0"/>
    <n v="1"/>
    <n v="1"/>
    <n v="0"/>
    <n v="0"/>
    <n v="0"/>
    <x v="4"/>
    <n v="0"/>
  </r>
  <r>
    <s v="336"/>
    <n v="39"/>
    <x v="0"/>
    <x v="2"/>
    <x v="3"/>
    <s v="Healthy"/>
    <n v="1"/>
    <n v="1"/>
    <n v="1"/>
    <n v="1"/>
    <n v="0"/>
    <n v="0"/>
    <x v="0"/>
    <n v="0"/>
  </r>
  <r>
    <s v="337"/>
    <n v="39"/>
    <x v="0"/>
    <x v="2"/>
    <x v="3"/>
    <s v="Healthy"/>
    <n v="1"/>
    <n v="1"/>
    <n v="0"/>
    <n v="0"/>
    <n v="0"/>
    <n v="0"/>
    <x v="4"/>
    <n v="0"/>
  </r>
  <r>
    <s v="338"/>
    <n v="39"/>
    <x v="0"/>
    <x v="2"/>
    <x v="3"/>
    <s v="Healthy"/>
    <n v="0"/>
    <n v="1"/>
    <n v="0"/>
    <n v="0"/>
    <n v="0"/>
    <n v="0"/>
    <x v="5"/>
    <n v="0"/>
  </r>
  <r>
    <s v="339"/>
    <n v="39"/>
    <x v="0"/>
    <x v="2"/>
    <x v="3"/>
    <s v="Healthy"/>
    <n v="1"/>
    <n v="1"/>
    <n v="0"/>
    <n v="0"/>
    <n v="0"/>
    <n v="0"/>
    <x v="4"/>
    <n v="0"/>
  </r>
  <r>
    <s v="340"/>
    <n v="39"/>
    <x v="0"/>
    <x v="2"/>
    <x v="2"/>
    <s v="Healthy"/>
    <n v="1"/>
    <n v="1"/>
    <n v="0"/>
    <n v="0"/>
    <n v="0"/>
    <n v="0"/>
    <x v="4"/>
    <n v="0"/>
  </r>
  <r>
    <s v="341"/>
    <n v="39"/>
    <x v="0"/>
    <x v="2"/>
    <x v="2"/>
    <s v="Healthy"/>
    <n v="1"/>
    <n v="1"/>
    <n v="0"/>
    <n v="0"/>
    <n v="1"/>
    <n v="0"/>
    <x v="2"/>
    <n v="0"/>
  </r>
  <r>
    <s v="342"/>
    <n v="39"/>
    <x v="0"/>
    <x v="2"/>
    <x v="1"/>
    <s v="Healthy"/>
    <n v="1"/>
    <n v="1"/>
    <n v="0"/>
    <n v="0"/>
    <n v="0"/>
    <n v="0"/>
    <x v="4"/>
    <n v="0"/>
  </r>
  <r>
    <s v="343"/>
    <n v="39"/>
    <x v="0"/>
    <x v="2"/>
    <x v="1"/>
    <s v="Healthy"/>
    <n v="1"/>
    <n v="1"/>
    <n v="0"/>
    <n v="0"/>
    <n v="0"/>
    <n v="0"/>
    <x v="4"/>
    <n v="0"/>
  </r>
  <r>
    <s v="344"/>
    <n v="40"/>
    <x v="0"/>
    <x v="2"/>
    <x v="3"/>
    <s v="Healthy"/>
    <n v="1"/>
    <n v="1"/>
    <n v="0"/>
    <n v="0"/>
    <n v="0"/>
    <n v="0"/>
    <x v="4"/>
    <n v="0"/>
  </r>
  <r>
    <s v="345"/>
    <n v="40"/>
    <x v="0"/>
    <x v="2"/>
    <x v="3"/>
    <s v="Healthy"/>
    <n v="1"/>
    <n v="1"/>
    <n v="0"/>
    <n v="0"/>
    <n v="0"/>
    <n v="0"/>
    <x v="4"/>
    <n v="0"/>
  </r>
  <r>
    <s v="346"/>
    <n v="40"/>
    <x v="0"/>
    <x v="2"/>
    <x v="2"/>
    <s v="Healthy"/>
    <n v="1"/>
    <n v="1"/>
    <n v="0"/>
    <n v="0"/>
    <n v="0"/>
    <n v="0"/>
    <x v="4"/>
    <n v="0"/>
  </r>
  <r>
    <s v="347"/>
    <n v="40"/>
    <x v="0"/>
    <x v="2"/>
    <x v="2"/>
    <s v="Healthy"/>
    <n v="1"/>
    <n v="1"/>
    <n v="0"/>
    <n v="0"/>
    <n v="0"/>
    <n v="0"/>
    <x v="4"/>
    <n v="0"/>
  </r>
  <r>
    <s v="348"/>
    <n v="40"/>
    <x v="0"/>
    <x v="2"/>
    <x v="2"/>
    <s v="Healthy"/>
    <n v="0"/>
    <n v="1"/>
    <n v="0"/>
    <n v="0"/>
    <n v="0"/>
    <n v="0"/>
    <x v="5"/>
    <n v="0"/>
  </r>
  <r>
    <s v="349"/>
    <n v="41"/>
    <x v="1"/>
    <x v="2"/>
    <x v="3"/>
    <s v="Healthy"/>
    <n v="1"/>
    <n v="1"/>
    <n v="0"/>
    <n v="0"/>
    <n v="0"/>
    <n v="0"/>
    <x v="4"/>
    <n v="0"/>
  </r>
  <r>
    <s v="350"/>
    <n v="41"/>
    <x v="1"/>
    <x v="2"/>
    <x v="3"/>
    <s v="Healthy"/>
    <n v="1"/>
    <n v="1"/>
    <n v="0"/>
    <n v="0"/>
    <n v="0"/>
    <n v="0"/>
    <x v="4"/>
    <n v="0"/>
  </r>
  <r>
    <s v="351"/>
    <n v="41"/>
    <x v="1"/>
    <x v="2"/>
    <x v="3"/>
    <s v="Healthy"/>
    <n v="1"/>
    <n v="1"/>
    <n v="0"/>
    <n v="0"/>
    <n v="0"/>
    <n v="0"/>
    <x v="4"/>
    <n v="0"/>
  </r>
  <r>
    <s v="352"/>
    <n v="41"/>
    <x v="0"/>
    <x v="2"/>
    <x v="3"/>
    <s v="Healthy"/>
    <n v="1"/>
    <n v="1"/>
    <n v="0"/>
    <n v="0"/>
    <n v="0"/>
    <n v="0"/>
    <x v="4"/>
    <n v="0"/>
  </r>
  <r>
    <s v="353"/>
    <n v="41"/>
    <x v="0"/>
    <x v="2"/>
    <x v="3"/>
    <s v="Healthy"/>
    <n v="1"/>
    <n v="1"/>
    <n v="0"/>
    <n v="0"/>
    <n v="0"/>
    <n v="0"/>
    <x v="4"/>
    <n v="0"/>
  </r>
  <r>
    <s v="354"/>
    <n v="41"/>
    <x v="0"/>
    <x v="2"/>
    <x v="3"/>
    <s v="Healthy"/>
    <n v="1"/>
    <n v="1"/>
    <n v="0"/>
    <n v="0"/>
    <n v="0"/>
    <n v="0"/>
    <x v="4"/>
    <n v="0"/>
  </r>
  <r>
    <s v="355"/>
    <n v="41"/>
    <x v="0"/>
    <x v="2"/>
    <x v="1"/>
    <s v="Healthy"/>
    <n v="1"/>
    <n v="1"/>
    <n v="0"/>
    <n v="0"/>
    <n v="0"/>
    <n v="0"/>
    <x v="4"/>
    <n v="0"/>
  </r>
  <r>
    <s v="356"/>
    <n v="42"/>
    <x v="1"/>
    <x v="2"/>
    <x v="2"/>
    <s v="Healthy"/>
    <n v="1"/>
    <n v="1"/>
    <n v="0"/>
    <n v="0"/>
    <n v="0"/>
    <n v="0"/>
    <x v="4"/>
    <n v="0"/>
  </r>
  <r>
    <s v="357"/>
    <n v="42"/>
    <x v="0"/>
    <x v="2"/>
    <x v="3"/>
    <s v="Healthy"/>
    <n v="1"/>
    <n v="1"/>
    <n v="0"/>
    <n v="0"/>
    <n v="0"/>
    <n v="0"/>
    <x v="4"/>
    <n v="0"/>
  </r>
  <r>
    <s v="358"/>
    <n v="42"/>
    <x v="0"/>
    <x v="2"/>
    <x v="3"/>
    <s v="Healthy"/>
    <n v="1"/>
    <n v="1"/>
    <n v="0"/>
    <n v="0"/>
    <n v="0"/>
    <n v="0"/>
    <x v="4"/>
    <n v="0"/>
  </r>
  <r>
    <s v="359"/>
    <n v="42"/>
    <x v="0"/>
    <x v="2"/>
    <x v="3"/>
    <s v="Healthy"/>
    <n v="1"/>
    <n v="1"/>
    <n v="0"/>
    <n v="0"/>
    <n v="0"/>
    <n v="0"/>
    <x v="4"/>
    <n v="0"/>
  </r>
  <r>
    <s v="360"/>
    <n v="42"/>
    <x v="0"/>
    <x v="2"/>
    <x v="2"/>
    <s v="Healthy"/>
    <n v="1"/>
    <n v="1"/>
    <n v="1"/>
    <n v="1"/>
    <n v="0"/>
    <n v="0"/>
    <x v="0"/>
    <n v="0"/>
  </r>
  <r>
    <s v="361"/>
    <n v="42"/>
    <x v="0"/>
    <x v="2"/>
    <x v="2"/>
    <s v="Healthy"/>
    <n v="1"/>
    <n v="1"/>
    <n v="0"/>
    <n v="0"/>
    <n v="0"/>
    <n v="0"/>
    <x v="4"/>
    <n v="0"/>
  </r>
  <r>
    <s v="362"/>
    <n v="42"/>
    <x v="0"/>
    <x v="2"/>
    <x v="1"/>
    <s v="Healthy"/>
    <n v="1"/>
    <n v="1"/>
    <n v="0"/>
    <n v="0"/>
    <n v="0"/>
    <n v="0"/>
    <x v="4"/>
    <n v="0"/>
  </r>
  <r>
    <s v="363"/>
    <n v="43"/>
    <x v="1"/>
    <x v="2"/>
    <x v="0"/>
    <s v="Healthy"/>
    <n v="1"/>
    <n v="1"/>
    <n v="0"/>
    <n v="0"/>
    <n v="0"/>
    <n v="0"/>
    <x v="4"/>
    <n v="0"/>
  </r>
  <r>
    <s v="364"/>
    <n v="43"/>
    <x v="1"/>
    <x v="2"/>
    <x v="3"/>
    <s v="Healthy"/>
    <n v="1"/>
    <n v="1"/>
    <n v="0"/>
    <n v="0"/>
    <n v="0"/>
    <n v="0"/>
    <x v="4"/>
    <n v="0"/>
  </r>
  <r>
    <s v="365"/>
    <n v="43"/>
    <x v="1"/>
    <x v="2"/>
    <x v="3"/>
    <s v="Healthy"/>
    <n v="1"/>
    <n v="1"/>
    <n v="0"/>
    <n v="0"/>
    <n v="0"/>
    <n v="0"/>
    <x v="4"/>
    <n v="0"/>
  </r>
  <r>
    <s v="366"/>
    <n v="43"/>
    <x v="1"/>
    <x v="2"/>
    <x v="3"/>
    <s v="Healthy"/>
    <n v="1"/>
    <n v="1"/>
    <n v="0"/>
    <n v="0"/>
    <n v="0"/>
    <n v="0"/>
    <x v="4"/>
    <n v="0"/>
  </r>
  <r>
    <s v="367"/>
    <n v="43"/>
    <x v="1"/>
    <x v="2"/>
    <x v="3"/>
    <s v="Healthy"/>
    <n v="1"/>
    <n v="1"/>
    <n v="0"/>
    <n v="0"/>
    <n v="0"/>
    <n v="0"/>
    <x v="4"/>
    <n v="0"/>
  </r>
  <r>
    <s v="368"/>
    <n v="43"/>
    <x v="1"/>
    <x v="2"/>
    <x v="3"/>
    <s v="Healthy"/>
    <n v="1"/>
    <n v="1"/>
    <n v="0"/>
    <n v="0"/>
    <n v="0"/>
    <n v="0"/>
    <x v="4"/>
    <n v="0"/>
  </r>
  <r>
    <s v="369"/>
    <n v="43"/>
    <x v="1"/>
    <x v="2"/>
    <x v="2"/>
    <s v="Healthy"/>
    <n v="0"/>
    <n v="1"/>
    <n v="0"/>
    <n v="0"/>
    <n v="0"/>
    <n v="0"/>
    <x v="5"/>
    <n v="0"/>
  </r>
  <r>
    <s v="370"/>
    <n v="43"/>
    <x v="0"/>
    <x v="2"/>
    <x v="3"/>
    <s v="Healthy"/>
    <n v="1"/>
    <n v="1"/>
    <n v="0"/>
    <n v="0"/>
    <n v="0"/>
    <n v="0"/>
    <x v="4"/>
    <n v="0"/>
  </r>
  <r>
    <s v="371"/>
    <n v="44"/>
    <x v="1"/>
    <x v="2"/>
    <x v="1"/>
    <s v="Healthy"/>
    <n v="1"/>
    <n v="1"/>
    <n v="0"/>
    <n v="0"/>
    <n v="0"/>
    <n v="0"/>
    <x v="4"/>
    <n v="0"/>
  </r>
  <r>
    <s v="372"/>
    <n v="44"/>
    <x v="0"/>
    <x v="2"/>
    <x v="3"/>
    <s v="Healthy"/>
    <n v="1"/>
    <n v="1"/>
    <n v="1"/>
    <n v="0"/>
    <n v="0"/>
    <n v="0"/>
    <x v="2"/>
    <n v="0"/>
  </r>
  <r>
    <s v="373"/>
    <n v="44"/>
    <x v="0"/>
    <x v="2"/>
    <x v="3"/>
    <s v="Healthy"/>
    <n v="1"/>
    <n v="1"/>
    <n v="0"/>
    <n v="0"/>
    <n v="0"/>
    <n v="0"/>
    <x v="4"/>
    <n v="0"/>
  </r>
  <r>
    <s v="374"/>
    <n v="44"/>
    <x v="0"/>
    <x v="2"/>
    <x v="1"/>
    <s v="Healthy"/>
    <n v="1"/>
    <n v="1"/>
    <n v="0"/>
    <n v="0"/>
    <n v="0"/>
    <n v="0"/>
    <x v="4"/>
    <n v="0"/>
  </r>
  <r>
    <s v="375"/>
    <n v="45"/>
    <x v="1"/>
    <x v="3"/>
    <x v="3"/>
    <s v="Healthy"/>
    <n v="1"/>
    <n v="1"/>
    <n v="0"/>
    <n v="0"/>
    <n v="0"/>
    <n v="0"/>
    <x v="4"/>
    <n v="0"/>
  </r>
  <r>
    <s v="376"/>
    <n v="45"/>
    <x v="1"/>
    <x v="3"/>
    <x v="3"/>
    <s v="Healthy"/>
    <n v="0"/>
    <n v="1"/>
    <n v="0"/>
    <n v="0"/>
    <n v="0"/>
    <n v="0"/>
    <x v="5"/>
    <n v="0"/>
  </r>
  <r>
    <s v="377"/>
    <n v="45"/>
    <x v="1"/>
    <x v="3"/>
    <x v="1"/>
    <s v="Healthy"/>
    <n v="1"/>
    <n v="1"/>
    <n v="0"/>
    <n v="0"/>
    <n v="0"/>
    <n v="0"/>
    <x v="4"/>
    <n v="0"/>
  </r>
  <r>
    <s v="378"/>
    <n v="45"/>
    <x v="0"/>
    <x v="3"/>
    <x v="3"/>
    <s v="Healthy"/>
    <n v="1"/>
    <n v="1"/>
    <n v="0"/>
    <n v="0"/>
    <n v="1"/>
    <n v="0"/>
    <x v="2"/>
    <n v="0"/>
  </r>
  <r>
    <s v="379"/>
    <n v="45"/>
    <x v="0"/>
    <x v="3"/>
    <x v="2"/>
    <s v="Healthy"/>
    <n v="0"/>
    <n v="1"/>
    <n v="0"/>
    <n v="0"/>
    <n v="0"/>
    <n v="0"/>
    <x v="5"/>
    <n v="0"/>
  </r>
  <r>
    <s v="380"/>
    <n v="45"/>
    <x v="0"/>
    <x v="3"/>
    <x v="1"/>
    <s v="Healthy"/>
    <n v="1"/>
    <n v="1"/>
    <n v="0"/>
    <n v="0"/>
    <n v="0"/>
    <n v="0"/>
    <x v="4"/>
    <n v="0"/>
  </r>
  <r>
    <s v="381"/>
    <n v="45"/>
    <x v="0"/>
    <x v="3"/>
    <x v="1"/>
    <s v="Healthy"/>
    <n v="1"/>
    <n v="1"/>
    <n v="0"/>
    <n v="0"/>
    <n v="0"/>
    <n v="0"/>
    <x v="4"/>
    <n v="0"/>
  </r>
  <r>
    <s v="382"/>
    <n v="46"/>
    <x v="1"/>
    <x v="3"/>
    <x v="1"/>
    <s v="Healthy"/>
    <n v="1"/>
    <n v="1"/>
    <n v="0"/>
    <n v="0"/>
    <n v="0"/>
    <n v="0"/>
    <x v="4"/>
    <n v="0"/>
  </r>
  <r>
    <s v="383"/>
    <n v="46"/>
    <x v="0"/>
    <x v="3"/>
    <x v="3"/>
    <s v="Healthy"/>
    <n v="1"/>
    <n v="1"/>
    <n v="0"/>
    <n v="1"/>
    <n v="0"/>
    <n v="0"/>
    <x v="2"/>
    <n v="0"/>
  </r>
  <r>
    <s v="384"/>
    <n v="46"/>
    <x v="0"/>
    <x v="3"/>
    <x v="2"/>
    <s v="Healthy"/>
    <n v="1"/>
    <n v="1"/>
    <n v="0"/>
    <n v="0"/>
    <n v="0"/>
    <n v="0"/>
    <x v="4"/>
    <n v="0"/>
  </r>
  <r>
    <s v="385"/>
    <n v="46"/>
    <x v="0"/>
    <x v="3"/>
    <x v="2"/>
    <s v="Healthy"/>
    <n v="1"/>
    <n v="1"/>
    <n v="0"/>
    <n v="0"/>
    <n v="0"/>
    <n v="0"/>
    <x v="4"/>
    <n v="0"/>
  </r>
  <r>
    <s v="386"/>
    <n v="46"/>
    <x v="0"/>
    <x v="3"/>
    <x v="1"/>
    <s v="Healthy"/>
    <n v="1"/>
    <n v="1"/>
    <n v="1"/>
    <n v="1"/>
    <n v="0"/>
    <n v="0"/>
    <x v="0"/>
    <n v="0"/>
  </r>
  <r>
    <s v="387"/>
    <n v="46"/>
    <x v="0"/>
    <x v="3"/>
    <x v="1"/>
    <s v="Healthy"/>
    <n v="1"/>
    <n v="1"/>
    <n v="0"/>
    <n v="0"/>
    <n v="0"/>
    <n v="0"/>
    <x v="4"/>
    <n v="0"/>
  </r>
  <r>
    <s v="388"/>
    <n v="46"/>
    <x v="0"/>
    <x v="3"/>
    <x v="1"/>
    <s v="Healthy"/>
    <n v="1"/>
    <n v="1"/>
    <n v="0"/>
    <n v="0"/>
    <n v="0"/>
    <n v="0"/>
    <x v="4"/>
    <n v="0"/>
  </r>
  <r>
    <s v="389"/>
    <n v="47"/>
    <x v="1"/>
    <x v="3"/>
    <x v="3"/>
    <s v="Healthy"/>
    <n v="1"/>
    <n v="1"/>
    <n v="1"/>
    <n v="0"/>
    <n v="0"/>
    <n v="0"/>
    <x v="2"/>
    <n v="0"/>
  </r>
  <r>
    <s v="390"/>
    <n v="47"/>
    <x v="1"/>
    <x v="3"/>
    <x v="2"/>
    <s v="Healthy"/>
    <n v="0"/>
    <n v="1"/>
    <n v="1"/>
    <n v="0"/>
    <n v="0"/>
    <n v="0"/>
    <x v="4"/>
    <n v="0"/>
  </r>
  <r>
    <s v="391"/>
    <n v="47"/>
    <x v="0"/>
    <x v="3"/>
    <x v="0"/>
    <s v="Healthy"/>
    <n v="1"/>
    <n v="1"/>
    <n v="0"/>
    <n v="0"/>
    <n v="0"/>
    <n v="0"/>
    <x v="4"/>
    <n v="0"/>
  </r>
  <r>
    <s v="392"/>
    <n v="47"/>
    <x v="0"/>
    <x v="3"/>
    <x v="3"/>
    <s v="Healthy"/>
    <n v="1"/>
    <n v="1"/>
    <n v="0"/>
    <n v="0"/>
    <n v="0"/>
    <n v="0"/>
    <x v="4"/>
    <n v="0"/>
  </r>
  <r>
    <s v="393"/>
    <n v="47"/>
    <x v="0"/>
    <x v="3"/>
    <x v="1"/>
    <s v="Healthy"/>
    <n v="1"/>
    <n v="1"/>
    <n v="0"/>
    <n v="1"/>
    <n v="1"/>
    <n v="0"/>
    <x v="0"/>
    <n v="0"/>
  </r>
  <r>
    <s v="394"/>
    <n v="48"/>
    <x v="1"/>
    <x v="3"/>
    <x v="3"/>
    <s v="Healthy"/>
    <n v="1"/>
    <n v="0"/>
    <n v="1"/>
    <n v="0"/>
    <n v="0"/>
    <n v="0"/>
    <x v="4"/>
    <n v="0"/>
  </r>
  <r>
    <s v="395"/>
    <n v="48"/>
    <x v="1"/>
    <x v="3"/>
    <x v="3"/>
    <s v="Healthy"/>
    <n v="0"/>
    <n v="1"/>
    <n v="0"/>
    <n v="0"/>
    <n v="1"/>
    <n v="0"/>
    <x v="4"/>
    <n v="0"/>
  </r>
  <r>
    <s v="396"/>
    <n v="48"/>
    <x v="1"/>
    <x v="3"/>
    <x v="3"/>
    <s v="Healthy"/>
    <n v="1"/>
    <n v="1"/>
    <n v="0"/>
    <n v="0"/>
    <n v="0"/>
    <n v="0"/>
    <x v="4"/>
    <n v="0"/>
  </r>
  <r>
    <s v="397"/>
    <n v="48"/>
    <x v="1"/>
    <x v="3"/>
    <x v="2"/>
    <s v="Healthy"/>
    <n v="1"/>
    <n v="1"/>
    <n v="0"/>
    <n v="0"/>
    <n v="0"/>
    <n v="0"/>
    <x v="4"/>
    <n v="0"/>
  </r>
  <r>
    <s v="398"/>
    <n v="48"/>
    <x v="1"/>
    <x v="3"/>
    <x v="1"/>
    <s v="Healthy"/>
    <n v="1"/>
    <n v="1"/>
    <n v="1"/>
    <n v="0"/>
    <n v="0"/>
    <n v="0"/>
    <x v="2"/>
    <n v="0"/>
  </r>
  <r>
    <s v="399"/>
    <n v="48"/>
    <x v="1"/>
    <x v="3"/>
    <x v="1"/>
    <s v="Healthy"/>
    <n v="1"/>
    <n v="1"/>
    <n v="0"/>
    <n v="0"/>
    <n v="0"/>
    <n v="0"/>
    <x v="4"/>
    <n v="0"/>
  </r>
  <r>
    <s v="400"/>
    <n v="48"/>
    <x v="1"/>
    <x v="3"/>
    <x v="1"/>
    <s v="Healthy"/>
    <n v="1"/>
    <n v="1"/>
    <n v="1"/>
    <n v="1"/>
    <n v="0"/>
    <n v="0"/>
    <x v="0"/>
    <n v="0"/>
  </r>
  <r>
    <s v="401"/>
    <n v="48"/>
    <x v="0"/>
    <x v="3"/>
    <x v="3"/>
    <s v="Healthy"/>
    <n v="0"/>
    <n v="1"/>
    <n v="0"/>
    <n v="0"/>
    <n v="0"/>
    <n v="0"/>
    <x v="5"/>
    <n v="0"/>
  </r>
  <r>
    <s v="402"/>
    <n v="48"/>
    <x v="0"/>
    <x v="3"/>
    <x v="3"/>
    <s v="Healthy"/>
    <n v="1"/>
    <n v="1"/>
    <n v="0"/>
    <n v="0"/>
    <n v="0"/>
    <n v="0"/>
    <x v="4"/>
    <n v="0"/>
  </r>
  <r>
    <s v="403"/>
    <n v="48"/>
    <x v="0"/>
    <x v="3"/>
    <x v="3"/>
    <s v="Healthy"/>
    <n v="1"/>
    <n v="1"/>
    <n v="0"/>
    <n v="0"/>
    <n v="0"/>
    <n v="0"/>
    <x v="4"/>
    <n v="0"/>
  </r>
  <r>
    <s v="404"/>
    <n v="48"/>
    <x v="0"/>
    <x v="3"/>
    <x v="2"/>
    <s v="Healthy"/>
    <n v="1"/>
    <n v="1"/>
    <n v="0"/>
    <n v="0"/>
    <n v="0"/>
    <n v="0"/>
    <x v="4"/>
    <n v="0"/>
  </r>
  <r>
    <s v="405"/>
    <n v="49"/>
    <x v="1"/>
    <x v="3"/>
    <x v="3"/>
    <s v="Healthy"/>
    <n v="0"/>
    <n v="1"/>
    <n v="0"/>
    <n v="0"/>
    <n v="0"/>
    <n v="0"/>
    <x v="5"/>
    <n v="0"/>
  </r>
  <r>
    <s v="406"/>
    <n v="49"/>
    <x v="1"/>
    <x v="3"/>
    <x v="3"/>
    <s v="Healthy"/>
    <n v="0"/>
    <n v="1"/>
    <n v="0"/>
    <n v="0"/>
    <n v="0"/>
    <n v="0"/>
    <x v="5"/>
    <n v="0"/>
  </r>
  <r>
    <s v="407"/>
    <n v="49"/>
    <x v="1"/>
    <x v="3"/>
    <x v="3"/>
    <s v="Healthy"/>
    <n v="1"/>
    <n v="1"/>
    <n v="0"/>
    <n v="0"/>
    <n v="0"/>
    <n v="0"/>
    <x v="4"/>
    <n v="0"/>
  </r>
  <r>
    <s v="408"/>
    <n v="49"/>
    <x v="1"/>
    <x v="3"/>
    <x v="2"/>
    <s v="Healthy"/>
    <n v="1"/>
    <n v="1"/>
    <n v="0"/>
    <n v="0"/>
    <n v="0"/>
    <n v="0"/>
    <x v="4"/>
    <n v="0"/>
  </r>
  <r>
    <s v="409"/>
    <n v="49"/>
    <x v="0"/>
    <x v="3"/>
    <x v="3"/>
    <s v="Healthy"/>
    <n v="1"/>
    <n v="1"/>
    <n v="0"/>
    <n v="0"/>
    <n v="0"/>
    <n v="0"/>
    <x v="4"/>
    <n v="0"/>
  </r>
  <r>
    <s v="410"/>
    <n v="49"/>
    <x v="0"/>
    <x v="3"/>
    <x v="2"/>
    <s v="Healthy"/>
    <n v="1"/>
    <n v="1"/>
    <n v="0"/>
    <n v="0"/>
    <n v="0"/>
    <n v="0"/>
    <x v="4"/>
    <n v="0"/>
  </r>
  <r>
    <s v="411"/>
    <n v="49"/>
    <x v="0"/>
    <x v="3"/>
    <x v="1"/>
    <s v="Healthy"/>
    <n v="1"/>
    <n v="1"/>
    <n v="1"/>
    <n v="0"/>
    <n v="0"/>
    <n v="0"/>
    <x v="2"/>
    <n v="0"/>
  </r>
  <r>
    <s v="412"/>
    <n v="49"/>
    <x v="0"/>
    <x v="3"/>
    <x v="1"/>
    <s v="Healthy"/>
    <n v="0"/>
    <n v="1"/>
    <n v="0"/>
    <n v="0"/>
    <n v="0"/>
    <n v="0"/>
    <x v="5"/>
    <n v="0"/>
  </r>
  <r>
    <s v="413"/>
    <n v="50"/>
    <x v="1"/>
    <x v="3"/>
    <x v="3"/>
    <s v="Healthy"/>
    <n v="1"/>
    <n v="1"/>
    <n v="0"/>
    <n v="0"/>
    <n v="0"/>
    <n v="0"/>
    <x v="4"/>
    <n v="0"/>
  </r>
  <r>
    <s v="414"/>
    <n v="50"/>
    <x v="1"/>
    <x v="3"/>
    <x v="1"/>
    <s v="Healthy"/>
    <n v="1"/>
    <n v="1"/>
    <n v="1"/>
    <n v="1"/>
    <n v="0"/>
    <n v="0"/>
    <x v="0"/>
    <n v="0"/>
  </r>
  <r>
    <s v="415"/>
    <n v="50"/>
    <x v="0"/>
    <x v="3"/>
    <x v="3"/>
    <s v="Healthy"/>
    <n v="1"/>
    <n v="1"/>
    <n v="0"/>
    <n v="0"/>
    <n v="0"/>
    <n v="0"/>
    <x v="4"/>
    <n v="0"/>
  </r>
  <r>
    <s v="416"/>
    <n v="50"/>
    <x v="0"/>
    <x v="3"/>
    <x v="3"/>
    <s v="Healthy"/>
    <n v="1"/>
    <n v="1"/>
    <n v="0"/>
    <n v="0"/>
    <n v="0"/>
    <n v="0"/>
    <x v="4"/>
    <n v="0"/>
  </r>
  <r>
    <s v="417"/>
    <n v="50"/>
    <x v="0"/>
    <x v="3"/>
    <x v="3"/>
    <s v="Healthy"/>
    <n v="1"/>
    <n v="1"/>
    <n v="0"/>
    <n v="0"/>
    <n v="0"/>
    <n v="0"/>
    <x v="4"/>
    <n v="0"/>
  </r>
  <r>
    <s v="418"/>
    <n v="50"/>
    <x v="0"/>
    <x v="3"/>
    <x v="1"/>
    <s v="Healthy"/>
    <n v="1"/>
    <n v="1"/>
    <n v="0"/>
    <n v="0"/>
    <n v="0"/>
    <n v="0"/>
    <x v="4"/>
    <n v="0"/>
  </r>
  <r>
    <s v="419"/>
    <n v="50"/>
    <x v="0"/>
    <x v="3"/>
    <x v="1"/>
    <s v="Healthy"/>
    <n v="1"/>
    <n v="1"/>
    <n v="0"/>
    <n v="1"/>
    <n v="0"/>
    <n v="0"/>
    <x v="2"/>
    <n v="0"/>
  </r>
  <r>
    <s v="420"/>
    <n v="51"/>
    <x v="1"/>
    <x v="3"/>
    <x v="3"/>
    <s v="Healthy"/>
    <n v="1"/>
    <n v="1"/>
    <n v="0"/>
    <n v="0"/>
    <n v="0"/>
    <n v="0"/>
    <x v="4"/>
    <n v="0"/>
  </r>
  <r>
    <s v="421"/>
    <n v="51"/>
    <x v="1"/>
    <x v="3"/>
    <x v="2"/>
    <s v="Healthy"/>
    <n v="1"/>
    <n v="1"/>
    <n v="0"/>
    <n v="0"/>
    <n v="0"/>
    <n v="0"/>
    <x v="4"/>
    <n v="0"/>
  </r>
  <r>
    <s v="422"/>
    <n v="51"/>
    <x v="1"/>
    <x v="3"/>
    <x v="2"/>
    <s v="Healthy"/>
    <n v="1"/>
    <n v="1"/>
    <n v="1"/>
    <n v="1"/>
    <n v="0"/>
    <n v="0"/>
    <x v="0"/>
    <n v="0"/>
  </r>
  <r>
    <s v="423"/>
    <n v="51"/>
    <x v="1"/>
    <x v="3"/>
    <x v="2"/>
    <s v="Healthy"/>
    <n v="1"/>
    <n v="1"/>
    <n v="1"/>
    <n v="0"/>
    <n v="0"/>
    <n v="0"/>
    <x v="2"/>
    <n v="0"/>
  </r>
  <r>
    <s v="424"/>
    <n v="51"/>
    <x v="0"/>
    <x v="3"/>
    <x v="3"/>
    <s v="Healthy"/>
    <n v="1"/>
    <n v="1"/>
    <n v="0"/>
    <n v="0"/>
    <n v="0"/>
    <n v="0"/>
    <x v="4"/>
    <n v="0"/>
  </r>
  <r>
    <s v="425"/>
    <n v="51"/>
    <x v="0"/>
    <x v="3"/>
    <x v="3"/>
    <s v="Healthy"/>
    <n v="1"/>
    <n v="1"/>
    <n v="0"/>
    <n v="0"/>
    <n v="0"/>
    <n v="0"/>
    <x v="4"/>
    <n v="0"/>
  </r>
  <r>
    <s v="426"/>
    <n v="51"/>
    <x v="0"/>
    <x v="3"/>
    <x v="1"/>
    <s v="Healthy"/>
    <n v="1"/>
    <n v="1"/>
    <n v="0"/>
    <n v="0"/>
    <n v="0"/>
    <n v="0"/>
    <x v="4"/>
    <n v="0"/>
  </r>
  <r>
    <s v="427"/>
    <n v="52"/>
    <x v="1"/>
    <x v="3"/>
    <x v="3"/>
    <s v="Healthy"/>
    <n v="1"/>
    <n v="1"/>
    <n v="0"/>
    <n v="0"/>
    <n v="0"/>
    <n v="0"/>
    <x v="4"/>
    <n v="0"/>
  </r>
  <r>
    <s v="428"/>
    <n v="52"/>
    <x v="1"/>
    <x v="3"/>
    <x v="3"/>
    <s v="Healthy"/>
    <n v="0"/>
    <n v="1"/>
    <n v="0"/>
    <n v="0"/>
    <n v="0"/>
    <n v="0"/>
    <x v="5"/>
    <n v="0"/>
  </r>
  <r>
    <s v="429"/>
    <n v="52"/>
    <x v="1"/>
    <x v="3"/>
    <x v="2"/>
    <s v="Healthy"/>
    <n v="1"/>
    <n v="1"/>
    <n v="0"/>
    <n v="0"/>
    <n v="0"/>
    <n v="0"/>
    <x v="4"/>
    <n v="0"/>
  </r>
  <r>
    <s v="430"/>
    <n v="52"/>
    <x v="1"/>
    <x v="3"/>
    <x v="1"/>
    <s v="Healthy"/>
    <n v="1"/>
    <n v="1"/>
    <n v="1"/>
    <n v="1"/>
    <n v="0"/>
    <n v="0"/>
    <x v="0"/>
    <n v="0"/>
  </r>
  <r>
    <s v="431"/>
    <n v="52"/>
    <x v="0"/>
    <x v="3"/>
    <x v="3"/>
    <s v="Healthy"/>
    <n v="1"/>
    <n v="1"/>
    <n v="0"/>
    <n v="0"/>
    <n v="0"/>
    <n v="0"/>
    <x v="4"/>
    <n v="0"/>
  </r>
  <r>
    <s v="432"/>
    <n v="52"/>
    <x v="0"/>
    <x v="3"/>
    <x v="3"/>
    <s v="Healthy"/>
    <n v="1"/>
    <n v="1"/>
    <n v="0"/>
    <n v="1"/>
    <n v="0"/>
    <n v="0"/>
    <x v="2"/>
    <n v="0"/>
  </r>
  <r>
    <s v="433"/>
    <n v="52"/>
    <x v="0"/>
    <x v="3"/>
    <x v="3"/>
    <s v="Healthy"/>
    <n v="1"/>
    <n v="1"/>
    <n v="0"/>
    <n v="0"/>
    <n v="0"/>
    <n v="0"/>
    <x v="4"/>
    <n v="0"/>
  </r>
  <r>
    <s v="434"/>
    <n v="52"/>
    <x v="0"/>
    <x v="3"/>
    <x v="2"/>
    <s v="Healthy"/>
    <n v="1"/>
    <n v="1"/>
    <n v="0"/>
    <n v="0"/>
    <n v="0"/>
    <n v="0"/>
    <x v="4"/>
    <n v="0"/>
  </r>
  <r>
    <s v="435"/>
    <n v="53"/>
    <x v="1"/>
    <x v="3"/>
    <x v="3"/>
    <s v="Healthy"/>
    <n v="1"/>
    <n v="1"/>
    <n v="0"/>
    <n v="0"/>
    <n v="0"/>
    <n v="0"/>
    <x v="4"/>
    <n v="0"/>
  </r>
  <r>
    <s v="436"/>
    <n v="53"/>
    <x v="1"/>
    <x v="3"/>
    <x v="3"/>
    <s v="Healthy"/>
    <n v="1"/>
    <n v="1"/>
    <n v="1"/>
    <n v="1"/>
    <n v="0"/>
    <n v="0"/>
    <x v="0"/>
    <n v="0"/>
  </r>
  <r>
    <s v="437"/>
    <n v="53"/>
    <x v="1"/>
    <x v="3"/>
    <x v="2"/>
    <s v="Healthy"/>
    <n v="1"/>
    <n v="1"/>
    <n v="0"/>
    <n v="0"/>
    <n v="0"/>
    <n v="0"/>
    <x v="4"/>
    <n v="0"/>
  </r>
  <r>
    <s v="438"/>
    <n v="53"/>
    <x v="0"/>
    <x v="3"/>
    <x v="3"/>
    <s v="Healthy"/>
    <n v="0"/>
    <n v="1"/>
    <n v="0"/>
    <n v="0"/>
    <n v="0"/>
    <n v="0"/>
    <x v="5"/>
    <n v="0"/>
  </r>
  <r>
    <s v="439"/>
    <n v="53"/>
    <x v="0"/>
    <x v="3"/>
    <x v="3"/>
    <s v="Healthy"/>
    <n v="1"/>
    <n v="1"/>
    <n v="0"/>
    <n v="0"/>
    <n v="0"/>
    <n v="0"/>
    <x v="4"/>
    <n v="0"/>
  </r>
  <r>
    <s v="440"/>
    <n v="53"/>
    <x v="0"/>
    <x v="3"/>
    <x v="2"/>
    <s v="Healthy"/>
    <n v="1"/>
    <n v="1"/>
    <n v="0"/>
    <n v="0"/>
    <n v="0"/>
    <n v="0"/>
    <x v="4"/>
    <n v="0"/>
  </r>
  <r>
    <s v="441"/>
    <n v="53"/>
    <x v="0"/>
    <x v="3"/>
    <x v="1"/>
    <s v="Healthy"/>
    <n v="1"/>
    <n v="1"/>
    <n v="1"/>
    <n v="1"/>
    <n v="0"/>
    <n v="0"/>
    <x v="0"/>
    <n v="0"/>
  </r>
  <r>
    <s v="442"/>
    <n v="53"/>
    <x v="0"/>
    <x v="3"/>
    <x v="1"/>
    <s v="Healthy"/>
    <n v="1"/>
    <n v="1"/>
    <n v="0"/>
    <n v="0"/>
    <n v="0"/>
    <n v="0"/>
    <x v="4"/>
    <n v="0"/>
  </r>
  <r>
    <s v="443"/>
    <n v="53"/>
    <x v="0"/>
    <x v="3"/>
    <x v="1"/>
    <s v="Healthy"/>
    <n v="1"/>
    <n v="1"/>
    <n v="0"/>
    <n v="0"/>
    <n v="0"/>
    <n v="0"/>
    <x v="4"/>
    <n v="0"/>
  </r>
  <r>
    <s v="444"/>
    <n v="54"/>
    <x v="1"/>
    <x v="3"/>
    <x v="3"/>
    <s v="Healthy"/>
    <n v="1"/>
    <n v="1"/>
    <n v="1"/>
    <n v="0"/>
    <n v="0"/>
    <n v="0"/>
    <x v="2"/>
    <n v="0"/>
  </r>
  <r>
    <s v="445"/>
    <n v="54"/>
    <x v="1"/>
    <x v="3"/>
    <x v="3"/>
    <s v="Healthy"/>
    <n v="1"/>
    <n v="1"/>
    <n v="0"/>
    <n v="0"/>
    <n v="1"/>
    <n v="0"/>
    <x v="2"/>
    <n v="0"/>
  </r>
  <r>
    <s v="446"/>
    <n v="54"/>
    <x v="1"/>
    <x v="3"/>
    <x v="3"/>
    <s v="Healthy"/>
    <n v="1"/>
    <n v="1"/>
    <n v="1"/>
    <n v="0"/>
    <n v="0"/>
    <n v="0"/>
    <x v="2"/>
    <n v="0"/>
  </r>
  <r>
    <s v="447"/>
    <n v="54"/>
    <x v="1"/>
    <x v="3"/>
    <x v="3"/>
    <s v="Healthy"/>
    <n v="1"/>
    <n v="1"/>
    <n v="0"/>
    <n v="0"/>
    <n v="0"/>
    <n v="0"/>
    <x v="4"/>
    <n v="0"/>
  </r>
  <r>
    <s v="448"/>
    <n v="54"/>
    <x v="1"/>
    <x v="3"/>
    <x v="3"/>
    <s v="Healthy"/>
    <n v="1"/>
    <n v="1"/>
    <n v="0"/>
    <n v="0"/>
    <n v="0"/>
    <n v="0"/>
    <x v="4"/>
    <n v="0"/>
  </r>
  <r>
    <s v="449"/>
    <n v="54"/>
    <x v="1"/>
    <x v="3"/>
    <x v="3"/>
    <s v="Healthy"/>
    <n v="1"/>
    <n v="1"/>
    <n v="0"/>
    <n v="0"/>
    <n v="0"/>
    <n v="0"/>
    <x v="4"/>
    <n v="0"/>
  </r>
  <r>
    <s v="450"/>
    <n v="54"/>
    <x v="1"/>
    <x v="3"/>
    <x v="3"/>
    <s v="Healthy"/>
    <n v="1"/>
    <n v="1"/>
    <n v="0"/>
    <n v="0"/>
    <n v="0"/>
    <n v="0"/>
    <x v="4"/>
    <n v="0"/>
  </r>
  <r>
    <s v="451"/>
    <n v="54"/>
    <x v="0"/>
    <x v="3"/>
    <x v="0"/>
    <s v="Healthy"/>
    <n v="1"/>
    <n v="1"/>
    <n v="1"/>
    <n v="0"/>
    <n v="0"/>
    <n v="0"/>
    <x v="2"/>
    <n v="0"/>
  </r>
  <r>
    <s v="452"/>
    <n v="54"/>
    <x v="0"/>
    <x v="3"/>
    <x v="3"/>
    <s v="Healthy"/>
    <n v="1"/>
    <n v="1"/>
    <n v="0"/>
    <n v="0"/>
    <n v="0"/>
    <n v="0"/>
    <x v="4"/>
    <n v="0"/>
  </r>
  <r>
    <s v="453"/>
    <n v="54"/>
    <x v="0"/>
    <x v="3"/>
    <x v="3"/>
    <s v="Healthy"/>
    <n v="1"/>
    <n v="1"/>
    <n v="0"/>
    <n v="0"/>
    <n v="0"/>
    <n v="0"/>
    <x v="4"/>
    <n v="0"/>
  </r>
  <r>
    <s v="454"/>
    <n v="54"/>
    <x v="0"/>
    <x v="3"/>
    <x v="3"/>
    <s v="Healthy"/>
    <n v="1"/>
    <n v="1"/>
    <n v="0"/>
    <n v="0"/>
    <n v="0"/>
    <n v="0"/>
    <x v="4"/>
    <n v="0"/>
  </r>
  <r>
    <s v="455"/>
    <n v="54"/>
    <x v="0"/>
    <x v="3"/>
    <x v="3"/>
    <s v="Healthy"/>
    <n v="1"/>
    <n v="1"/>
    <n v="1"/>
    <n v="0"/>
    <n v="0"/>
    <n v="0"/>
    <x v="2"/>
    <n v="0"/>
  </r>
  <r>
    <s v="456"/>
    <n v="54"/>
    <x v="0"/>
    <x v="3"/>
    <x v="3"/>
    <s v="Healthy"/>
    <n v="1"/>
    <n v="1"/>
    <n v="0"/>
    <n v="0"/>
    <n v="0"/>
    <n v="0"/>
    <x v="4"/>
    <n v="0"/>
  </r>
  <r>
    <s v="457"/>
    <n v="54"/>
    <x v="0"/>
    <x v="3"/>
    <x v="2"/>
    <s v="Healthy"/>
    <n v="1"/>
    <n v="1"/>
    <n v="0"/>
    <n v="0"/>
    <n v="0"/>
    <n v="0"/>
    <x v="4"/>
    <n v="0"/>
  </r>
  <r>
    <s v="458"/>
    <n v="54"/>
    <x v="0"/>
    <x v="3"/>
    <x v="2"/>
    <s v="Healthy"/>
    <n v="0"/>
    <n v="1"/>
    <n v="0"/>
    <n v="0"/>
    <n v="0"/>
    <n v="0"/>
    <x v="5"/>
    <n v="0"/>
  </r>
  <r>
    <s v="459"/>
    <n v="54"/>
    <x v="0"/>
    <x v="3"/>
    <x v="1"/>
    <s v="Healthy"/>
    <n v="1"/>
    <n v="1"/>
    <n v="1"/>
    <n v="0"/>
    <n v="0"/>
    <n v="0"/>
    <x v="2"/>
    <n v="0"/>
  </r>
  <r>
    <s v="460"/>
    <n v="55"/>
    <x v="1"/>
    <x v="0"/>
    <x v="3"/>
    <s v="Healthy"/>
    <n v="1"/>
    <n v="1"/>
    <n v="0"/>
    <n v="0"/>
    <n v="0"/>
    <n v="0"/>
    <x v="4"/>
    <n v="0"/>
  </r>
  <r>
    <s v="461"/>
    <n v="55"/>
    <x v="1"/>
    <x v="0"/>
    <x v="3"/>
    <s v="Healthy"/>
    <n v="1"/>
    <n v="1"/>
    <n v="0"/>
    <n v="0"/>
    <n v="0"/>
    <n v="0"/>
    <x v="4"/>
    <n v="0"/>
  </r>
  <r>
    <s v="462"/>
    <n v="55"/>
    <x v="1"/>
    <x v="0"/>
    <x v="3"/>
    <s v="Healthy"/>
    <n v="1"/>
    <n v="1"/>
    <n v="0"/>
    <n v="0"/>
    <n v="0"/>
    <n v="0"/>
    <x v="4"/>
    <n v="0"/>
  </r>
  <r>
    <s v="463"/>
    <n v="55"/>
    <x v="0"/>
    <x v="0"/>
    <x v="3"/>
    <s v="Healthy"/>
    <n v="1"/>
    <n v="1"/>
    <n v="0"/>
    <n v="0"/>
    <n v="1"/>
    <n v="0"/>
    <x v="2"/>
    <n v="0"/>
  </r>
  <r>
    <s v="464"/>
    <n v="55"/>
    <x v="0"/>
    <x v="0"/>
    <x v="3"/>
    <s v="Healthy"/>
    <n v="1"/>
    <n v="1"/>
    <n v="0"/>
    <n v="0"/>
    <n v="0"/>
    <n v="0"/>
    <x v="4"/>
    <n v="0"/>
  </r>
  <r>
    <s v="465"/>
    <n v="55"/>
    <x v="0"/>
    <x v="0"/>
    <x v="3"/>
    <s v="Healthy"/>
    <n v="1"/>
    <n v="1"/>
    <n v="0"/>
    <n v="0"/>
    <n v="0"/>
    <n v="0"/>
    <x v="4"/>
    <n v="0"/>
  </r>
  <r>
    <s v="466"/>
    <n v="55"/>
    <x v="0"/>
    <x v="0"/>
    <x v="2"/>
    <s v="Healthy"/>
    <n v="1"/>
    <n v="1"/>
    <n v="0"/>
    <n v="0"/>
    <n v="0"/>
    <n v="0"/>
    <x v="4"/>
    <n v="0"/>
  </r>
  <r>
    <s v="467"/>
    <n v="55"/>
    <x v="0"/>
    <x v="0"/>
    <x v="2"/>
    <s v="Healthy"/>
    <n v="1"/>
    <n v="1"/>
    <n v="0"/>
    <n v="0"/>
    <n v="0"/>
    <n v="0"/>
    <x v="4"/>
    <n v="0"/>
  </r>
  <r>
    <s v="468"/>
    <n v="55"/>
    <x v="0"/>
    <x v="0"/>
    <x v="1"/>
    <s v="Healthy"/>
    <n v="1"/>
    <n v="1"/>
    <n v="0"/>
    <n v="0"/>
    <n v="0"/>
    <n v="0"/>
    <x v="4"/>
    <n v="0"/>
  </r>
  <r>
    <s v="469"/>
    <n v="55"/>
    <x v="0"/>
    <x v="0"/>
    <x v="1"/>
    <s v="Healthy"/>
    <n v="1"/>
    <n v="1"/>
    <n v="1"/>
    <n v="1"/>
    <n v="0"/>
    <n v="0"/>
    <x v="0"/>
    <n v="0"/>
  </r>
  <r>
    <s v="470"/>
    <n v="56"/>
    <x v="1"/>
    <x v="0"/>
    <x v="2"/>
    <s v="Healthy"/>
    <n v="1"/>
    <n v="1"/>
    <n v="0"/>
    <n v="0"/>
    <n v="0"/>
    <n v="0"/>
    <x v="4"/>
    <n v="0"/>
  </r>
  <r>
    <s v="471"/>
    <n v="56"/>
    <x v="0"/>
    <x v="0"/>
    <x v="3"/>
    <s v="Healthy"/>
    <n v="1"/>
    <n v="1"/>
    <n v="0"/>
    <n v="0"/>
    <n v="0"/>
    <n v="0"/>
    <x v="4"/>
    <n v="0"/>
  </r>
  <r>
    <s v="472"/>
    <n v="56"/>
    <x v="0"/>
    <x v="0"/>
    <x v="2"/>
    <s v="Healthy"/>
    <n v="0"/>
    <n v="1"/>
    <n v="0"/>
    <n v="0"/>
    <n v="0"/>
    <n v="0"/>
    <x v="5"/>
    <n v="0"/>
  </r>
  <r>
    <s v="473"/>
    <n v="56"/>
    <x v="0"/>
    <x v="0"/>
    <x v="2"/>
    <s v="Healthy"/>
    <n v="1"/>
    <n v="1"/>
    <n v="1"/>
    <n v="1"/>
    <n v="0"/>
    <n v="0"/>
    <x v="0"/>
    <n v="0"/>
  </r>
  <r>
    <s v="474"/>
    <n v="56"/>
    <x v="0"/>
    <x v="0"/>
    <x v="1"/>
    <s v="Healthy"/>
    <n v="1"/>
    <n v="1"/>
    <n v="0"/>
    <n v="0"/>
    <n v="0"/>
    <n v="0"/>
    <x v="4"/>
    <n v="0"/>
  </r>
  <r>
    <s v="475"/>
    <n v="57"/>
    <x v="1"/>
    <x v="0"/>
    <x v="0"/>
    <s v="Healthy"/>
    <n v="1"/>
    <n v="1"/>
    <n v="1"/>
    <n v="0"/>
    <n v="0"/>
    <n v="0"/>
    <x v="2"/>
    <n v="0"/>
  </r>
  <r>
    <s v="476"/>
    <n v="57"/>
    <x v="1"/>
    <x v="0"/>
    <x v="1"/>
    <s v="Healthy"/>
    <n v="1"/>
    <n v="1"/>
    <n v="1"/>
    <n v="1"/>
    <n v="0"/>
    <n v="0"/>
    <x v="0"/>
    <n v="0"/>
  </r>
  <r>
    <s v="477"/>
    <n v="57"/>
    <x v="0"/>
    <x v="0"/>
    <x v="3"/>
    <s v="Healthy"/>
    <n v="1"/>
    <n v="1"/>
    <n v="0"/>
    <n v="0"/>
    <n v="1"/>
    <n v="0"/>
    <x v="2"/>
    <n v="0"/>
  </r>
  <r>
    <s v="478"/>
    <n v="58"/>
    <x v="0"/>
    <x v="0"/>
    <x v="3"/>
    <s v="Healthy"/>
    <n v="1"/>
    <n v="1"/>
    <n v="0"/>
    <n v="0"/>
    <n v="0"/>
    <n v="0"/>
    <x v="4"/>
    <n v="0"/>
  </r>
  <r>
    <s v="479"/>
    <n v="58"/>
    <x v="0"/>
    <x v="0"/>
    <x v="3"/>
    <s v="Healthy"/>
    <n v="1"/>
    <n v="1"/>
    <n v="0"/>
    <n v="0"/>
    <n v="0"/>
    <n v="0"/>
    <x v="4"/>
    <n v="0"/>
  </r>
  <r>
    <s v="480"/>
    <n v="58"/>
    <x v="0"/>
    <x v="0"/>
    <x v="2"/>
    <s v="Healthy"/>
    <n v="1"/>
    <n v="1"/>
    <n v="0"/>
    <n v="0"/>
    <n v="0"/>
    <n v="0"/>
    <x v="4"/>
    <n v="0"/>
  </r>
  <r>
    <s v="481"/>
    <n v="58"/>
    <x v="0"/>
    <x v="0"/>
    <x v="1"/>
    <s v="Healthy"/>
    <n v="1"/>
    <n v="1"/>
    <n v="0"/>
    <n v="0"/>
    <n v="0"/>
    <n v="0"/>
    <x v="4"/>
    <n v="0"/>
  </r>
  <r>
    <s v="482"/>
    <n v="59"/>
    <x v="1"/>
    <x v="0"/>
    <x v="3"/>
    <s v="Healthy"/>
    <n v="1"/>
    <n v="1"/>
    <n v="1"/>
    <n v="0"/>
    <n v="0"/>
    <n v="0"/>
    <x v="2"/>
    <n v="0"/>
  </r>
  <r>
    <s v="483"/>
    <n v="59"/>
    <x v="0"/>
    <x v="0"/>
    <x v="3"/>
    <s v="Healthy"/>
    <n v="1"/>
    <n v="1"/>
    <n v="0"/>
    <n v="0"/>
    <n v="0"/>
    <n v="0"/>
    <x v="4"/>
    <n v="0"/>
  </r>
  <r>
    <s v="484"/>
    <n v="59"/>
    <x v="0"/>
    <x v="0"/>
    <x v="2"/>
    <s v="Healthy"/>
    <n v="1"/>
    <n v="1"/>
    <n v="1"/>
    <n v="1"/>
    <n v="0"/>
    <n v="0"/>
    <x v="0"/>
    <n v="0"/>
  </r>
  <r>
    <s v="485"/>
    <n v="59"/>
    <x v="0"/>
    <x v="0"/>
    <x v="2"/>
    <s v="Healthy"/>
    <n v="1"/>
    <n v="1"/>
    <n v="0"/>
    <n v="0"/>
    <n v="0"/>
    <n v="0"/>
    <x v="4"/>
    <n v="0"/>
  </r>
  <r>
    <s v="486"/>
    <n v="59"/>
    <x v="0"/>
    <x v="0"/>
    <x v="1"/>
    <s v="Healthy"/>
    <n v="0"/>
    <n v="1"/>
    <n v="0"/>
    <n v="0"/>
    <n v="0"/>
    <n v="0"/>
    <x v="5"/>
    <n v="0"/>
  </r>
  <r>
    <s v="487"/>
    <n v="60"/>
    <x v="0"/>
    <x v="0"/>
    <x v="2"/>
    <s v="Healthy"/>
    <n v="1"/>
    <n v="1"/>
    <n v="0"/>
    <n v="0"/>
    <n v="0"/>
    <n v="0"/>
    <x v="4"/>
    <n v="0"/>
  </r>
  <r>
    <s v="488"/>
    <n v="61"/>
    <x v="1"/>
    <x v="0"/>
    <x v="1"/>
    <s v="Healthy"/>
    <n v="1"/>
    <n v="1"/>
    <n v="1"/>
    <n v="1"/>
    <n v="0"/>
    <n v="0"/>
    <x v="0"/>
    <n v="0"/>
  </r>
  <r>
    <s v="489"/>
    <n v="61"/>
    <x v="0"/>
    <x v="0"/>
    <x v="1"/>
    <s v="Healthy"/>
    <n v="1"/>
    <n v="1"/>
    <n v="0"/>
    <n v="1"/>
    <n v="0"/>
    <n v="0"/>
    <x v="2"/>
    <n v="0"/>
  </r>
  <r>
    <s v="490"/>
    <n v="62"/>
    <x v="1"/>
    <x v="0"/>
    <x v="0"/>
    <s v="Healthy"/>
    <n v="1"/>
    <n v="1"/>
    <n v="0"/>
    <n v="0"/>
    <n v="0"/>
    <n v="0"/>
    <x v="4"/>
    <n v="0"/>
  </r>
  <r>
    <s v="491"/>
    <n v="62"/>
    <x v="0"/>
    <x v="0"/>
    <x v="3"/>
    <s v="Healthy"/>
    <n v="1"/>
    <n v="1"/>
    <n v="1"/>
    <n v="0"/>
    <n v="0"/>
    <n v="0"/>
    <x v="2"/>
    <n v="0"/>
  </r>
  <r>
    <s v="492"/>
    <n v="31"/>
    <x v="0"/>
    <x v="2"/>
    <x v="1"/>
    <s v="Diseased"/>
    <n v="1"/>
    <n v="1"/>
    <n v="1"/>
    <n v="1"/>
    <n v="0"/>
    <n v="0"/>
    <x v="0"/>
    <n v="1"/>
  </r>
  <r>
    <s v="493"/>
    <n v="33"/>
    <x v="1"/>
    <x v="2"/>
    <x v="1"/>
    <s v="Diseased"/>
    <n v="1"/>
    <n v="1"/>
    <n v="1"/>
    <n v="1"/>
    <n v="0"/>
    <n v="0"/>
    <x v="0"/>
    <n v="1"/>
  </r>
  <r>
    <s v="494"/>
    <n v="34"/>
    <x v="0"/>
    <x v="2"/>
    <x v="0"/>
    <s v="Diseased"/>
    <n v="1"/>
    <n v="1"/>
    <n v="0"/>
    <n v="0"/>
    <n v="0"/>
    <n v="0"/>
    <x v="4"/>
    <n v="1"/>
  </r>
  <r>
    <s v="495"/>
    <n v="35"/>
    <x v="0"/>
    <x v="2"/>
    <x v="3"/>
    <s v="Diseased"/>
    <n v="1"/>
    <n v="1"/>
    <n v="0"/>
    <n v="0"/>
    <n v="0"/>
    <n v="0"/>
    <x v="4"/>
    <n v="1"/>
  </r>
  <r>
    <s v="496"/>
    <n v="36"/>
    <x v="0"/>
    <x v="2"/>
    <x v="3"/>
    <s v="Diseased"/>
    <n v="1"/>
    <n v="1"/>
    <n v="1"/>
    <n v="0"/>
    <n v="0"/>
    <n v="0"/>
    <x v="2"/>
    <n v="1"/>
  </r>
  <r>
    <s v="497"/>
    <n v="37"/>
    <x v="0"/>
    <x v="2"/>
    <x v="1"/>
    <s v="Diseased"/>
    <n v="1"/>
    <n v="1"/>
    <n v="1"/>
    <n v="1"/>
    <n v="0"/>
    <n v="0"/>
    <x v="0"/>
    <n v="1"/>
  </r>
  <r>
    <s v="498"/>
    <n v="38"/>
    <x v="0"/>
    <x v="2"/>
    <x v="1"/>
    <s v="Diseased"/>
    <n v="1"/>
    <n v="1"/>
    <n v="0"/>
    <n v="0"/>
    <n v="0"/>
    <n v="0"/>
    <x v="4"/>
    <n v="1"/>
  </r>
  <r>
    <s v="499"/>
    <n v="38"/>
    <x v="0"/>
    <x v="2"/>
    <x v="1"/>
    <s v="Diseased"/>
    <n v="1"/>
    <n v="1"/>
    <n v="0"/>
    <n v="0"/>
    <n v="0"/>
    <n v="0"/>
    <x v="4"/>
    <n v="1"/>
  </r>
  <r>
    <s v="500"/>
    <n v="38"/>
    <x v="0"/>
    <x v="2"/>
    <x v="1"/>
    <s v="Diseased"/>
    <n v="1"/>
    <n v="1"/>
    <n v="1"/>
    <n v="1"/>
    <n v="0"/>
    <n v="0"/>
    <x v="0"/>
    <n v="1"/>
  </r>
  <r>
    <s v="501"/>
    <n v="40"/>
    <x v="0"/>
    <x v="2"/>
    <x v="1"/>
    <s v="Diseased"/>
    <n v="1"/>
    <n v="1"/>
    <n v="1"/>
    <n v="1"/>
    <n v="0"/>
    <n v="0"/>
    <x v="0"/>
    <n v="1"/>
  </r>
  <r>
    <s v="502"/>
    <n v="41"/>
    <x v="0"/>
    <x v="2"/>
    <x v="1"/>
    <s v="Diseased"/>
    <n v="1"/>
    <n v="1"/>
    <n v="0"/>
    <n v="0"/>
    <n v="0"/>
    <n v="0"/>
    <x v="4"/>
    <n v="1"/>
  </r>
  <r>
    <s v="503"/>
    <n v="41"/>
    <x v="0"/>
    <x v="2"/>
    <x v="1"/>
    <s v="Diseased"/>
    <n v="1"/>
    <n v="1"/>
    <n v="1"/>
    <n v="1"/>
    <n v="0"/>
    <n v="0"/>
    <x v="0"/>
    <n v="1"/>
  </r>
  <r>
    <s v="504"/>
    <n v="43"/>
    <x v="0"/>
    <x v="2"/>
    <x v="1"/>
    <s v="Diseased"/>
    <n v="1"/>
    <n v="1"/>
    <n v="1"/>
    <n v="1"/>
    <n v="0"/>
    <n v="0"/>
    <x v="0"/>
    <n v="1"/>
  </r>
  <r>
    <s v="505"/>
    <n v="46"/>
    <x v="0"/>
    <x v="3"/>
    <x v="1"/>
    <s v="Diseased"/>
    <n v="1"/>
    <n v="1"/>
    <n v="0"/>
    <n v="1"/>
    <n v="0"/>
    <n v="0"/>
    <x v="2"/>
    <n v="1"/>
  </r>
  <r>
    <s v="506"/>
    <n v="46"/>
    <x v="0"/>
    <x v="3"/>
    <x v="1"/>
    <s v="Diseased"/>
    <n v="1"/>
    <n v="1"/>
    <n v="0"/>
    <n v="0"/>
    <n v="0"/>
    <n v="0"/>
    <x v="4"/>
    <n v="1"/>
  </r>
  <r>
    <s v="507"/>
    <n v="46"/>
    <x v="0"/>
    <x v="3"/>
    <x v="1"/>
    <s v="Diseased"/>
    <n v="1"/>
    <n v="1"/>
    <n v="1"/>
    <n v="1"/>
    <n v="0"/>
    <n v="0"/>
    <x v="0"/>
    <n v="1"/>
  </r>
  <r>
    <s v="508"/>
    <n v="47"/>
    <x v="0"/>
    <x v="3"/>
    <x v="2"/>
    <s v="Diseased"/>
    <n v="1"/>
    <n v="1"/>
    <n v="1"/>
    <n v="1"/>
    <n v="0"/>
    <n v="0"/>
    <x v="0"/>
    <n v="1"/>
  </r>
  <r>
    <s v="509"/>
    <n v="47"/>
    <x v="0"/>
    <x v="3"/>
    <x v="1"/>
    <s v="Diseased"/>
    <n v="1"/>
    <n v="1"/>
    <n v="1"/>
    <n v="1"/>
    <n v="0"/>
    <n v="0"/>
    <x v="0"/>
    <n v="1"/>
  </r>
  <r>
    <s v="510"/>
    <n v="48"/>
    <x v="0"/>
    <x v="3"/>
    <x v="1"/>
    <s v="Diseased"/>
    <n v="1"/>
    <n v="1"/>
    <n v="0"/>
    <n v="0"/>
    <n v="1"/>
    <n v="0"/>
    <x v="2"/>
    <n v="1"/>
  </r>
  <r>
    <s v="511"/>
    <n v="48"/>
    <x v="0"/>
    <x v="3"/>
    <x v="1"/>
    <s v="Diseased"/>
    <n v="1"/>
    <n v="1"/>
    <n v="1"/>
    <n v="0"/>
    <n v="0"/>
    <n v="0"/>
    <x v="2"/>
    <n v="1"/>
  </r>
  <r>
    <s v="512"/>
    <n v="48"/>
    <x v="0"/>
    <x v="3"/>
    <x v="1"/>
    <s v="Diseased"/>
    <n v="1"/>
    <n v="1"/>
    <n v="1"/>
    <n v="1"/>
    <n v="0"/>
    <n v="0"/>
    <x v="0"/>
    <n v="1"/>
  </r>
  <r>
    <s v="513"/>
    <n v="49"/>
    <x v="1"/>
    <x v="3"/>
    <x v="2"/>
    <s v="Diseased"/>
    <n v="1"/>
    <n v="1"/>
    <n v="1"/>
    <n v="0"/>
    <n v="0"/>
    <n v="0"/>
    <x v="2"/>
    <n v="1"/>
  </r>
  <r>
    <s v="514"/>
    <n v="49"/>
    <x v="0"/>
    <x v="3"/>
    <x v="2"/>
    <s v="Diseased"/>
    <n v="1"/>
    <n v="1"/>
    <n v="0"/>
    <n v="0"/>
    <n v="0"/>
    <n v="0"/>
    <x v="4"/>
    <n v="1"/>
  </r>
  <r>
    <s v="515"/>
    <n v="49"/>
    <x v="0"/>
    <x v="3"/>
    <x v="1"/>
    <s v="Diseased"/>
    <n v="1"/>
    <n v="1"/>
    <n v="0"/>
    <n v="0"/>
    <n v="0"/>
    <n v="0"/>
    <x v="4"/>
    <n v="1"/>
  </r>
  <r>
    <s v="516"/>
    <n v="50"/>
    <x v="1"/>
    <x v="3"/>
    <x v="2"/>
    <s v="Diseased"/>
    <n v="1"/>
    <n v="1"/>
    <n v="0"/>
    <n v="1"/>
    <n v="0"/>
    <n v="0"/>
    <x v="2"/>
    <n v="1"/>
  </r>
  <r>
    <s v="517"/>
    <n v="50"/>
    <x v="0"/>
    <x v="3"/>
    <x v="1"/>
    <s v="Diseased"/>
    <n v="1"/>
    <n v="1"/>
    <n v="0"/>
    <n v="0"/>
    <n v="0"/>
    <n v="0"/>
    <x v="4"/>
    <n v="1"/>
  </r>
  <r>
    <s v="518"/>
    <n v="51"/>
    <x v="1"/>
    <x v="3"/>
    <x v="1"/>
    <s v="Diseased"/>
    <n v="1"/>
    <n v="1"/>
    <n v="1"/>
    <n v="1"/>
    <n v="0"/>
    <n v="0"/>
    <x v="0"/>
    <n v="1"/>
  </r>
  <r>
    <s v="519"/>
    <n v="52"/>
    <x v="0"/>
    <x v="3"/>
    <x v="1"/>
    <s v="Diseased"/>
    <n v="1"/>
    <n v="1"/>
    <n v="1"/>
    <n v="1"/>
    <n v="0"/>
    <n v="0"/>
    <x v="0"/>
    <n v="1"/>
  </r>
  <r>
    <s v="520"/>
    <n v="54"/>
    <x v="0"/>
    <x v="3"/>
    <x v="1"/>
    <s v="Diseased"/>
    <n v="1"/>
    <n v="1"/>
    <n v="0"/>
    <n v="0"/>
    <n v="0"/>
    <n v="0"/>
    <x v="4"/>
    <n v="1"/>
  </r>
  <r>
    <s v="521"/>
    <n v="54"/>
    <x v="0"/>
    <x v="3"/>
    <x v="1"/>
    <s v="Diseased"/>
    <n v="1"/>
    <n v="1"/>
    <n v="1"/>
    <n v="0"/>
    <n v="0"/>
    <n v="0"/>
    <x v="2"/>
    <n v="1"/>
  </r>
  <r>
    <s v="522"/>
    <n v="55"/>
    <x v="0"/>
    <x v="0"/>
    <x v="1"/>
    <s v="Diseased"/>
    <n v="1"/>
    <n v="1"/>
    <n v="1"/>
    <n v="1"/>
    <n v="0"/>
    <n v="0"/>
    <x v="0"/>
    <n v="1"/>
  </r>
  <r>
    <s v="523"/>
    <n v="57"/>
    <x v="0"/>
    <x v="0"/>
    <x v="3"/>
    <s v="Diseased"/>
    <n v="1"/>
    <n v="1"/>
    <n v="1"/>
    <n v="1"/>
    <n v="0"/>
    <n v="0"/>
    <x v="0"/>
    <n v="1"/>
  </r>
  <r>
    <s v="524"/>
    <n v="58"/>
    <x v="0"/>
    <x v="0"/>
    <x v="2"/>
    <s v="Diseased"/>
    <n v="1"/>
    <n v="1"/>
    <n v="0"/>
    <n v="0"/>
    <n v="0"/>
    <n v="0"/>
    <x v="4"/>
    <n v="1"/>
  </r>
  <r>
    <s v="525"/>
    <n v="59"/>
    <x v="1"/>
    <x v="0"/>
    <x v="1"/>
    <s v="Diseased"/>
    <n v="1"/>
    <n v="1"/>
    <n v="1"/>
    <n v="1"/>
    <n v="1"/>
    <n v="0"/>
    <x v="1"/>
    <n v="1"/>
  </r>
  <r>
    <s v="526"/>
    <n v="60"/>
    <x v="0"/>
    <x v="0"/>
    <x v="1"/>
    <s v="Diseased"/>
    <n v="1"/>
    <n v="1"/>
    <n v="1"/>
    <n v="0"/>
    <n v="0"/>
    <n v="0"/>
    <x v="2"/>
    <n v="1"/>
  </r>
  <r>
    <s v="527"/>
    <n v="63"/>
    <x v="0"/>
    <x v="0"/>
    <x v="1"/>
    <s v="Diseased"/>
    <n v="1"/>
    <n v="1"/>
    <n v="0"/>
    <n v="0"/>
    <n v="0"/>
    <n v="0"/>
    <x v="4"/>
    <n v="1"/>
  </r>
  <r>
    <s v="528"/>
    <n v="65"/>
    <x v="0"/>
    <x v="1"/>
    <x v="1"/>
    <s v="Diseased"/>
    <n v="1"/>
    <n v="1"/>
    <n v="1"/>
    <n v="1"/>
    <n v="1"/>
    <n v="0"/>
    <x v="1"/>
    <n v="1"/>
  </r>
  <r>
    <s v="529"/>
    <n v="32"/>
    <x v="0"/>
    <x v="2"/>
    <x v="1"/>
    <s v="Diseased"/>
    <n v="1"/>
    <n v="1"/>
    <n v="0"/>
    <n v="0"/>
    <n v="0"/>
    <n v="0"/>
    <x v="4"/>
    <n v="1"/>
  </r>
  <r>
    <s v="530"/>
    <n v="38"/>
    <x v="0"/>
    <x v="2"/>
    <x v="1"/>
    <s v="Diseased"/>
    <n v="0"/>
    <n v="1"/>
    <n v="1"/>
    <n v="1"/>
    <n v="0"/>
    <n v="0"/>
    <x v="2"/>
    <n v="1"/>
  </r>
  <r>
    <s v="531"/>
    <n v="39"/>
    <x v="0"/>
    <x v="2"/>
    <x v="1"/>
    <s v="Diseased"/>
    <n v="1"/>
    <n v="1"/>
    <n v="0"/>
    <n v="0"/>
    <n v="0"/>
    <n v="0"/>
    <x v="4"/>
    <n v="1"/>
  </r>
  <r>
    <s v="532"/>
    <n v="40"/>
    <x v="1"/>
    <x v="2"/>
    <x v="1"/>
    <s v="Diseased"/>
    <n v="1"/>
    <n v="1"/>
    <n v="1"/>
    <n v="0"/>
    <n v="0"/>
    <n v="0"/>
    <x v="2"/>
    <n v="1"/>
  </r>
  <r>
    <s v="533"/>
    <n v="43"/>
    <x v="0"/>
    <x v="2"/>
    <x v="0"/>
    <s v="Diseased"/>
    <n v="1"/>
    <n v="1"/>
    <n v="0"/>
    <n v="0"/>
    <n v="0"/>
    <n v="0"/>
    <x v="4"/>
    <n v="1"/>
  </r>
  <r>
    <s v="534"/>
    <n v="45"/>
    <x v="0"/>
    <x v="3"/>
    <x v="1"/>
    <s v="Diseased"/>
    <n v="1"/>
    <n v="1"/>
    <n v="1"/>
    <n v="1"/>
    <n v="0"/>
    <n v="0"/>
    <x v="0"/>
    <n v="1"/>
  </r>
  <r>
    <s v="535"/>
    <n v="46"/>
    <x v="0"/>
    <x v="3"/>
    <x v="1"/>
    <s v="Diseased"/>
    <n v="1"/>
    <n v="1"/>
    <n v="0"/>
    <n v="1"/>
    <n v="0"/>
    <n v="0"/>
    <x v="2"/>
    <n v="1"/>
  </r>
  <r>
    <s v="536"/>
    <n v="46"/>
    <x v="0"/>
    <x v="3"/>
    <x v="1"/>
    <s v="Diseased"/>
    <n v="1"/>
    <n v="1"/>
    <n v="0"/>
    <n v="0"/>
    <n v="0"/>
    <n v="0"/>
    <x v="4"/>
    <n v="1"/>
  </r>
  <r>
    <s v="537"/>
    <n v="48"/>
    <x v="0"/>
    <x v="3"/>
    <x v="1"/>
    <s v="Diseased"/>
    <n v="1"/>
    <n v="1"/>
    <n v="1"/>
    <n v="1"/>
    <n v="1"/>
    <n v="0"/>
    <x v="1"/>
    <n v="1"/>
  </r>
  <r>
    <s v="538"/>
    <n v="48"/>
    <x v="0"/>
    <x v="3"/>
    <x v="1"/>
    <s v="Diseased"/>
    <n v="1"/>
    <n v="1"/>
    <n v="1"/>
    <n v="1"/>
    <n v="0"/>
    <n v="0"/>
    <x v="0"/>
    <n v="1"/>
  </r>
  <r>
    <s v="539"/>
    <n v="48"/>
    <x v="0"/>
    <x v="3"/>
    <x v="1"/>
    <s v="Diseased"/>
    <n v="1"/>
    <n v="1"/>
    <n v="1"/>
    <n v="1"/>
    <n v="0"/>
    <n v="0"/>
    <x v="0"/>
    <n v="1"/>
  </r>
  <r>
    <s v="540"/>
    <n v="48"/>
    <x v="0"/>
    <x v="3"/>
    <x v="1"/>
    <s v="Diseased"/>
    <n v="1"/>
    <n v="1"/>
    <n v="1"/>
    <n v="1"/>
    <n v="0"/>
    <n v="0"/>
    <x v="0"/>
    <n v="1"/>
  </r>
  <r>
    <s v="541"/>
    <n v="50"/>
    <x v="0"/>
    <x v="3"/>
    <x v="1"/>
    <s v="Diseased"/>
    <n v="1"/>
    <n v="1"/>
    <n v="1"/>
    <n v="1"/>
    <n v="0"/>
    <n v="0"/>
    <x v="0"/>
    <n v="1"/>
  </r>
  <r>
    <s v="542"/>
    <n v="52"/>
    <x v="0"/>
    <x v="3"/>
    <x v="1"/>
    <s v="Diseased"/>
    <n v="1"/>
    <n v="1"/>
    <n v="0"/>
    <n v="0"/>
    <n v="0"/>
    <n v="0"/>
    <x v="4"/>
    <n v="1"/>
  </r>
  <r>
    <s v="543"/>
    <n v="52"/>
    <x v="0"/>
    <x v="3"/>
    <x v="1"/>
    <s v="Diseased"/>
    <n v="0"/>
    <n v="1"/>
    <n v="1"/>
    <n v="1"/>
    <n v="0"/>
    <n v="0"/>
    <x v="2"/>
    <n v="1"/>
  </r>
  <r>
    <s v="544"/>
    <n v="53"/>
    <x v="0"/>
    <x v="3"/>
    <x v="1"/>
    <s v="Diseased"/>
    <n v="1"/>
    <n v="1"/>
    <n v="0"/>
    <n v="1"/>
    <n v="0"/>
    <n v="0"/>
    <x v="2"/>
    <n v="1"/>
  </r>
  <r>
    <s v="545"/>
    <n v="54"/>
    <x v="0"/>
    <x v="3"/>
    <x v="2"/>
    <s v="Diseased"/>
    <n v="1"/>
    <n v="1"/>
    <n v="1"/>
    <n v="1"/>
    <n v="0"/>
    <n v="0"/>
    <x v="0"/>
    <n v="1"/>
  </r>
  <r>
    <s v="546"/>
    <n v="54"/>
    <x v="0"/>
    <x v="3"/>
    <x v="1"/>
    <s v="Diseased"/>
    <n v="1"/>
    <n v="1"/>
    <n v="1"/>
    <n v="1"/>
    <n v="0"/>
    <n v="0"/>
    <x v="0"/>
    <n v="1"/>
  </r>
  <r>
    <s v="547"/>
    <n v="54"/>
    <x v="0"/>
    <x v="3"/>
    <x v="1"/>
    <s v="Diseased"/>
    <n v="1"/>
    <n v="1"/>
    <n v="1"/>
    <n v="1"/>
    <n v="1"/>
    <n v="0"/>
    <x v="1"/>
    <n v="1"/>
  </r>
  <r>
    <s v="548"/>
    <n v="54"/>
    <x v="0"/>
    <x v="3"/>
    <x v="1"/>
    <s v="Diseased"/>
    <n v="0"/>
    <n v="1"/>
    <n v="0"/>
    <n v="1"/>
    <n v="0"/>
    <n v="0"/>
    <x v="4"/>
    <n v="1"/>
  </r>
  <r>
    <s v="549"/>
    <n v="54"/>
    <x v="0"/>
    <x v="3"/>
    <x v="1"/>
    <s v="Diseased"/>
    <n v="1"/>
    <n v="1"/>
    <n v="1"/>
    <n v="1"/>
    <n v="0"/>
    <n v="0"/>
    <x v="0"/>
    <n v="1"/>
  </r>
  <r>
    <s v="550"/>
    <n v="55"/>
    <x v="0"/>
    <x v="0"/>
    <x v="1"/>
    <s v="Diseased"/>
    <n v="1"/>
    <n v="1"/>
    <n v="1"/>
    <n v="1"/>
    <n v="0"/>
    <n v="0"/>
    <x v="0"/>
    <n v="1"/>
  </r>
  <r>
    <s v="551"/>
    <n v="56"/>
    <x v="0"/>
    <x v="0"/>
    <x v="1"/>
    <s v="Diseased"/>
    <n v="1"/>
    <n v="1"/>
    <n v="1"/>
    <n v="1"/>
    <n v="1"/>
    <n v="0"/>
    <x v="1"/>
    <n v="1"/>
  </r>
  <r>
    <s v="552"/>
    <n v="57"/>
    <x v="0"/>
    <x v="0"/>
    <x v="1"/>
    <s v="Diseased"/>
    <n v="1"/>
    <n v="1"/>
    <n v="1"/>
    <n v="1"/>
    <n v="0"/>
    <n v="0"/>
    <x v="0"/>
    <n v="1"/>
  </r>
  <r>
    <s v="553"/>
    <n v="58"/>
    <x v="0"/>
    <x v="0"/>
    <x v="2"/>
    <s v="Diseased"/>
    <n v="1"/>
    <n v="1"/>
    <n v="0"/>
    <n v="0"/>
    <n v="1"/>
    <n v="0"/>
    <x v="2"/>
    <n v="1"/>
  </r>
  <r>
    <s v="554"/>
    <n v="58"/>
    <x v="0"/>
    <x v="0"/>
    <x v="1"/>
    <s v="Diseased"/>
    <n v="1"/>
    <n v="1"/>
    <n v="1"/>
    <n v="1"/>
    <n v="0"/>
    <n v="0"/>
    <x v="0"/>
    <n v="1"/>
  </r>
  <r>
    <s v="555"/>
    <n v="41"/>
    <x v="0"/>
    <x v="2"/>
    <x v="1"/>
    <s v="Diseased"/>
    <n v="1"/>
    <n v="1"/>
    <n v="1"/>
    <n v="0"/>
    <n v="0"/>
    <n v="0"/>
    <x v="2"/>
    <n v="1"/>
  </r>
  <r>
    <s v="556"/>
    <n v="43"/>
    <x v="0"/>
    <x v="2"/>
    <x v="1"/>
    <s v="Diseased"/>
    <n v="1"/>
    <n v="1"/>
    <n v="1"/>
    <n v="1"/>
    <n v="0"/>
    <n v="0"/>
    <x v="0"/>
    <n v="1"/>
  </r>
  <r>
    <s v="557"/>
    <n v="44"/>
    <x v="0"/>
    <x v="2"/>
    <x v="3"/>
    <s v="Diseased"/>
    <n v="1"/>
    <n v="1"/>
    <n v="1"/>
    <n v="1"/>
    <n v="0"/>
    <n v="0"/>
    <x v="0"/>
    <n v="1"/>
  </r>
  <r>
    <s v="558"/>
    <n v="44"/>
    <x v="0"/>
    <x v="2"/>
    <x v="1"/>
    <s v="Diseased"/>
    <n v="1"/>
    <n v="1"/>
    <n v="1"/>
    <n v="1"/>
    <n v="0"/>
    <n v="0"/>
    <x v="0"/>
    <n v="1"/>
  </r>
  <r>
    <s v="559"/>
    <n v="46"/>
    <x v="0"/>
    <x v="3"/>
    <x v="0"/>
    <s v="Diseased"/>
    <n v="1"/>
    <n v="1"/>
    <n v="1"/>
    <n v="0"/>
    <n v="1"/>
    <n v="0"/>
    <x v="0"/>
    <n v="1"/>
  </r>
  <r>
    <s v="560"/>
    <n v="47"/>
    <x v="1"/>
    <x v="3"/>
    <x v="2"/>
    <s v="Diseased"/>
    <n v="1"/>
    <n v="1"/>
    <n v="0"/>
    <n v="0"/>
    <n v="1"/>
    <n v="0"/>
    <x v="2"/>
    <n v="1"/>
  </r>
  <r>
    <s v="561"/>
    <n v="48"/>
    <x v="1"/>
    <x v="3"/>
    <x v="1"/>
    <s v="Diseased"/>
    <n v="1"/>
    <n v="1"/>
    <n v="1"/>
    <n v="1"/>
    <n v="0"/>
    <n v="0"/>
    <x v="0"/>
    <n v="1"/>
  </r>
  <r>
    <s v="562"/>
    <n v="49"/>
    <x v="0"/>
    <x v="3"/>
    <x v="1"/>
    <s v="Diseased"/>
    <n v="1"/>
    <n v="1"/>
    <n v="1"/>
    <n v="1"/>
    <n v="0"/>
    <n v="0"/>
    <x v="0"/>
    <n v="1"/>
  </r>
  <r>
    <s v="563"/>
    <n v="49"/>
    <x v="0"/>
    <x v="3"/>
    <x v="1"/>
    <s v="Diseased"/>
    <n v="1"/>
    <n v="1"/>
    <n v="1"/>
    <n v="1"/>
    <n v="0"/>
    <n v="0"/>
    <x v="0"/>
    <n v="1"/>
  </r>
  <r>
    <s v="564"/>
    <n v="51"/>
    <x v="0"/>
    <x v="3"/>
    <x v="2"/>
    <s v="Diseased"/>
    <n v="1"/>
    <n v="1"/>
    <n v="1"/>
    <n v="0"/>
    <n v="0"/>
    <n v="0"/>
    <x v="2"/>
    <n v="1"/>
  </r>
  <r>
    <s v="565"/>
    <n v="52"/>
    <x v="0"/>
    <x v="3"/>
    <x v="1"/>
    <s v="Diseased"/>
    <n v="1"/>
    <n v="1"/>
    <n v="1"/>
    <n v="1"/>
    <n v="0"/>
    <n v="0"/>
    <x v="0"/>
    <n v="1"/>
  </r>
  <r>
    <s v="566"/>
    <n v="52"/>
    <x v="0"/>
    <x v="3"/>
    <x v="1"/>
    <s v="Diseased"/>
    <n v="1"/>
    <n v="1"/>
    <n v="1"/>
    <n v="1"/>
    <n v="0"/>
    <n v="0"/>
    <x v="0"/>
    <n v="1"/>
  </r>
  <r>
    <s v="567"/>
    <n v="52"/>
    <x v="0"/>
    <x v="3"/>
    <x v="1"/>
    <s v="Diseased"/>
    <n v="1"/>
    <n v="1"/>
    <n v="1"/>
    <n v="1"/>
    <n v="0"/>
    <n v="0"/>
    <x v="0"/>
    <n v="1"/>
  </r>
  <r>
    <s v="568"/>
    <n v="52"/>
    <x v="0"/>
    <x v="3"/>
    <x v="1"/>
    <s v="Diseased"/>
    <n v="1"/>
    <n v="1"/>
    <n v="1"/>
    <n v="1"/>
    <n v="0"/>
    <n v="0"/>
    <x v="0"/>
    <n v="1"/>
  </r>
  <r>
    <s v="569"/>
    <n v="53"/>
    <x v="0"/>
    <x v="3"/>
    <x v="2"/>
    <s v="Diseased"/>
    <n v="1"/>
    <n v="1"/>
    <n v="0"/>
    <n v="0"/>
    <n v="0"/>
    <n v="0"/>
    <x v="4"/>
    <n v="1"/>
  </r>
  <r>
    <s v="570"/>
    <n v="53"/>
    <x v="0"/>
    <x v="3"/>
    <x v="1"/>
    <s v="Diseased"/>
    <n v="1"/>
    <n v="1"/>
    <n v="1"/>
    <n v="1"/>
    <n v="0"/>
    <n v="0"/>
    <x v="0"/>
    <n v="1"/>
  </r>
  <r>
    <s v="571"/>
    <n v="54"/>
    <x v="0"/>
    <x v="3"/>
    <x v="1"/>
    <s v="Diseased"/>
    <n v="1"/>
    <n v="1"/>
    <n v="1"/>
    <n v="0"/>
    <n v="0"/>
    <n v="0"/>
    <x v="2"/>
    <n v="1"/>
  </r>
  <r>
    <s v="572"/>
    <n v="55"/>
    <x v="0"/>
    <x v="0"/>
    <x v="0"/>
    <s v="Diseased"/>
    <n v="1"/>
    <n v="1"/>
    <n v="0"/>
    <n v="0"/>
    <n v="0"/>
    <n v="0"/>
    <x v="4"/>
    <n v="1"/>
  </r>
  <r>
    <s v="573"/>
    <n v="55"/>
    <x v="0"/>
    <x v="0"/>
    <x v="3"/>
    <s v="Diseased"/>
    <n v="1"/>
    <n v="1"/>
    <n v="1"/>
    <n v="1"/>
    <n v="1"/>
    <n v="0"/>
    <x v="1"/>
    <n v="1"/>
  </r>
  <r>
    <s v="574"/>
    <n v="55"/>
    <x v="0"/>
    <x v="0"/>
    <x v="1"/>
    <s v="Diseased"/>
    <n v="1"/>
    <n v="1"/>
    <n v="1"/>
    <n v="1"/>
    <n v="0"/>
    <n v="0"/>
    <x v="0"/>
    <n v="1"/>
  </r>
  <r>
    <s v="575"/>
    <n v="56"/>
    <x v="1"/>
    <x v="0"/>
    <x v="3"/>
    <s v="Diseased"/>
    <n v="1"/>
    <n v="1"/>
    <n v="1"/>
    <n v="0"/>
    <n v="0"/>
    <n v="0"/>
    <x v="2"/>
    <n v="1"/>
  </r>
  <r>
    <s v="576"/>
    <n v="56"/>
    <x v="0"/>
    <x v="0"/>
    <x v="1"/>
    <s v="Diseased"/>
    <n v="1"/>
    <n v="1"/>
    <n v="1"/>
    <n v="1"/>
    <n v="0"/>
    <n v="0"/>
    <x v="0"/>
    <n v="1"/>
  </r>
  <r>
    <s v="577"/>
    <n v="56"/>
    <x v="0"/>
    <x v="0"/>
    <x v="1"/>
    <s v="Diseased"/>
    <n v="1"/>
    <n v="1"/>
    <n v="1"/>
    <n v="1"/>
    <n v="0"/>
    <n v="0"/>
    <x v="0"/>
    <n v="1"/>
  </r>
  <r>
    <s v="578"/>
    <n v="58"/>
    <x v="0"/>
    <x v="0"/>
    <x v="3"/>
    <s v="Diseased"/>
    <n v="1"/>
    <n v="1"/>
    <n v="1"/>
    <n v="1"/>
    <n v="0"/>
    <n v="0"/>
    <x v="0"/>
    <n v="1"/>
  </r>
  <r>
    <s v="579"/>
    <n v="59"/>
    <x v="0"/>
    <x v="0"/>
    <x v="1"/>
    <s v="Diseased"/>
    <n v="0"/>
    <n v="1"/>
    <n v="0"/>
    <n v="0"/>
    <n v="0"/>
    <n v="0"/>
    <x v="5"/>
    <n v="1"/>
  </r>
  <r>
    <s v="580"/>
    <n v="59"/>
    <x v="0"/>
    <x v="0"/>
    <x v="1"/>
    <s v="Diseased"/>
    <n v="1"/>
    <n v="1"/>
    <n v="0"/>
    <n v="1"/>
    <n v="1"/>
    <n v="0"/>
    <x v="0"/>
    <n v="1"/>
  </r>
  <r>
    <s v="581"/>
    <n v="65"/>
    <x v="0"/>
    <x v="1"/>
    <x v="1"/>
    <s v="Diseased"/>
    <n v="1"/>
    <n v="1"/>
    <n v="1"/>
    <n v="1"/>
    <n v="1"/>
    <n v="0"/>
    <x v="1"/>
    <n v="1"/>
  </r>
  <r>
    <s v="582"/>
    <n v="66"/>
    <x v="0"/>
    <x v="1"/>
    <x v="1"/>
    <s v="Diseased"/>
    <n v="0"/>
    <n v="1"/>
    <n v="1"/>
    <n v="1"/>
    <n v="0"/>
    <n v="0"/>
    <x v="2"/>
    <n v="1"/>
  </r>
  <r>
    <s v="583"/>
    <n v="41"/>
    <x v="0"/>
    <x v="2"/>
    <x v="1"/>
    <s v="Diseased"/>
    <n v="1"/>
    <n v="1"/>
    <n v="1"/>
    <n v="1"/>
    <n v="0"/>
    <n v="0"/>
    <x v="0"/>
    <n v="1"/>
  </r>
  <r>
    <s v="584"/>
    <n v="43"/>
    <x v="0"/>
    <x v="2"/>
    <x v="1"/>
    <s v="Diseased"/>
    <n v="1"/>
    <n v="1"/>
    <n v="1"/>
    <n v="1"/>
    <n v="0"/>
    <n v="0"/>
    <x v="0"/>
    <n v="1"/>
  </r>
  <r>
    <s v="585"/>
    <n v="44"/>
    <x v="0"/>
    <x v="2"/>
    <x v="1"/>
    <s v="Diseased"/>
    <n v="1"/>
    <n v="1"/>
    <n v="0"/>
    <n v="0"/>
    <n v="0"/>
    <n v="0"/>
    <x v="4"/>
    <n v="1"/>
  </r>
  <r>
    <s v="586"/>
    <n v="47"/>
    <x v="1"/>
    <x v="3"/>
    <x v="1"/>
    <s v="Diseased"/>
    <n v="1"/>
    <n v="1"/>
    <n v="1"/>
    <n v="1"/>
    <n v="0"/>
    <n v="0"/>
    <x v="0"/>
    <n v="1"/>
  </r>
  <r>
    <s v="587"/>
    <n v="47"/>
    <x v="0"/>
    <x v="3"/>
    <x v="1"/>
    <s v="Diseased"/>
    <n v="1"/>
    <n v="1"/>
    <n v="1"/>
    <n v="1"/>
    <n v="0"/>
    <n v="0"/>
    <x v="0"/>
    <n v="1"/>
  </r>
  <r>
    <s v="588"/>
    <n v="49"/>
    <x v="0"/>
    <x v="3"/>
    <x v="1"/>
    <s v="Diseased"/>
    <n v="1"/>
    <n v="1"/>
    <n v="0"/>
    <n v="1"/>
    <n v="0"/>
    <n v="0"/>
    <x v="2"/>
    <n v="1"/>
  </r>
  <r>
    <s v="589"/>
    <n v="49"/>
    <x v="0"/>
    <x v="3"/>
    <x v="1"/>
    <s v="Diseased"/>
    <n v="1"/>
    <n v="1"/>
    <n v="1"/>
    <n v="0"/>
    <n v="0"/>
    <n v="0"/>
    <x v="2"/>
    <n v="1"/>
  </r>
  <r>
    <s v="590"/>
    <n v="50"/>
    <x v="0"/>
    <x v="3"/>
    <x v="1"/>
    <s v="Diseased"/>
    <n v="1"/>
    <n v="1"/>
    <n v="1"/>
    <n v="1"/>
    <n v="0"/>
    <n v="0"/>
    <x v="0"/>
    <n v="1"/>
  </r>
  <r>
    <s v="591"/>
    <n v="50"/>
    <x v="0"/>
    <x v="3"/>
    <x v="1"/>
    <s v="Diseased"/>
    <n v="1"/>
    <n v="1"/>
    <n v="1"/>
    <n v="1"/>
    <n v="0"/>
    <n v="0"/>
    <x v="0"/>
    <n v="1"/>
  </r>
  <r>
    <s v="592"/>
    <n v="52"/>
    <x v="0"/>
    <x v="3"/>
    <x v="1"/>
    <s v="Diseased"/>
    <n v="1"/>
    <n v="1"/>
    <n v="1"/>
    <n v="1"/>
    <n v="0"/>
    <n v="0"/>
    <x v="0"/>
    <n v="1"/>
  </r>
  <r>
    <s v="593"/>
    <n v="52"/>
    <x v="0"/>
    <x v="3"/>
    <x v="1"/>
    <s v="Diseased"/>
    <n v="1"/>
    <n v="1"/>
    <n v="1"/>
    <n v="1"/>
    <n v="0"/>
    <n v="0"/>
    <x v="0"/>
    <n v="1"/>
  </r>
  <r>
    <s v="594"/>
    <n v="54"/>
    <x v="1"/>
    <x v="3"/>
    <x v="2"/>
    <s v="Diseased"/>
    <n v="1"/>
    <n v="1"/>
    <n v="0"/>
    <n v="1"/>
    <n v="0"/>
    <n v="0"/>
    <x v="2"/>
    <n v="1"/>
  </r>
  <r>
    <s v="595"/>
    <n v="56"/>
    <x v="0"/>
    <x v="0"/>
    <x v="1"/>
    <s v="Diseased"/>
    <n v="1"/>
    <n v="1"/>
    <n v="1"/>
    <n v="1"/>
    <n v="1"/>
    <n v="0"/>
    <x v="1"/>
    <n v="1"/>
  </r>
  <r>
    <s v="596"/>
    <n v="58"/>
    <x v="1"/>
    <x v="0"/>
    <x v="3"/>
    <s v="Diseased"/>
    <n v="1"/>
    <n v="1"/>
    <n v="1"/>
    <n v="1"/>
    <n v="0"/>
    <n v="0"/>
    <x v="0"/>
    <n v="1"/>
  </r>
  <r>
    <s v="597"/>
    <n v="65"/>
    <x v="0"/>
    <x v="1"/>
    <x v="1"/>
    <s v="Diseased"/>
    <n v="1"/>
    <n v="1"/>
    <n v="1"/>
    <n v="1"/>
    <n v="0"/>
    <n v="0"/>
    <x v="0"/>
    <n v="1"/>
  </r>
  <r>
    <s v="598"/>
    <n v="32"/>
    <x v="0"/>
    <x v="2"/>
    <x v="0"/>
    <s v="Diseased"/>
    <n v="0"/>
    <n v="1"/>
    <n v="1"/>
    <n v="0"/>
    <n v="0"/>
    <n v="0"/>
    <x v="4"/>
    <n v="1"/>
  </r>
  <r>
    <s v="599"/>
    <n v="34"/>
    <x v="0"/>
    <x v="2"/>
    <x v="1"/>
    <s v="Diseased"/>
    <n v="0"/>
    <n v="1"/>
    <n v="1"/>
    <n v="0"/>
    <n v="0"/>
    <n v="0"/>
    <x v="4"/>
    <n v="1"/>
  </r>
  <r>
    <s v="600"/>
    <n v="35"/>
    <x v="0"/>
    <x v="2"/>
    <x v="1"/>
    <s v="Diseased"/>
    <n v="0"/>
    <n v="0"/>
    <n v="0"/>
    <n v="1"/>
    <n v="0"/>
    <n v="0"/>
    <x v="5"/>
    <n v="1"/>
  </r>
  <r>
    <s v="601"/>
    <n v="36"/>
    <x v="0"/>
    <x v="2"/>
    <x v="1"/>
    <s v="Diseased"/>
    <n v="0"/>
    <n v="1"/>
    <n v="1"/>
    <n v="1"/>
    <n v="0"/>
    <n v="0"/>
    <x v="2"/>
    <n v="1"/>
  </r>
  <r>
    <s v="602"/>
    <n v="38"/>
    <x v="1"/>
    <x v="2"/>
    <x v="1"/>
    <s v="Diseased"/>
    <n v="0"/>
    <n v="1"/>
    <n v="1"/>
    <n v="0"/>
    <n v="0"/>
    <n v="0"/>
    <x v="4"/>
    <n v="1"/>
  </r>
  <r>
    <s v="603"/>
    <n v="38"/>
    <x v="1"/>
    <x v="2"/>
    <x v="1"/>
    <s v="Diseased"/>
    <n v="0"/>
    <n v="1"/>
    <n v="0"/>
    <n v="0"/>
    <n v="0"/>
    <n v="0"/>
    <x v="5"/>
    <n v="1"/>
  </r>
  <r>
    <s v="604"/>
    <n v="38"/>
    <x v="0"/>
    <x v="2"/>
    <x v="2"/>
    <s v="Healthy"/>
    <n v="0"/>
    <n v="1"/>
    <n v="0"/>
    <n v="0"/>
    <n v="0"/>
    <n v="0"/>
    <x v="5"/>
    <n v="0"/>
  </r>
  <r>
    <s v="605"/>
    <n v="38"/>
    <x v="0"/>
    <x v="2"/>
    <x v="2"/>
    <s v="Diseased"/>
    <n v="0"/>
    <n v="1"/>
    <n v="0"/>
    <n v="1"/>
    <n v="0"/>
    <n v="0"/>
    <x v="4"/>
    <n v="1"/>
  </r>
  <r>
    <s v="606"/>
    <n v="38"/>
    <x v="0"/>
    <x v="2"/>
    <x v="1"/>
    <s v="Diseased"/>
    <n v="0"/>
    <n v="1"/>
    <n v="0"/>
    <n v="0"/>
    <n v="0"/>
    <n v="0"/>
    <x v="5"/>
    <n v="1"/>
  </r>
  <r>
    <s v="607"/>
    <n v="38"/>
    <x v="0"/>
    <x v="2"/>
    <x v="1"/>
    <s v="Diseased"/>
    <n v="0"/>
    <n v="1"/>
    <n v="0"/>
    <n v="1"/>
    <n v="0"/>
    <n v="0"/>
    <x v="4"/>
    <n v="1"/>
  </r>
  <r>
    <s v="608"/>
    <n v="40"/>
    <x v="0"/>
    <x v="2"/>
    <x v="1"/>
    <s v="Diseased"/>
    <n v="0"/>
    <n v="1"/>
    <n v="0"/>
    <n v="0"/>
    <n v="0"/>
    <n v="0"/>
    <x v="5"/>
    <n v="1"/>
  </r>
  <r>
    <s v="609"/>
    <n v="41"/>
    <x v="0"/>
    <x v="2"/>
    <x v="1"/>
    <s v="Diseased"/>
    <n v="0"/>
    <n v="1"/>
    <n v="1"/>
    <n v="0"/>
    <n v="0"/>
    <n v="0"/>
    <x v="4"/>
    <n v="1"/>
  </r>
  <r>
    <s v="610"/>
    <n v="42"/>
    <x v="0"/>
    <x v="2"/>
    <x v="1"/>
    <s v="Diseased"/>
    <n v="0"/>
    <n v="1"/>
    <n v="0"/>
    <n v="1"/>
    <n v="0"/>
    <n v="0"/>
    <x v="4"/>
    <n v="1"/>
  </r>
  <r>
    <s v="611"/>
    <n v="42"/>
    <x v="0"/>
    <x v="2"/>
    <x v="1"/>
    <s v="Diseased"/>
    <n v="0"/>
    <n v="1"/>
    <n v="0"/>
    <n v="1"/>
    <n v="0"/>
    <n v="0"/>
    <x v="4"/>
    <n v="1"/>
  </r>
  <r>
    <s v="612"/>
    <n v="43"/>
    <x v="0"/>
    <x v="2"/>
    <x v="1"/>
    <s v="Diseased"/>
    <n v="0"/>
    <n v="1"/>
    <n v="1"/>
    <n v="0"/>
    <n v="0"/>
    <n v="0"/>
    <x v="4"/>
    <n v="1"/>
  </r>
  <r>
    <s v="613"/>
    <n v="43"/>
    <x v="0"/>
    <x v="2"/>
    <x v="1"/>
    <s v="Diseased"/>
    <n v="0"/>
    <n v="1"/>
    <n v="1"/>
    <n v="1"/>
    <n v="0"/>
    <n v="0"/>
    <x v="2"/>
    <n v="1"/>
  </r>
  <r>
    <s v="614"/>
    <n v="43"/>
    <x v="0"/>
    <x v="2"/>
    <x v="1"/>
    <s v="Diseased"/>
    <n v="0"/>
    <n v="1"/>
    <n v="1"/>
    <n v="1"/>
    <n v="0"/>
    <n v="0"/>
    <x v="2"/>
    <n v="1"/>
  </r>
  <r>
    <s v="615"/>
    <n v="45"/>
    <x v="0"/>
    <x v="3"/>
    <x v="2"/>
    <s v="Healthy"/>
    <n v="0"/>
    <n v="1"/>
    <n v="0"/>
    <n v="0"/>
    <n v="0"/>
    <n v="0"/>
    <x v="5"/>
    <n v="0"/>
  </r>
  <r>
    <s v="616"/>
    <n v="46"/>
    <x v="0"/>
    <x v="3"/>
    <x v="1"/>
    <s v="Diseased"/>
    <n v="0"/>
    <n v="1"/>
    <n v="0"/>
    <n v="0"/>
    <n v="0"/>
    <n v="0"/>
    <x v="5"/>
    <n v="1"/>
  </r>
  <r>
    <s v="617"/>
    <n v="46"/>
    <x v="0"/>
    <x v="3"/>
    <x v="1"/>
    <s v="Diseased"/>
    <n v="0"/>
    <n v="1"/>
    <n v="1"/>
    <n v="1"/>
    <n v="0"/>
    <n v="0"/>
    <x v="2"/>
    <n v="1"/>
  </r>
  <r>
    <s v="618"/>
    <n v="47"/>
    <x v="0"/>
    <x v="3"/>
    <x v="2"/>
    <s v="Diseased"/>
    <n v="0"/>
    <n v="1"/>
    <n v="0"/>
    <n v="1"/>
    <n v="0"/>
    <n v="0"/>
    <x v="4"/>
    <n v="1"/>
  </r>
  <r>
    <s v="619"/>
    <n v="47"/>
    <x v="0"/>
    <x v="3"/>
    <x v="2"/>
    <s v="Diseased"/>
    <n v="0"/>
    <n v="1"/>
    <n v="1"/>
    <n v="1"/>
    <n v="0"/>
    <n v="0"/>
    <x v="2"/>
    <n v="1"/>
  </r>
  <r>
    <s v="620"/>
    <n v="47"/>
    <x v="0"/>
    <x v="3"/>
    <x v="1"/>
    <s v="Diseased"/>
    <n v="0"/>
    <n v="1"/>
    <n v="1"/>
    <n v="0"/>
    <n v="0"/>
    <n v="0"/>
    <x v="4"/>
    <n v="1"/>
  </r>
  <r>
    <s v="621"/>
    <n v="47"/>
    <x v="0"/>
    <x v="3"/>
    <x v="1"/>
    <s v="Diseased"/>
    <n v="0"/>
    <n v="1"/>
    <n v="0"/>
    <n v="1"/>
    <n v="0"/>
    <n v="0"/>
    <x v="4"/>
    <n v="1"/>
  </r>
  <r>
    <s v="622"/>
    <n v="48"/>
    <x v="0"/>
    <x v="3"/>
    <x v="1"/>
    <s v="Diseased"/>
    <n v="0"/>
    <n v="1"/>
    <n v="0"/>
    <n v="0"/>
    <n v="0"/>
    <n v="0"/>
    <x v="5"/>
    <n v="1"/>
  </r>
  <r>
    <s v="623"/>
    <n v="50"/>
    <x v="1"/>
    <x v="3"/>
    <x v="1"/>
    <s v="Diseased"/>
    <n v="0"/>
    <n v="1"/>
    <n v="0"/>
    <n v="0"/>
    <n v="0"/>
    <n v="0"/>
    <x v="5"/>
    <n v="1"/>
  </r>
  <r>
    <s v="624"/>
    <n v="50"/>
    <x v="0"/>
    <x v="3"/>
    <x v="1"/>
    <s v="Diseased"/>
    <n v="0"/>
    <n v="1"/>
    <n v="1"/>
    <n v="1"/>
    <n v="0"/>
    <n v="0"/>
    <x v="2"/>
    <n v="1"/>
  </r>
  <r>
    <s v="625"/>
    <n v="50"/>
    <x v="0"/>
    <x v="3"/>
    <x v="1"/>
    <s v="Diseased"/>
    <n v="0"/>
    <n v="1"/>
    <n v="0"/>
    <n v="1"/>
    <n v="0"/>
    <n v="0"/>
    <x v="4"/>
    <n v="1"/>
  </r>
  <r>
    <s v="626"/>
    <n v="50"/>
    <x v="0"/>
    <x v="3"/>
    <x v="1"/>
    <s v="Diseased"/>
    <n v="0"/>
    <n v="1"/>
    <n v="1"/>
    <n v="1"/>
    <n v="0"/>
    <n v="0"/>
    <x v="2"/>
    <n v="1"/>
  </r>
  <r>
    <s v="627"/>
    <n v="51"/>
    <x v="1"/>
    <x v="3"/>
    <x v="1"/>
    <s v="Diseased"/>
    <n v="0"/>
    <n v="1"/>
    <n v="1"/>
    <n v="1"/>
    <n v="0"/>
    <n v="0"/>
    <x v="2"/>
    <n v="1"/>
  </r>
  <r>
    <s v="628"/>
    <n v="51"/>
    <x v="0"/>
    <x v="3"/>
    <x v="1"/>
    <s v="Diseased"/>
    <n v="0"/>
    <n v="1"/>
    <n v="0"/>
    <n v="0"/>
    <n v="0"/>
    <n v="0"/>
    <x v="5"/>
    <n v="1"/>
  </r>
  <r>
    <s v="629"/>
    <n v="51"/>
    <x v="0"/>
    <x v="3"/>
    <x v="1"/>
    <s v="Diseased"/>
    <n v="0"/>
    <n v="1"/>
    <n v="0"/>
    <n v="0"/>
    <n v="1"/>
    <n v="0"/>
    <x v="4"/>
    <n v="1"/>
  </r>
  <r>
    <s v="630"/>
    <n v="51"/>
    <x v="0"/>
    <x v="3"/>
    <x v="1"/>
    <s v="Diseased"/>
    <n v="0"/>
    <n v="1"/>
    <n v="0"/>
    <n v="0"/>
    <n v="0"/>
    <n v="0"/>
    <x v="5"/>
    <n v="1"/>
  </r>
  <r>
    <s v="631"/>
    <n v="51"/>
    <x v="0"/>
    <x v="3"/>
    <x v="1"/>
    <s v="Diseased"/>
    <n v="0"/>
    <n v="1"/>
    <n v="0"/>
    <n v="0"/>
    <n v="0"/>
    <n v="0"/>
    <x v="5"/>
    <n v="1"/>
  </r>
  <r>
    <s v="632"/>
    <n v="51"/>
    <x v="0"/>
    <x v="3"/>
    <x v="1"/>
    <s v="Diseased"/>
    <n v="0"/>
    <n v="1"/>
    <n v="0"/>
    <n v="0"/>
    <n v="0"/>
    <n v="0"/>
    <x v="5"/>
    <n v="1"/>
  </r>
  <r>
    <s v="633"/>
    <n v="51"/>
    <x v="0"/>
    <x v="3"/>
    <x v="1"/>
    <s v="Diseased"/>
    <n v="0"/>
    <n v="1"/>
    <n v="1"/>
    <n v="0"/>
    <n v="0"/>
    <n v="0"/>
    <x v="4"/>
    <n v="1"/>
  </r>
  <r>
    <s v="634"/>
    <n v="52"/>
    <x v="0"/>
    <x v="3"/>
    <x v="1"/>
    <s v="Diseased"/>
    <n v="0"/>
    <n v="1"/>
    <n v="0"/>
    <n v="0"/>
    <n v="0"/>
    <n v="0"/>
    <x v="5"/>
    <n v="1"/>
  </r>
  <r>
    <s v="635"/>
    <n v="52"/>
    <x v="0"/>
    <x v="3"/>
    <x v="1"/>
    <s v="Diseased"/>
    <n v="0"/>
    <n v="1"/>
    <n v="1"/>
    <n v="1"/>
    <n v="0"/>
    <n v="0"/>
    <x v="2"/>
    <n v="1"/>
  </r>
  <r>
    <s v="636"/>
    <n v="52"/>
    <x v="0"/>
    <x v="3"/>
    <x v="1"/>
    <s v="Diseased"/>
    <n v="0"/>
    <n v="1"/>
    <n v="1"/>
    <n v="1"/>
    <n v="0"/>
    <n v="0"/>
    <x v="2"/>
    <n v="1"/>
  </r>
  <r>
    <s v="637"/>
    <n v="52"/>
    <x v="0"/>
    <x v="3"/>
    <x v="1"/>
    <s v="Diseased"/>
    <n v="0"/>
    <n v="1"/>
    <n v="0"/>
    <n v="1"/>
    <n v="0"/>
    <n v="0"/>
    <x v="4"/>
    <n v="1"/>
  </r>
  <r>
    <s v="638"/>
    <n v="53"/>
    <x v="0"/>
    <x v="3"/>
    <x v="3"/>
    <s v="Diseased"/>
    <n v="0"/>
    <n v="1"/>
    <n v="0"/>
    <n v="0"/>
    <n v="0"/>
    <n v="0"/>
    <x v="5"/>
    <n v="1"/>
  </r>
  <r>
    <s v="639"/>
    <n v="53"/>
    <x v="0"/>
    <x v="3"/>
    <x v="3"/>
    <s v="Healthy"/>
    <n v="0"/>
    <n v="1"/>
    <n v="1"/>
    <n v="0"/>
    <n v="0"/>
    <n v="0"/>
    <x v="4"/>
    <n v="0"/>
  </r>
  <r>
    <s v="640"/>
    <n v="53"/>
    <x v="0"/>
    <x v="3"/>
    <x v="2"/>
    <s v="Diseased"/>
    <n v="0"/>
    <n v="1"/>
    <n v="0"/>
    <n v="0"/>
    <n v="0"/>
    <n v="0"/>
    <x v="5"/>
    <n v="1"/>
  </r>
  <r>
    <s v="641"/>
    <n v="53"/>
    <x v="0"/>
    <x v="3"/>
    <x v="2"/>
    <s v="Diseased"/>
    <n v="0"/>
    <n v="1"/>
    <n v="0"/>
    <n v="1"/>
    <n v="0"/>
    <n v="0"/>
    <x v="4"/>
    <n v="1"/>
  </r>
  <r>
    <s v="642"/>
    <n v="53"/>
    <x v="0"/>
    <x v="3"/>
    <x v="1"/>
    <s v="Diseased"/>
    <n v="0"/>
    <n v="1"/>
    <n v="0"/>
    <n v="0"/>
    <n v="0"/>
    <n v="0"/>
    <x v="5"/>
    <n v="1"/>
  </r>
  <r>
    <s v="643"/>
    <n v="53"/>
    <x v="0"/>
    <x v="3"/>
    <x v="1"/>
    <s v="Diseased"/>
    <n v="0"/>
    <n v="1"/>
    <n v="1"/>
    <n v="0"/>
    <n v="0"/>
    <n v="0"/>
    <x v="4"/>
    <n v="1"/>
  </r>
  <r>
    <s v="644"/>
    <n v="53"/>
    <x v="0"/>
    <x v="3"/>
    <x v="1"/>
    <s v="Diseased"/>
    <n v="0"/>
    <n v="1"/>
    <n v="1"/>
    <n v="1"/>
    <n v="0"/>
    <n v="0"/>
    <x v="2"/>
    <n v="1"/>
  </r>
  <r>
    <s v="645"/>
    <n v="53"/>
    <x v="0"/>
    <x v="3"/>
    <x v="1"/>
    <s v="Healthy"/>
    <n v="0"/>
    <n v="1"/>
    <n v="1"/>
    <n v="1"/>
    <n v="0"/>
    <n v="0"/>
    <x v="2"/>
    <n v="0"/>
  </r>
  <r>
    <s v="646"/>
    <n v="54"/>
    <x v="0"/>
    <x v="3"/>
    <x v="1"/>
    <s v="Diseased"/>
    <n v="0"/>
    <n v="1"/>
    <n v="0"/>
    <n v="0"/>
    <n v="0"/>
    <n v="0"/>
    <x v="5"/>
    <n v="1"/>
  </r>
  <r>
    <s v="647"/>
    <n v="54"/>
    <x v="0"/>
    <x v="3"/>
    <x v="1"/>
    <s v="Diseased"/>
    <n v="0"/>
    <n v="1"/>
    <n v="1"/>
    <n v="1"/>
    <n v="0"/>
    <n v="0"/>
    <x v="2"/>
    <n v="1"/>
  </r>
  <r>
    <s v="648"/>
    <n v="54"/>
    <x v="0"/>
    <x v="3"/>
    <x v="1"/>
    <s v="Diseased"/>
    <n v="0"/>
    <n v="1"/>
    <n v="1"/>
    <n v="0"/>
    <n v="0"/>
    <n v="0"/>
    <x v="4"/>
    <n v="1"/>
  </r>
  <r>
    <s v="649"/>
    <n v="55"/>
    <x v="0"/>
    <x v="0"/>
    <x v="3"/>
    <s v="Healthy"/>
    <n v="0"/>
    <n v="1"/>
    <n v="1"/>
    <n v="0"/>
    <n v="0"/>
    <n v="0"/>
    <x v="4"/>
    <n v="0"/>
  </r>
  <r>
    <s v="650"/>
    <n v="55"/>
    <x v="0"/>
    <x v="0"/>
    <x v="1"/>
    <s v="Diseased"/>
    <n v="0"/>
    <n v="1"/>
    <n v="1"/>
    <n v="0"/>
    <n v="0"/>
    <n v="0"/>
    <x v="4"/>
    <n v="1"/>
  </r>
  <r>
    <s v="651"/>
    <n v="55"/>
    <x v="0"/>
    <x v="0"/>
    <x v="1"/>
    <s v="Diseased"/>
    <n v="0"/>
    <n v="1"/>
    <n v="1"/>
    <n v="0"/>
    <n v="0"/>
    <n v="0"/>
    <x v="4"/>
    <n v="1"/>
  </r>
  <r>
    <s v="652"/>
    <n v="55"/>
    <x v="0"/>
    <x v="0"/>
    <x v="1"/>
    <s v="Diseased"/>
    <n v="0"/>
    <n v="1"/>
    <n v="0"/>
    <n v="0"/>
    <n v="0"/>
    <n v="0"/>
    <x v="5"/>
    <n v="1"/>
  </r>
  <r>
    <s v="653"/>
    <n v="56"/>
    <x v="0"/>
    <x v="0"/>
    <x v="2"/>
    <s v="Healthy"/>
    <n v="0"/>
    <n v="1"/>
    <n v="0"/>
    <n v="0"/>
    <n v="0"/>
    <n v="0"/>
    <x v="5"/>
    <n v="0"/>
  </r>
  <r>
    <s v="654"/>
    <n v="56"/>
    <x v="0"/>
    <x v="0"/>
    <x v="2"/>
    <s v="Diseased"/>
    <n v="0"/>
    <n v="1"/>
    <n v="0"/>
    <n v="0"/>
    <n v="0"/>
    <n v="0"/>
    <x v="5"/>
    <n v="1"/>
  </r>
  <r>
    <s v="655"/>
    <n v="56"/>
    <x v="0"/>
    <x v="0"/>
    <x v="2"/>
    <s v="Diseased"/>
    <n v="0"/>
    <n v="1"/>
    <n v="0"/>
    <n v="0"/>
    <n v="0"/>
    <n v="0"/>
    <x v="5"/>
    <n v="1"/>
  </r>
  <r>
    <s v="656"/>
    <n v="56"/>
    <x v="0"/>
    <x v="0"/>
    <x v="1"/>
    <s v="Diseased"/>
    <n v="0"/>
    <n v="1"/>
    <n v="0"/>
    <n v="0"/>
    <n v="0"/>
    <n v="0"/>
    <x v="5"/>
    <n v="1"/>
  </r>
  <r>
    <s v="657"/>
    <n v="56"/>
    <x v="0"/>
    <x v="0"/>
    <x v="1"/>
    <s v="Diseased"/>
    <n v="0"/>
    <n v="1"/>
    <n v="0"/>
    <n v="1"/>
    <n v="0"/>
    <n v="0"/>
    <x v="4"/>
    <n v="1"/>
  </r>
  <r>
    <s v="658"/>
    <n v="56"/>
    <x v="0"/>
    <x v="0"/>
    <x v="1"/>
    <s v="Diseased"/>
    <n v="0"/>
    <n v="1"/>
    <n v="0"/>
    <n v="0"/>
    <n v="0"/>
    <n v="0"/>
    <x v="5"/>
    <n v="1"/>
  </r>
  <r>
    <s v="659"/>
    <n v="56"/>
    <x v="0"/>
    <x v="0"/>
    <x v="1"/>
    <s v="Diseased"/>
    <n v="0"/>
    <n v="1"/>
    <n v="1"/>
    <n v="1"/>
    <n v="1"/>
    <n v="0"/>
    <x v="0"/>
    <n v="1"/>
  </r>
  <r>
    <s v="660"/>
    <n v="56"/>
    <x v="0"/>
    <x v="0"/>
    <x v="1"/>
    <s v="Diseased"/>
    <n v="0"/>
    <n v="1"/>
    <n v="1"/>
    <n v="1"/>
    <n v="0"/>
    <n v="0"/>
    <x v="2"/>
    <n v="1"/>
  </r>
  <r>
    <s v="661"/>
    <n v="57"/>
    <x v="0"/>
    <x v="0"/>
    <x v="2"/>
    <s v="Diseased"/>
    <n v="0"/>
    <n v="1"/>
    <n v="1"/>
    <n v="0"/>
    <n v="0"/>
    <n v="0"/>
    <x v="4"/>
    <n v="1"/>
  </r>
  <r>
    <s v="662"/>
    <n v="57"/>
    <x v="0"/>
    <x v="0"/>
    <x v="1"/>
    <s v="Diseased"/>
    <n v="0"/>
    <n v="1"/>
    <n v="1"/>
    <n v="1"/>
    <n v="0"/>
    <n v="1"/>
    <x v="0"/>
    <n v="1"/>
  </r>
  <r>
    <s v="663"/>
    <n v="57"/>
    <x v="0"/>
    <x v="0"/>
    <x v="1"/>
    <s v="Diseased"/>
    <n v="0"/>
    <n v="1"/>
    <n v="1"/>
    <n v="1"/>
    <n v="0"/>
    <n v="0"/>
    <x v="2"/>
    <n v="1"/>
  </r>
  <r>
    <s v="664"/>
    <n v="57"/>
    <x v="0"/>
    <x v="0"/>
    <x v="1"/>
    <s v="Diseased"/>
    <n v="0"/>
    <n v="1"/>
    <n v="0"/>
    <n v="1"/>
    <n v="0"/>
    <n v="0"/>
    <x v="4"/>
    <n v="1"/>
  </r>
  <r>
    <s v="665"/>
    <n v="57"/>
    <x v="0"/>
    <x v="0"/>
    <x v="1"/>
    <s v="Diseased"/>
    <n v="0"/>
    <n v="1"/>
    <n v="1"/>
    <n v="1"/>
    <n v="0"/>
    <n v="0"/>
    <x v="2"/>
    <n v="1"/>
  </r>
  <r>
    <s v="666"/>
    <n v="57"/>
    <x v="0"/>
    <x v="0"/>
    <x v="1"/>
    <s v="Diseased"/>
    <n v="0"/>
    <n v="1"/>
    <n v="1"/>
    <n v="0"/>
    <n v="0"/>
    <n v="0"/>
    <x v="4"/>
    <n v="1"/>
  </r>
  <r>
    <s v="667"/>
    <n v="58"/>
    <x v="0"/>
    <x v="0"/>
    <x v="1"/>
    <s v="Diseased"/>
    <n v="0"/>
    <n v="1"/>
    <n v="1"/>
    <n v="0"/>
    <n v="0"/>
    <n v="0"/>
    <x v="4"/>
    <n v="1"/>
  </r>
  <r>
    <s v="668"/>
    <n v="58"/>
    <x v="0"/>
    <x v="0"/>
    <x v="1"/>
    <s v="Diseased"/>
    <n v="0"/>
    <n v="1"/>
    <n v="1"/>
    <n v="1"/>
    <n v="0"/>
    <n v="0"/>
    <x v="2"/>
    <n v="1"/>
  </r>
  <r>
    <s v="669"/>
    <n v="58"/>
    <x v="0"/>
    <x v="0"/>
    <x v="1"/>
    <s v="Diseased"/>
    <n v="0"/>
    <n v="1"/>
    <n v="0"/>
    <n v="1"/>
    <n v="0"/>
    <n v="0"/>
    <x v="4"/>
    <n v="1"/>
  </r>
  <r>
    <s v="670"/>
    <n v="59"/>
    <x v="0"/>
    <x v="0"/>
    <x v="2"/>
    <s v="Diseased"/>
    <n v="0"/>
    <n v="1"/>
    <n v="1"/>
    <n v="0"/>
    <n v="0"/>
    <n v="0"/>
    <x v="4"/>
    <n v="1"/>
  </r>
  <r>
    <s v="671"/>
    <n v="59"/>
    <x v="0"/>
    <x v="0"/>
    <x v="1"/>
    <s v="Diseased"/>
    <n v="0"/>
    <n v="1"/>
    <n v="0"/>
    <n v="0"/>
    <n v="0"/>
    <n v="0"/>
    <x v="5"/>
    <n v="1"/>
  </r>
  <r>
    <s v="672"/>
    <n v="59"/>
    <x v="0"/>
    <x v="0"/>
    <x v="1"/>
    <s v="Diseased"/>
    <n v="0"/>
    <n v="1"/>
    <n v="0"/>
    <n v="0"/>
    <n v="0"/>
    <n v="0"/>
    <x v="5"/>
    <n v="1"/>
  </r>
  <r>
    <s v="673"/>
    <n v="59"/>
    <x v="0"/>
    <x v="0"/>
    <x v="1"/>
    <s v="Diseased"/>
    <n v="0"/>
    <n v="1"/>
    <n v="1"/>
    <n v="1"/>
    <n v="0"/>
    <n v="0"/>
    <x v="2"/>
    <n v="1"/>
  </r>
  <r>
    <s v="674"/>
    <n v="59"/>
    <x v="0"/>
    <x v="0"/>
    <x v="1"/>
    <s v="Diseased"/>
    <n v="0"/>
    <n v="1"/>
    <n v="1"/>
    <n v="1"/>
    <n v="0"/>
    <n v="0"/>
    <x v="2"/>
    <n v="1"/>
  </r>
  <r>
    <s v="675"/>
    <n v="60"/>
    <x v="0"/>
    <x v="0"/>
    <x v="2"/>
    <s v="Diseased"/>
    <n v="0"/>
    <n v="1"/>
    <n v="1"/>
    <n v="0"/>
    <n v="0"/>
    <n v="0"/>
    <x v="4"/>
    <n v="1"/>
  </r>
  <r>
    <s v="676"/>
    <n v="60"/>
    <x v="0"/>
    <x v="0"/>
    <x v="1"/>
    <s v="Diseased"/>
    <n v="0"/>
    <n v="1"/>
    <n v="1"/>
    <n v="0"/>
    <n v="0"/>
    <n v="1"/>
    <x v="2"/>
    <n v="1"/>
  </r>
  <r>
    <s v="677"/>
    <n v="60"/>
    <x v="0"/>
    <x v="0"/>
    <x v="1"/>
    <s v="Diseased"/>
    <n v="0"/>
    <n v="1"/>
    <n v="1"/>
    <n v="1"/>
    <n v="0"/>
    <n v="1"/>
    <x v="0"/>
    <n v="1"/>
  </r>
  <r>
    <s v="678"/>
    <n v="60"/>
    <x v="0"/>
    <x v="0"/>
    <x v="1"/>
    <s v="Diseased"/>
    <n v="0"/>
    <n v="1"/>
    <n v="1"/>
    <n v="1"/>
    <n v="0"/>
    <n v="0"/>
    <x v="2"/>
    <n v="1"/>
  </r>
  <r>
    <s v="679"/>
    <n v="60"/>
    <x v="0"/>
    <x v="0"/>
    <x v="1"/>
    <s v="Diseased"/>
    <n v="0"/>
    <n v="1"/>
    <n v="1"/>
    <n v="1"/>
    <n v="0"/>
    <n v="0"/>
    <x v="2"/>
    <n v="1"/>
  </r>
  <r>
    <s v="680"/>
    <n v="60"/>
    <x v="0"/>
    <x v="0"/>
    <x v="1"/>
    <s v="Diseased"/>
    <n v="0"/>
    <n v="1"/>
    <n v="1"/>
    <n v="0"/>
    <n v="0"/>
    <n v="0"/>
    <x v="4"/>
    <n v="1"/>
  </r>
  <r>
    <s v="681"/>
    <n v="61"/>
    <x v="0"/>
    <x v="0"/>
    <x v="2"/>
    <s v="Diseased"/>
    <n v="0"/>
    <n v="1"/>
    <n v="0"/>
    <n v="0"/>
    <n v="0"/>
    <n v="0"/>
    <x v="5"/>
    <n v="1"/>
  </r>
  <r>
    <s v="682"/>
    <n v="61"/>
    <x v="0"/>
    <x v="0"/>
    <x v="1"/>
    <s v="Diseased"/>
    <n v="0"/>
    <n v="1"/>
    <n v="1"/>
    <n v="1"/>
    <n v="0"/>
    <n v="0"/>
    <x v="2"/>
    <n v="1"/>
  </r>
  <r>
    <s v="683"/>
    <n v="61"/>
    <x v="0"/>
    <x v="0"/>
    <x v="1"/>
    <s v="Diseased"/>
    <n v="0"/>
    <n v="1"/>
    <n v="1"/>
    <n v="0"/>
    <n v="0"/>
    <n v="0"/>
    <x v="4"/>
    <n v="1"/>
  </r>
  <r>
    <s v="684"/>
    <n v="61"/>
    <x v="0"/>
    <x v="0"/>
    <x v="1"/>
    <s v="Diseased"/>
    <n v="0"/>
    <n v="1"/>
    <n v="0"/>
    <n v="1"/>
    <n v="0"/>
    <n v="0"/>
    <x v="4"/>
    <n v="1"/>
  </r>
  <r>
    <s v="685"/>
    <n v="61"/>
    <x v="0"/>
    <x v="0"/>
    <x v="1"/>
    <s v="Diseased"/>
    <n v="0"/>
    <n v="1"/>
    <n v="0"/>
    <n v="0"/>
    <n v="0"/>
    <n v="0"/>
    <x v="5"/>
    <n v="1"/>
  </r>
  <r>
    <s v="686"/>
    <n v="61"/>
    <x v="0"/>
    <x v="0"/>
    <x v="1"/>
    <s v="Diseased"/>
    <n v="0"/>
    <n v="1"/>
    <n v="1"/>
    <n v="0"/>
    <n v="0"/>
    <n v="0"/>
    <x v="4"/>
    <n v="1"/>
  </r>
  <r>
    <s v="687"/>
    <n v="61"/>
    <x v="0"/>
    <x v="0"/>
    <x v="1"/>
    <s v="Diseased"/>
    <n v="0"/>
    <n v="1"/>
    <n v="0"/>
    <n v="1"/>
    <n v="0"/>
    <n v="0"/>
    <x v="4"/>
    <n v="1"/>
  </r>
  <r>
    <s v="688"/>
    <n v="61"/>
    <x v="0"/>
    <x v="0"/>
    <x v="1"/>
    <s v="Diseased"/>
    <n v="0"/>
    <n v="1"/>
    <n v="1"/>
    <n v="1"/>
    <n v="0"/>
    <n v="0"/>
    <x v="2"/>
    <n v="1"/>
  </r>
  <r>
    <s v="689"/>
    <n v="61"/>
    <x v="0"/>
    <x v="0"/>
    <x v="1"/>
    <s v="Diseased"/>
    <n v="0"/>
    <n v="1"/>
    <n v="1"/>
    <n v="0"/>
    <n v="1"/>
    <n v="0"/>
    <x v="2"/>
    <n v="1"/>
  </r>
  <r>
    <s v="690"/>
    <n v="62"/>
    <x v="1"/>
    <x v="0"/>
    <x v="0"/>
    <s v="Diseased"/>
    <n v="0"/>
    <n v="1"/>
    <n v="0"/>
    <n v="0"/>
    <n v="0"/>
    <n v="0"/>
    <x v="5"/>
    <n v="1"/>
  </r>
  <r>
    <s v="691"/>
    <n v="62"/>
    <x v="1"/>
    <x v="0"/>
    <x v="1"/>
    <s v="Diseased"/>
    <n v="0"/>
    <n v="1"/>
    <n v="1"/>
    <n v="1"/>
    <n v="0"/>
    <n v="0"/>
    <x v="2"/>
    <n v="1"/>
  </r>
  <r>
    <s v="692"/>
    <n v="62"/>
    <x v="0"/>
    <x v="0"/>
    <x v="0"/>
    <s v="Diseased"/>
    <n v="0"/>
    <n v="1"/>
    <n v="0"/>
    <n v="0"/>
    <n v="0"/>
    <n v="1"/>
    <x v="4"/>
    <n v="1"/>
  </r>
  <r>
    <s v="693"/>
    <n v="62"/>
    <x v="0"/>
    <x v="0"/>
    <x v="2"/>
    <s v="Diseased"/>
    <n v="0"/>
    <n v="1"/>
    <n v="0"/>
    <n v="1"/>
    <n v="0"/>
    <n v="0"/>
    <x v="4"/>
    <n v="1"/>
  </r>
  <r>
    <s v="694"/>
    <n v="62"/>
    <x v="0"/>
    <x v="0"/>
    <x v="1"/>
    <s v="Diseased"/>
    <n v="0"/>
    <n v="1"/>
    <n v="1"/>
    <n v="1"/>
    <n v="0"/>
    <n v="0"/>
    <x v="2"/>
    <n v="1"/>
  </r>
  <r>
    <s v="695"/>
    <n v="62"/>
    <x v="0"/>
    <x v="0"/>
    <x v="1"/>
    <s v="Diseased"/>
    <n v="0"/>
    <n v="1"/>
    <n v="0"/>
    <n v="1"/>
    <n v="0"/>
    <n v="0"/>
    <x v="4"/>
    <n v="1"/>
  </r>
  <r>
    <s v="696"/>
    <n v="62"/>
    <x v="0"/>
    <x v="0"/>
    <x v="1"/>
    <s v="Diseased"/>
    <n v="0"/>
    <n v="1"/>
    <n v="1"/>
    <n v="0"/>
    <n v="0"/>
    <n v="0"/>
    <x v="4"/>
    <n v="1"/>
  </r>
  <r>
    <s v="697"/>
    <n v="63"/>
    <x v="0"/>
    <x v="0"/>
    <x v="1"/>
    <s v="Diseased"/>
    <n v="0"/>
    <n v="1"/>
    <n v="0"/>
    <n v="0"/>
    <n v="0"/>
    <n v="0"/>
    <x v="5"/>
    <n v="1"/>
  </r>
  <r>
    <s v="698"/>
    <n v="63"/>
    <x v="0"/>
    <x v="0"/>
    <x v="1"/>
    <s v="Diseased"/>
    <n v="0"/>
    <n v="1"/>
    <n v="1"/>
    <n v="0"/>
    <n v="0"/>
    <n v="0"/>
    <x v="4"/>
    <n v="1"/>
  </r>
  <r>
    <s v="699"/>
    <n v="63"/>
    <x v="0"/>
    <x v="0"/>
    <x v="1"/>
    <s v="Diseased"/>
    <n v="0"/>
    <n v="1"/>
    <n v="1"/>
    <n v="1"/>
    <n v="0"/>
    <n v="0"/>
    <x v="2"/>
    <n v="1"/>
  </r>
  <r>
    <s v="700"/>
    <n v="63"/>
    <x v="0"/>
    <x v="0"/>
    <x v="1"/>
    <s v="Diseased"/>
    <n v="0"/>
    <n v="1"/>
    <n v="1"/>
    <n v="0"/>
    <n v="0"/>
    <n v="0"/>
    <x v="4"/>
    <n v="1"/>
  </r>
  <r>
    <s v="701"/>
    <n v="63"/>
    <x v="0"/>
    <x v="0"/>
    <x v="1"/>
    <s v="Diseased"/>
    <n v="0"/>
    <n v="1"/>
    <n v="0"/>
    <n v="1"/>
    <n v="0"/>
    <n v="0"/>
    <x v="4"/>
    <n v="1"/>
  </r>
  <r>
    <s v="702"/>
    <n v="64"/>
    <x v="1"/>
    <x v="0"/>
    <x v="1"/>
    <s v="Diseased"/>
    <n v="0"/>
    <n v="1"/>
    <n v="1"/>
    <n v="1"/>
    <n v="0"/>
    <n v="0"/>
    <x v="2"/>
    <n v="1"/>
  </r>
  <r>
    <s v="703"/>
    <n v="64"/>
    <x v="1"/>
    <x v="0"/>
    <x v="1"/>
    <s v="Diseased"/>
    <n v="0"/>
    <n v="1"/>
    <n v="1"/>
    <n v="0"/>
    <n v="0"/>
    <n v="0"/>
    <x v="4"/>
    <n v="1"/>
  </r>
  <r>
    <s v="704"/>
    <n v="64"/>
    <x v="0"/>
    <x v="0"/>
    <x v="1"/>
    <s v="Diseased"/>
    <n v="0"/>
    <n v="1"/>
    <n v="1"/>
    <n v="1"/>
    <n v="0"/>
    <n v="0"/>
    <x v="2"/>
    <n v="1"/>
  </r>
  <r>
    <s v="705"/>
    <n v="65"/>
    <x v="0"/>
    <x v="1"/>
    <x v="1"/>
    <s v="Diseased"/>
    <n v="0"/>
    <n v="1"/>
    <n v="0"/>
    <n v="1"/>
    <n v="0"/>
    <n v="0"/>
    <x v="4"/>
    <n v="1"/>
  </r>
  <r>
    <s v="706"/>
    <n v="65"/>
    <x v="0"/>
    <x v="1"/>
    <x v="1"/>
    <s v="Diseased"/>
    <n v="0"/>
    <n v="1"/>
    <n v="0"/>
    <n v="0"/>
    <n v="0"/>
    <n v="0"/>
    <x v="5"/>
    <n v="1"/>
  </r>
  <r>
    <s v="707"/>
    <n v="65"/>
    <x v="0"/>
    <x v="1"/>
    <x v="1"/>
    <s v="Healthy"/>
    <n v="0"/>
    <n v="1"/>
    <n v="1"/>
    <n v="0"/>
    <n v="0"/>
    <n v="0"/>
    <x v="4"/>
    <n v="0"/>
  </r>
  <r>
    <s v="708"/>
    <n v="65"/>
    <x v="0"/>
    <x v="1"/>
    <x v="1"/>
    <s v="Diseased"/>
    <n v="0"/>
    <n v="1"/>
    <n v="0"/>
    <n v="0"/>
    <n v="1"/>
    <n v="0"/>
    <x v="4"/>
    <n v="1"/>
  </r>
  <r>
    <s v="709"/>
    <n v="66"/>
    <x v="1"/>
    <x v="1"/>
    <x v="1"/>
    <s v="Diseased"/>
    <n v="0"/>
    <n v="1"/>
    <n v="0"/>
    <n v="0"/>
    <n v="0"/>
    <n v="0"/>
    <x v="5"/>
    <n v="1"/>
  </r>
  <r>
    <s v="710"/>
    <n v="66"/>
    <x v="0"/>
    <x v="1"/>
    <x v="1"/>
    <s v="Diseased"/>
    <n v="0"/>
    <n v="1"/>
    <n v="1"/>
    <n v="1"/>
    <n v="0"/>
    <n v="0"/>
    <x v="2"/>
    <n v="1"/>
  </r>
  <r>
    <s v="711"/>
    <n v="67"/>
    <x v="0"/>
    <x v="1"/>
    <x v="0"/>
    <s v="Diseased"/>
    <n v="0"/>
    <n v="1"/>
    <n v="0"/>
    <n v="0"/>
    <n v="0"/>
    <n v="0"/>
    <x v="5"/>
    <n v="1"/>
  </r>
  <r>
    <s v="712"/>
    <n v="68"/>
    <x v="0"/>
    <x v="1"/>
    <x v="1"/>
    <s v="Diseased"/>
    <n v="0"/>
    <n v="1"/>
    <n v="0"/>
    <n v="1"/>
    <n v="0"/>
    <n v="0"/>
    <x v="4"/>
    <n v="1"/>
  </r>
  <r>
    <s v="713"/>
    <n v="68"/>
    <x v="0"/>
    <x v="1"/>
    <x v="1"/>
    <s v="Diseased"/>
    <n v="0"/>
    <n v="1"/>
    <n v="1"/>
    <n v="0"/>
    <n v="0"/>
    <n v="0"/>
    <x v="4"/>
    <n v="1"/>
  </r>
  <r>
    <s v="714"/>
    <n v="69"/>
    <x v="0"/>
    <x v="1"/>
    <x v="1"/>
    <s v="Diseased"/>
    <n v="0"/>
    <n v="1"/>
    <n v="0"/>
    <n v="0"/>
    <n v="0"/>
    <n v="0"/>
    <x v="5"/>
    <n v="1"/>
  </r>
  <r>
    <s v="715"/>
    <n v="69"/>
    <x v="0"/>
    <x v="1"/>
    <x v="1"/>
    <s v="Diseased"/>
    <n v="0"/>
    <n v="0"/>
    <n v="0"/>
    <n v="0"/>
    <n v="0"/>
    <n v="0"/>
    <x v="6"/>
    <n v="1"/>
  </r>
  <r>
    <s v="716"/>
    <n v="70"/>
    <x v="0"/>
    <x v="1"/>
    <x v="1"/>
    <s v="Diseased"/>
    <n v="0"/>
    <n v="1"/>
    <n v="0"/>
    <n v="1"/>
    <n v="0"/>
    <n v="0"/>
    <x v="4"/>
    <n v="1"/>
  </r>
  <r>
    <s v="717"/>
    <n v="70"/>
    <x v="0"/>
    <x v="1"/>
    <x v="1"/>
    <s v="Diseased"/>
    <n v="0"/>
    <n v="1"/>
    <n v="1"/>
    <n v="1"/>
    <n v="1"/>
    <n v="0"/>
    <x v="0"/>
    <n v="1"/>
  </r>
  <r>
    <s v="718"/>
    <n v="72"/>
    <x v="0"/>
    <x v="1"/>
    <x v="2"/>
    <s v="Healthy"/>
    <n v="0"/>
    <n v="1"/>
    <n v="1"/>
    <n v="0"/>
    <n v="0"/>
    <n v="1"/>
    <x v="2"/>
    <n v="0"/>
  </r>
  <r>
    <s v="719"/>
    <n v="73"/>
    <x v="1"/>
    <x v="1"/>
    <x v="2"/>
    <s v="Diseased"/>
    <n v="0"/>
    <n v="1"/>
    <n v="0"/>
    <n v="0"/>
    <n v="0"/>
    <n v="0"/>
    <x v="5"/>
    <n v="1"/>
  </r>
  <r>
    <s v="720"/>
    <n v="74"/>
    <x v="0"/>
    <x v="1"/>
    <x v="3"/>
    <s v="Diseased"/>
    <n v="0"/>
    <n v="1"/>
    <n v="1"/>
    <n v="0"/>
    <n v="0"/>
    <n v="0"/>
    <x v="4"/>
    <n v="1"/>
  </r>
  <r>
    <s v="721"/>
    <n v="63"/>
    <x v="0"/>
    <x v="0"/>
    <x v="1"/>
    <s v="Diseased"/>
    <n v="1"/>
    <n v="1"/>
    <n v="1"/>
    <n v="1"/>
    <n v="0"/>
    <n v="0"/>
    <x v="0"/>
    <n v="1"/>
  </r>
  <r>
    <s v="722"/>
    <n v="44"/>
    <x v="0"/>
    <x v="2"/>
    <x v="1"/>
    <s v="Healthy"/>
    <n v="1"/>
    <n v="1"/>
    <n v="0"/>
    <n v="0"/>
    <n v="0"/>
    <n v="0"/>
    <x v="4"/>
    <n v="0"/>
  </r>
  <r>
    <s v="723"/>
    <n v="60"/>
    <x v="0"/>
    <x v="0"/>
    <x v="1"/>
    <s v="Diseased"/>
    <n v="1"/>
    <n v="1"/>
    <n v="1"/>
    <n v="1"/>
    <n v="0"/>
    <n v="0"/>
    <x v="0"/>
    <n v="1"/>
  </r>
  <r>
    <s v="724"/>
    <n v="55"/>
    <x v="0"/>
    <x v="0"/>
    <x v="1"/>
    <s v="Diseased"/>
    <n v="1"/>
    <n v="1"/>
    <n v="1"/>
    <n v="1"/>
    <n v="0"/>
    <n v="0"/>
    <x v="0"/>
    <n v="1"/>
  </r>
  <r>
    <s v="725"/>
    <n v="66"/>
    <x v="0"/>
    <x v="1"/>
    <x v="2"/>
    <s v="Healthy"/>
    <n v="1"/>
    <n v="1"/>
    <n v="1"/>
    <n v="1"/>
    <n v="1"/>
    <n v="0"/>
    <x v="1"/>
    <n v="0"/>
  </r>
  <r>
    <s v="726"/>
    <n v="66"/>
    <x v="0"/>
    <x v="1"/>
    <x v="2"/>
    <s v="Healthy"/>
    <n v="0"/>
    <n v="1"/>
    <n v="0"/>
    <n v="0"/>
    <n v="0"/>
    <n v="0"/>
    <x v="5"/>
    <n v="0"/>
  </r>
  <r>
    <s v="727"/>
    <n v="65"/>
    <x v="0"/>
    <x v="1"/>
    <x v="1"/>
    <s v="Diseased"/>
    <n v="1"/>
    <n v="1"/>
    <n v="0"/>
    <n v="1"/>
    <n v="1"/>
    <n v="0"/>
    <x v="0"/>
    <n v="1"/>
  </r>
  <r>
    <s v="728"/>
    <n v="60"/>
    <x v="0"/>
    <x v="0"/>
    <x v="2"/>
    <s v="Healthy"/>
    <n v="0"/>
    <n v="1"/>
    <n v="1"/>
    <n v="1"/>
    <n v="0"/>
    <n v="0"/>
    <x v="2"/>
    <n v="0"/>
  </r>
  <r>
    <s v="729"/>
    <n v="60"/>
    <x v="0"/>
    <x v="0"/>
    <x v="2"/>
    <s v="Diseased"/>
    <n v="0"/>
    <n v="1"/>
    <n v="1"/>
    <n v="1"/>
    <n v="0"/>
    <n v="0"/>
    <x v="2"/>
    <n v="1"/>
  </r>
  <r>
    <s v="730"/>
    <n v="60"/>
    <x v="0"/>
    <x v="0"/>
    <x v="3"/>
    <s v="Diseased"/>
    <n v="1"/>
    <n v="1"/>
    <n v="1"/>
    <n v="0"/>
    <n v="1"/>
    <n v="0"/>
    <x v="0"/>
    <n v="1"/>
  </r>
  <r>
    <s v="731"/>
    <n v="56"/>
    <x v="0"/>
    <x v="0"/>
    <x v="3"/>
    <s v="Healthy"/>
    <n v="1"/>
    <n v="1"/>
    <n v="0"/>
    <n v="0"/>
    <n v="0"/>
    <n v="0"/>
    <x v="4"/>
    <n v="0"/>
  </r>
  <r>
    <s v="732"/>
    <n v="59"/>
    <x v="0"/>
    <x v="0"/>
    <x v="1"/>
    <s v="Diseased"/>
    <n v="0"/>
    <n v="1"/>
    <n v="1"/>
    <n v="1"/>
    <n v="0"/>
    <n v="0"/>
    <x v="2"/>
    <n v="1"/>
  </r>
  <r>
    <s v="733"/>
    <n v="62"/>
    <x v="0"/>
    <x v="0"/>
    <x v="1"/>
    <s v="Diseased"/>
    <n v="0"/>
    <n v="1"/>
    <n v="1"/>
    <n v="1"/>
    <n v="0"/>
    <n v="0"/>
    <x v="2"/>
    <n v="1"/>
  </r>
  <r>
    <s v="734"/>
    <n v="63"/>
    <x v="0"/>
    <x v="0"/>
    <x v="2"/>
    <s v="Diseased"/>
    <n v="0"/>
    <n v="0"/>
    <n v="0"/>
    <n v="0"/>
    <n v="0"/>
    <n v="0"/>
    <x v="6"/>
    <n v="1"/>
  </r>
  <r>
    <s v="735"/>
    <n v="57"/>
    <x v="0"/>
    <x v="0"/>
    <x v="1"/>
    <s v="Diseased"/>
    <n v="0"/>
    <n v="1"/>
    <n v="1"/>
    <n v="1"/>
    <n v="1"/>
    <n v="0"/>
    <x v="0"/>
    <n v="1"/>
  </r>
  <r>
    <s v="736"/>
    <n v="62"/>
    <x v="0"/>
    <x v="0"/>
    <x v="1"/>
    <s v="Healthy"/>
    <n v="1"/>
    <n v="1"/>
    <n v="0"/>
    <n v="0"/>
    <n v="0"/>
    <n v="0"/>
    <x v="4"/>
    <n v="0"/>
  </r>
  <r>
    <s v="737"/>
    <n v="63"/>
    <x v="0"/>
    <x v="0"/>
    <x v="1"/>
    <s v="Diseased"/>
    <n v="1"/>
    <n v="1"/>
    <n v="1"/>
    <n v="1"/>
    <n v="0"/>
    <n v="0"/>
    <x v="0"/>
    <n v="1"/>
  </r>
  <r>
    <s v="738"/>
    <n v="46"/>
    <x v="0"/>
    <x v="3"/>
    <x v="1"/>
    <s v="Diseased"/>
    <n v="1"/>
    <n v="1"/>
    <n v="1"/>
    <n v="1"/>
    <n v="0"/>
    <n v="0"/>
    <x v="0"/>
    <n v="1"/>
  </r>
  <r>
    <s v="739"/>
    <n v="63"/>
    <x v="0"/>
    <x v="0"/>
    <x v="1"/>
    <s v="Healthy"/>
    <n v="0"/>
    <n v="1"/>
    <n v="1"/>
    <n v="0"/>
    <n v="0"/>
    <n v="0"/>
    <x v="4"/>
    <n v="0"/>
  </r>
  <r>
    <s v="740"/>
    <n v="60"/>
    <x v="0"/>
    <x v="0"/>
    <x v="1"/>
    <s v="Healthy"/>
    <n v="0"/>
    <n v="1"/>
    <n v="0"/>
    <n v="1"/>
    <n v="0"/>
    <n v="0"/>
    <x v="4"/>
    <n v="0"/>
  </r>
  <r>
    <s v="741"/>
    <n v="58"/>
    <x v="0"/>
    <x v="0"/>
    <x v="1"/>
    <s v="Diseased"/>
    <n v="0"/>
    <n v="1"/>
    <n v="1"/>
    <n v="0"/>
    <n v="0"/>
    <n v="0"/>
    <x v="4"/>
    <n v="1"/>
  </r>
  <r>
    <s v="742"/>
    <n v="64"/>
    <x v="0"/>
    <x v="0"/>
    <x v="1"/>
    <s v="Diseased"/>
    <n v="0"/>
    <n v="1"/>
    <n v="1"/>
    <n v="0"/>
    <n v="1"/>
    <n v="0"/>
    <x v="2"/>
    <n v="1"/>
  </r>
  <r>
    <s v="743"/>
    <n v="63"/>
    <x v="0"/>
    <x v="0"/>
    <x v="2"/>
    <s v="Diseased"/>
    <n v="0"/>
    <n v="1"/>
    <n v="0"/>
    <n v="1"/>
    <n v="0"/>
    <n v="0"/>
    <x v="4"/>
    <n v="1"/>
  </r>
  <r>
    <s v="744"/>
    <n v="74"/>
    <x v="0"/>
    <x v="1"/>
    <x v="2"/>
    <s v="Healthy"/>
    <n v="0"/>
    <n v="0"/>
    <n v="0"/>
    <n v="0"/>
    <n v="0"/>
    <n v="0"/>
    <x v="6"/>
    <n v="0"/>
  </r>
  <r>
    <s v="745"/>
    <n v="52"/>
    <x v="0"/>
    <x v="3"/>
    <x v="2"/>
    <s v="Diseased"/>
    <n v="0"/>
    <n v="1"/>
    <n v="1"/>
    <n v="0"/>
    <n v="0"/>
    <n v="0"/>
    <x v="4"/>
    <n v="1"/>
  </r>
  <r>
    <s v="746"/>
    <n v="69"/>
    <x v="0"/>
    <x v="1"/>
    <x v="1"/>
    <s v="Diseased"/>
    <n v="0"/>
    <n v="1"/>
    <n v="1"/>
    <n v="0"/>
    <n v="1"/>
    <n v="0"/>
    <x v="2"/>
    <n v="1"/>
  </r>
  <r>
    <s v="747"/>
    <n v="51"/>
    <x v="0"/>
    <x v="3"/>
    <x v="1"/>
    <s v="Diseased"/>
    <n v="0"/>
    <n v="0"/>
    <n v="0"/>
    <n v="0"/>
    <n v="1"/>
    <n v="0"/>
    <x v="5"/>
    <n v="1"/>
  </r>
  <r>
    <s v="748"/>
    <n v="60"/>
    <x v="0"/>
    <x v="0"/>
    <x v="1"/>
    <s v="Diseased"/>
    <n v="1"/>
    <n v="1"/>
    <n v="1"/>
    <n v="1"/>
    <n v="1"/>
    <n v="0"/>
    <x v="1"/>
    <n v="1"/>
  </r>
  <r>
    <s v="749"/>
    <n v="56"/>
    <x v="0"/>
    <x v="0"/>
    <x v="1"/>
    <s v="Diseased"/>
    <n v="1"/>
    <n v="1"/>
    <n v="1"/>
    <n v="1"/>
    <n v="0"/>
    <n v="0"/>
    <x v="0"/>
    <n v="1"/>
  </r>
  <r>
    <s v="750"/>
    <n v="55"/>
    <x v="0"/>
    <x v="0"/>
    <x v="2"/>
    <s v="Diseased"/>
    <n v="1"/>
    <n v="0"/>
    <n v="0"/>
    <n v="0"/>
    <n v="0"/>
    <n v="0"/>
    <x v="5"/>
    <n v="1"/>
  </r>
  <r>
    <s v="751"/>
    <n v="54"/>
    <x v="0"/>
    <x v="3"/>
    <x v="1"/>
    <s v="Diseased"/>
    <n v="0"/>
    <n v="0"/>
    <n v="0"/>
    <n v="0"/>
    <n v="0"/>
    <n v="0"/>
    <x v="6"/>
    <n v="1"/>
  </r>
  <r>
    <s v="752"/>
    <n v="77"/>
    <x v="0"/>
    <x v="1"/>
    <x v="1"/>
    <s v="Diseased"/>
    <n v="1"/>
    <n v="1"/>
    <n v="1"/>
    <n v="1"/>
    <n v="0"/>
    <n v="0"/>
    <x v="0"/>
    <n v="1"/>
  </r>
  <r>
    <s v="753"/>
    <n v="63"/>
    <x v="0"/>
    <x v="0"/>
    <x v="1"/>
    <s v="Diseased"/>
    <n v="1"/>
    <n v="1"/>
    <n v="1"/>
    <n v="1"/>
    <n v="1"/>
    <n v="0"/>
    <x v="1"/>
    <n v="1"/>
  </r>
  <r>
    <s v="754"/>
    <n v="55"/>
    <x v="0"/>
    <x v="0"/>
    <x v="2"/>
    <s v="Diseased"/>
    <n v="0"/>
    <n v="0"/>
    <n v="1"/>
    <n v="0"/>
    <n v="0"/>
    <n v="0"/>
    <x v="5"/>
    <n v="1"/>
  </r>
  <r>
    <s v="755"/>
    <n v="52"/>
    <x v="0"/>
    <x v="3"/>
    <x v="2"/>
    <s v="Diseased"/>
    <n v="0"/>
    <n v="1"/>
    <n v="1"/>
    <n v="1"/>
    <n v="0"/>
    <n v="0"/>
    <x v="2"/>
    <n v="1"/>
  </r>
  <r>
    <s v="756"/>
    <n v="64"/>
    <x v="0"/>
    <x v="0"/>
    <x v="1"/>
    <s v="Diseased"/>
    <n v="0"/>
    <n v="1"/>
    <n v="1"/>
    <n v="1"/>
    <n v="0"/>
    <n v="0"/>
    <x v="2"/>
    <n v="1"/>
  </r>
  <r>
    <s v="757"/>
    <n v="60"/>
    <x v="0"/>
    <x v="0"/>
    <x v="1"/>
    <s v="Diseased"/>
    <n v="1"/>
    <n v="0"/>
    <n v="0"/>
    <n v="0"/>
    <n v="0"/>
    <n v="0"/>
    <x v="5"/>
    <n v="1"/>
  </r>
  <r>
    <s v="758"/>
    <n v="60"/>
    <x v="0"/>
    <x v="0"/>
    <x v="1"/>
    <s v="Healthy"/>
    <n v="0"/>
    <n v="1"/>
    <n v="1"/>
    <n v="1"/>
    <n v="0"/>
    <n v="0"/>
    <x v="2"/>
    <n v="0"/>
  </r>
  <r>
    <s v="759"/>
    <n v="58"/>
    <x v="0"/>
    <x v="0"/>
    <x v="1"/>
    <s v="Diseased"/>
    <n v="1"/>
    <n v="0"/>
    <n v="0"/>
    <n v="0"/>
    <n v="1"/>
    <n v="0"/>
    <x v="4"/>
    <n v="1"/>
  </r>
  <r>
    <s v="760"/>
    <n v="59"/>
    <x v="0"/>
    <x v="0"/>
    <x v="1"/>
    <s v="Healthy"/>
    <n v="0"/>
    <n v="1"/>
    <n v="1"/>
    <n v="1"/>
    <n v="0"/>
    <n v="0"/>
    <x v="2"/>
    <n v="0"/>
  </r>
  <r>
    <s v="761"/>
    <n v="61"/>
    <x v="0"/>
    <x v="0"/>
    <x v="2"/>
    <s v="Diseased"/>
    <n v="0"/>
    <n v="1"/>
    <n v="0"/>
    <n v="1"/>
    <n v="0"/>
    <n v="0"/>
    <x v="4"/>
    <n v="1"/>
  </r>
  <r>
    <s v="762"/>
    <n v="40"/>
    <x v="0"/>
    <x v="2"/>
    <x v="1"/>
    <s v="Diseased"/>
    <n v="0"/>
    <n v="1"/>
    <n v="0"/>
    <n v="0"/>
    <n v="1"/>
    <n v="0"/>
    <x v="4"/>
    <n v="1"/>
  </r>
  <r>
    <s v="763"/>
    <n v="61"/>
    <x v="0"/>
    <x v="0"/>
    <x v="1"/>
    <s v="Diseased"/>
    <n v="0"/>
    <n v="0"/>
    <n v="1"/>
    <n v="0"/>
    <n v="1"/>
    <n v="0"/>
    <x v="4"/>
    <n v="1"/>
  </r>
  <r>
    <s v="764"/>
    <n v="41"/>
    <x v="0"/>
    <x v="2"/>
    <x v="1"/>
    <s v="Healthy"/>
    <n v="0"/>
    <n v="1"/>
    <n v="0"/>
    <n v="0"/>
    <n v="0"/>
    <n v="0"/>
    <x v="5"/>
    <n v="0"/>
  </r>
  <r>
    <s v="765"/>
    <n v="57"/>
    <x v="0"/>
    <x v="0"/>
    <x v="1"/>
    <s v="Diseased"/>
    <n v="1"/>
    <n v="0"/>
    <n v="0"/>
    <n v="0"/>
    <n v="1"/>
    <n v="0"/>
    <x v="4"/>
    <n v="1"/>
  </r>
  <r>
    <s v="766"/>
    <n v="63"/>
    <x v="0"/>
    <x v="0"/>
    <x v="1"/>
    <s v="Diseased"/>
    <n v="0"/>
    <n v="1"/>
    <n v="0"/>
    <n v="1"/>
    <n v="0"/>
    <n v="0"/>
    <x v="4"/>
    <n v="1"/>
  </r>
  <r>
    <s v="767"/>
    <n v="59"/>
    <x v="0"/>
    <x v="0"/>
    <x v="1"/>
    <s v="Diseased"/>
    <n v="1"/>
    <n v="1"/>
    <n v="1"/>
    <n v="1"/>
    <n v="0"/>
    <n v="0"/>
    <x v="0"/>
    <n v="1"/>
  </r>
  <r>
    <s v="768"/>
    <n v="51"/>
    <x v="0"/>
    <x v="3"/>
    <x v="1"/>
    <s v="Healthy"/>
    <n v="0"/>
    <n v="1"/>
    <n v="0"/>
    <n v="0"/>
    <n v="0"/>
    <n v="0"/>
    <x v="5"/>
    <n v="0"/>
  </r>
  <r>
    <s v="769"/>
    <n v="59"/>
    <x v="0"/>
    <x v="0"/>
    <x v="2"/>
    <s v="Diseased"/>
    <n v="0"/>
    <n v="0"/>
    <n v="1"/>
    <n v="1"/>
    <n v="0"/>
    <n v="0"/>
    <x v="4"/>
    <n v="1"/>
  </r>
  <r>
    <s v="770"/>
    <n v="42"/>
    <x v="0"/>
    <x v="2"/>
    <x v="2"/>
    <s v="Healthy"/>
    <n v="1"/>
    <n v="1"/>
    <n v="0"/>
    <n v="0"/>
    <n v="0"/>
    <n v="0"/>
    <x v="4"/>
    <n v="0"/>
  </r>
  <r>
    <s v="771"/>
    <n v="55"/>
    <x v="0"/>
    <x v="0"/>
    <x v="2"/>
    <s v="Diseased"/>
    <n v="0"/>
    <n v="1"/>
    <n v="1"/>
    <n v="1"/>
    <n v="0"/>
    <n v="0"/>
    <x v="2"/>
    <n v="1"/>
  </r>
  <r>
    <s v="772"/>
    <n v="63"/>
    <x v="1"/>
    <x v="0"/>
    <x v="3"/>
    <s v="Healthy"/>
    <n v="0"/>
    <n v="0"/>
    <n v="0"/>
    <n v="0"/>
    <n v="0"/>
    <n v="0"/>
    <x v="6"/>
    <n v="0"/>
  </r>
  <r>
    <s v="773"/>
    <n v="62"/>
    <x v="0"/>
    <x v="0"/>
    <x v="1"/>
    <s v="Diseased"/>
    <n v="1"/>
    <n v="1"/>
    <n v="1"/>
    <n v="1"/>
    <n v="0"/>
    <n v="0"/>
    <x v="0"/>
    <n v="1"/>
  </r>
  <r>
    <s v="774"/>
    <n v="56"/>
    <x v="0"/>
    <x v="0"/>
    <x v="3"/>
    <s v="Healthy"/>
    <n v="1"/>
    <n v="1"/>
    <n v="1"/>
    <n v="0"/>
    <n v="1"/>
    <n v="0"/>
    <x v="0"/>
    <n v="0"/>
  </r>
  <r>
    <s v="775"/>
    <n v="53"/>
    <x v="0"/>
    <x v="3"/>
    <x v="1"/>
    <s v="Diseased"/>
    <n v="0"/>
    <n v="1"/>
    <n v="0"/>
    <n v="0"/>
    <n v="0"/>
    <n v="0"/>
    <x v="5"/>
    <n v="1"/>
  </r>
  <r>
    <s v="776"/>
    <n v="68"/>
    <x v="0"/>
    <x v="1"/>
    <x v="1"/>
    <s v="Diseased"/>
    <n v="0"/>
    <n v="1"/>
    <n v="1"/>
    <n v="1"/>
    <n v="0"/>
    <n v="0"/>
    <x v="2"/>
    <n v="1"/>
  </r>
  <r>
    <s v="777"/>
    <n v="53"/>
    <x v="0"/>
    <x v="3"/>
    <x v="1"/>
    <s v="Diseased"/>
    <n v="0"/>
    <n v="1"/>
    <n v="1"/>
    <n v="1"/>
    <n v="0"/>
    <n v="0"/>
    <x v="2"/>
    <n v="1"/>
  </r>
  <r>
    <s v="778"/>
    <n v="60"/>
    <x v="0"/>
    <x v="0"/>
    <x v="2"/>
    <s v="Diseased"/>
    <n v="1"/>
    <n v="0"/>
    <n v="0"/>
    <n v="0"/>
    <n v="1"/>
    <n v="0"/>
    <x v="4"/>
    <n v="1"/>
  </r>
  <r>
    <s v="779"/>
    <n v="62"/>
    <x v="0"/>
    <x v="0"/>
    <x v="3"/>
    <s v="Healthy"/>
    <n v="0"/>
    <n v="0"/>
    <n v="0"/>
    <n v="0"/>
    <n v="0"/>
    <n v="0"/>
    <x v="6"/>
    <n v="0"/>
  </r>
  <r>
    <s v="780"/>
    <n v="59"/>
    <x v="0"/>
    <x v="0"/>
    <x v="1"/>
    <s v="Diseased"/>
    <n v="0"/>
    <n v="1"/>
    <n v="0"/>
    <n v="1"/>
    <n v="1"/>
    <n v="0"/>
    <x v="2"/>
    <n v="1"/>
  </r>
  <r>
    <s v="781"/>
    <n v="51"/>
    <x v="0"/>
    <x v="3"/>
    <x v="1"/>
    <s v="Healthy"/>
    <n v="1"/>
    <n v="0"/>
    <n v="0"/>
    <n v="0"/>
    <n v="1"/>
    <n v="0"/>
    <x v="4"/>
    <n v="0"/>
  </r>
  <r>
    <s v="782"/>
    <n v="61"/>
    <x v="0"/>
    <x v="0"/>
    <x v="1"/>
    <s v="Diseased"/>
    <n v="0"/>
    <n v="1"/>
    <n v="1"/>
    <n v="1"/>
    <n v="0"/>
    <n v="0"/>
    <x v="2"/>
    <n v="1"/>
  </r>
  <r>
    <s v="783"/>
    <n v="57"/>
    <x v="0"/>
    <x v="0"/>
    <x v="1"/>
    <s v="Diseased"/>
    <n v="1"/>
    <n v="1"/>
    <n v="1"/>
    <n v="1"/>
    <n v="0"/>
    <n v="0"/>
    <x v="0"/>
    <n v="1"/>
  </r>
  <r>
    <s v="784"/>
    <n v="56"/>
    <x v="0"/>
    <x v="0"/>
    <x v="2"/>
    <s v="Diseased"/>
    <n v="0"/>
    <n v="1"/>
    <n v="1"/>
    <n v="1"/>
    <n v="0"/>
    <n v="0"/>
    <x v="2"/>
    <n v="1"/>
  </r>
  <r>
    <s v="785"/>
    <n v="58"/>
    <x v="0"/>
    <x v="0"/>
    <x v="3"/>
    <s v="Diseased"/>
    <n v="0"/>
    <n v="1"/>
    <n v="1"/>
    <n v="1"/>
    <n v="1"/>
    <n v="0"/>
    <x v="0"/>
    <n v="1"/>
  </r>
  <r>
    <s v="786"/>
    <n v="69"/>
    <x v="0"/>
    <x v="1"/>
    <x v="2"/>
    <s v="Diseased"/>
    <n v="0"/>
    <n v="1"/>
    <n v="1"/>
    <n v="0"/>
    <n v="0"/>
    <n v="0"/>
    <x v="4"/>
    <n v="1"/>
  </r>
  <r>
    <s v="787"/>
    <n v="67"/>
    <x v="0"/>
    <x v="1"/>
    <x v="0"/>
    <s v="Diseased"/>
    <n v="1"/>
    <n v="1"/>
    <n v="1"/>
    <n v="0"/>
    <n v="1"/>
    <n v="0"/>
    <x v="0"/>
    <n v="1"/>
  </r>
  <r>
    <s v="788"/>
    <n v="58"/>
    <x v="0"/>
    <x v="0"/>
    <x v="1"/>
    <s v="Diseased"/>
    <n v="0"/>
    <n v="1"/>
    <n v="1"/>
    <n v="1"/>
    <n v="0"/>
    <n v="0"/>
    <x v="2"/>
    <n v="1"/>
  </r>
  <r>
    <s v="789"/>
    <n v="65"/>
    <x v="0"/>
    <x v="1"/>
    <x v="1"/>
    <s v="Diseased"/>
    <n v="0"/>
    <n v="0"/>
    <n v="0"/>
    <n v="0"/>
    <n v="0"/>
    <n v="0"/>
    <x v="6"/>
    <n v="1"/>
  </r>
  <r>
    <s v="790"/>
    <n v="63"/>
    <x v="0"/>
    <x v="0"/>
    <x v="3"/>
    <s v="Diseased"/>
    <n v="1"/>
    <n v="0"/>
    <n v="0"/>
    <n v="0"/>
    <n v="1"/>
    <n v="0"/>
    <x v="4"/>
    <n v="1"/>
  </r>
  <r>
    <s v="791"/>
    <n v="55"/>
    <x v="0"/>
    <x v="0"/>
    <x v="3"/>
    <s v="Healthy"/>
    <n v="1"/>
    <n v="1"/>
    <n v="0"/>
    <n v="0"/>
    <n v="1"/>
    <n v="0"/>
    <x v="2"/>
    <n v="0"/>
  </r>
  <r>
    <s v="792"/>
    <n v="57"/>
    <x v="0"/>
    <x v="0"/>
    <x v="1"/>
    <s v="Diseased"/>
    <n v="1"/>
    <n v="1"/>
    <n v="1"/>
    <n v="1"/>
    <n v="0"/>
    <n v="0"/>
    <x v="0"/>
    <n v="1"/>
  </r>
  <r>
    <s v="793"/>
    <n v="65"/>
    <x v="0"/>
    <x v="1"/>
    <x v="0"/>
    <s v="Healthy"/>
    <n v="1"/>
    <n v="0"/>
    <n v="0"/>
    <n v="0"/>
    <n v="0"/>
    <n v="0"/>
    <x v="5"/>
    <n v="0"/>
  </r>
  <r>
    <s v="794"/>
    <n v="54"/>
    <x v="0"/>
    <x v="3"/>
    <x v="1"/>
    <s v="Diseased"/>
    <n v="1"/>
    <n v="1"/>
    <n v="1"/>
    <n v="1"/>
    <n v="0"/>
    <n v="0"/>
    <x v="0"/>
    <n v="1"/>
  </r>
  <r>
    <s v="795"/>
    <n v="72"/>
    <x v="0"/>
    <x v="1"/>
    <x v="2"/>
    <s v="Diseased"/>
    <n v="1"/>
    <n v="1"/>
    <n v="1"/>
    <n v="1"/>
    <n v="0"/>
    <n v="0"/>
    <x v="0"/>
    <n v="1"/>
  </r>
  <r>
    <s v="796"/>
    <n v="75"/>
    <x v="0"/>
    <x v="1"/>
    <x v="1"/>
    <s v="Diseased"/>
    <n v="1"/>
    <n v="1"/>
    <n v="0"/>
    <n v="0"/>
    <n v="1"/>
    <n v="0"/>
    <x v="2"/>
    <n v="1"/>
  </r>
  <r>
    <s v="797"/>
    <n v="49"/>
    <x v="0"/>
    <x v="3"/>
    <x v="0"/>
    <s v="Diseased"/>
    <n v="0"/>
    <n v="1"/>
    <n v="1"/>
    <n v="0"/>
    <n v="0"/>
    <n v="0"/>
    <x v="4"/>
    <n v="1"/>
  </r>
  <r>
    <s v="798"/>
    <n v="51"/>
    <x v="0"/>
    <x v="3"/>
    <x v="2"/>
    <s v="Diseased"/>
    <n v="1"/>
    <n v="0"/>
    <n v="0"/>
    <n v="0"/>
    <n v="0"/>
    <n v="0"/>
    <x v="5"/>
    <n v="1"/>
  </r>
  <r>
    <s v="799"/>
    <n v="60"/>
    <x v="0"/>
    <x v="0"/>
    <x v="1"/>
    <s v="Diseased"/>
    <n v="1"/>
    <n v="1"/>
    <n v="1"/>
    <n v="1"/>
    <n v="0"/>
    <n v="0"/>
    <x v="0"/>
    <n v="1"/>
  </r>
  <r>
    <s v="800"/>
    <n v="64"/>
    <x v="1"/>
    <x v="0"/>
    <x v="1"/>
    <s v="Diseased"/>
    <n v="1"/>
    <n v="1"/>
    <n v="1"/>
    <n v="1"/>
    <n v="0"/>
    <n v="0"/>
    <x v="0"/>
    <n v="1"/>
  </r>
  <r>
    <s v="801"/>
    <n v="58"/>
    <x v="0"/>
    <x v="0"/>
    <x v="1"/>
    <s v="Healthy"/>
    <n v="1"/>
    <n v="1"/>
    <n v="1"/>
    <n v="0"/>
    <n v="1"/>
    <n v="0"/>
    <x v="0"/>
    <n v="0"/>
  </r>
  <r>
    <s v="802"/>
    <n v="61"/>
    <x v="0"/>
    <x v="0"/>
    <x v="1"/>
    <s v="Diseased"/>
    <n v="1"/>
    <n v="1"/>
    <n v="1"/>
    <n v="1"/>
    <n v="0"/>
    <n v="0"/>
    <x v="0"/>
    <n v="1"/>
  </r>
  <r>
    <s v="803"/>
    <n v="67"/>
    <x v="0"/>
    <x v="1"/>
    <x v="1"/>
    <s v="Diseased"/>
    <n v="1"/>
    <n v="1"/>
    <n v="0"/>
    <n v="1"/>
    <n v="1"/>
    <n v="0"/>
    <x v="0"/>
    <n v="1"/>
  </r>
  <r>
    <s v="804"/>
    <n v="62"/>
    <x v="0"/>
    <x v="0"/>
    <x v="1"/>
    <s v="Diseased"/>
    <n v="1"/>
    <n v="1"/>
    <n v="1"/>
    <n v="1"/>
    <n v="0"/>
    <n v="0"/>
    <x v="0"/>
    <n v="1"/>
  </r>
  <r>
    <s v="805"/>
    <n v="65"/>
    <x v="0"/>
    <x v="1"/>
    <x v="1"/>
    <s v="Diseased"/>
    <n v="1"/>
    <n v="1"/>
    <n v="1"/>
    <n v="1"/>
    <n v="0"/>
    <n v="0"/>
    <x v="0"/>
    <n v="1"/>
  </r>
  <r>
    <s v="806"/>
    <n v="63"/>
    <x v="0"/>
    <x v="0"/>
    <x v="1"/>
    <s v="Diseased"/>
    <n v="1"/>
    <n v="1"/>
    <n v="1"/>
    <n v="1"/>
    <n v="0"/>
    <n v="0"/>
    <x v="0"/>
    <n v="1"/>
  </r>
  <r>
    <s v="807"/>
    <n v="69"/>
    <x v="0"/>
    <x v="1"/>
    <x v="1"/>
    <s v="Diseased"/>
    <n v="1"/>
    <n v="1"/>
    <n v="1"/>
    <n v="1"/>
    <n v="0"/>
    <n v="0"/>
    <x v="0"/>
    <n v="1"/>
  </r>
  <r>
    <s v="808"/>
    <n v="51"/>
    <x v="0"/>
    <x v="3"/>
    <x v="1"/>
    <s v="Healthy"/>
    <n v="1"/>
    <n v="0"/>
    <n v="0"/>
    <n v="0"/>
    <n v="1"/>
    <n v="0"/>
    <x v="4"/>
    <n v="0"/>
  </r>
  <r>
    <s v="809"/>
    <n v="62"/>
    <x v="0"/>
    <x v="0"/>
    <x v="1"/>
    <s v="Diseased"/>
    <n v="1"/>
    <n v="1"/>
    <n v="1"/>
    <n v="1"/>
    <n v="1"/>
    <n v="0"/>
    <x v="1"/>
    <n v="1"/>
  </r>
  <r>
    <s v="810"/>
    <n v="55"/>
    <x v="0"/>
    <x v="0"/>
    <x v="2"/>
    <s v="Diseased"/>
    <n v="1"/>
    <n v="0"/>
    <n v="0"/>
    <n v="0"/>
    <n v="1"/>
    <n v="0"/>
    <x v="4"/>
    <n v="1"/>
  </r>
  <r>
    <s v="811"/>
    <n v="75"/>
    <x v="0"/>
    <x v="1"/>
    <x v="1"/>
    <s v="Diseased"/>
    <n v="1"/>
    <n v="1"/>
    <n v="1"/>
    <n v="1"/>
    <n v="0"/>
    <n v="0"/>
    <x v="0"/>
    <n v="1"/>
  </r>
  <r>
    <s v="812"/>
    <n v="40"/>
    <x v="0"/>
    <x v="2"/>
    <x v="2"/>
    <s v="Healthy"/>
    <n v="1"/>
    <n v="1"/>
    <n v="0"/>
    <n v="1"/>
    <n v="0"/>
    <n v="0"/>
    <x v="2"/>
    <n v="0"/>
  </r>
  <r>
    <s v="813"/>
    <n v="67"/>
    <x v="0"/>
    <x v="1"/>
    <x v="1"/>
    <s v="Diseased"/>
    <n v="0"/>
    <n v="1"/>
    <n v="1"/>
    <n v="0"/>
    <n v="1"/>
    <n v="0"/>
    <x v="2"/>
    <n v="1"/>
  </r>
  <r>
    <s v="814"/>
    <n v="58"/>
    <x v="0"/>
    <x v="0"/>
    <x v="1"/>
    <s v="Diseased"/>
    <n v="1"/>
    <n v="1"/>
    <n v="0"/>
    <n v="0"/>
    <n v="0"/>
    <n v="0"/>
    <x v="4"/>
    <n v="1"/>
  </r>
  <r>
    <s v="815"/>
    <n v="60"/>
    <x v="0"/>
    <x v="0"/>
    <x v="1"/>
    <s v="Healthy"/>
    <n v="1"/>
    <n v="0"/>
    <n v="0"/>
    <n v="0"/>
    <n v="0"/>
    <n v="0"/>
    <x v="5"/>
    <n v="0"/>
  </r>
  <r>
    <s v="816"/>
    <n v="63"/>
    <x v="0"/>
    <x v="0"/>
    <x v="1"/>
    <s v="Diseased"/>
    <n v="1"/>
    <n v="1"/>
    <n v="1"/>
    <n v="1"/>
    <n v="1"/>
    <n v="0"/>
    <x v="1"/>
    <n v="1"/>
  </r>
  <r>
    <s v="817"/>
    <n v="35"/>
    <x v="0"/>
    <x v="2"/>
    <x v="2"/>
    <s v="Healthy"/>
    <n v="1"/>
    <n v="0"/>
    <n v="0"/>
    <n v="0"/>
    <n v="0"/>
    <n v="0"/>
    <x v="5"/>
    <n v="0"/>
  </r>
  <r>
    <s v="818"/>
    <n v="62"/>
    <x v="0"/>
    <x v="0"/>
    <x v="0"/>
    <s v="Diseased"/>
    <n v="1"/>
    <n v="1"/>
    <n v="0"/>
    <n v="1"/>
    <n v="0"/>
    <n v="0"/>
    <x v="2"/>
    <n v="1"/>
  </r>
  <r>
    <s v="819"/>
    <n v="43"/>
    <x v="0"/>
    <x v="2"/>
    <x v="1"/>
    <s v="Diseased"/>
    <n v="0"/>
    <n v="1"/>
    <n v="1"/>
    <n v="0"/>
    <n v="0"/>
    <n v="0"/>
    <x v="4"/>
    <n v="1"/>
  </r>
  <r>
    <s v="820"/>
    <n v="63"/>
    <x v="0"/>
    <x v="0"/>
    <x v="2"/>
    <s v="Healthy"/>
    <n v="0"/>
    <n v="1"/>
    <n v="1"/>
    <n v="0"/>
    <n v="1"/>
    <n v="0"/>
    <x v="2"/>
    <n v="0"/>
  </r>
  <r>
    <s v="821"/>
    <n v="68"/>
    <x v="0"/>
    <x v="1"/>
    <x v="2"/>
    <s v="Diseased"/>
    <n v="1"/>
    <n v="1"/>
    <n v="0"/>
    <n v="0"/>
    <n v="1"/>
    <n v="0"/>
    <x v="2"/>
    <n v="1"/>
  </r>
  <r>
    <s v="822"/>
    <n v="65"/>
    <x v="0"/>
    <x v="1"/>
    <x v="1"/>
    <s v="Diseased"/>
    <n v="1"/>
    <n v="1"/>
    <n v="1"/>
    <n v="1"/>
    <n v="0"/>
    <n v="0"/>
    <x v="0"/>
    <n v="1"/>
  </r>
  <r>
    <s v="823"/>
    <n v="48"/>
    <x v="0"/>
    <x v="3"/>
    <x v="2"/>
    <s v="Diseased"/>
    <n v="0"/>
    <n v="1"/>
    <n v="1"/>
    <n v="1"/>
    <n v="0"/>
    <n v="0"/>
    <x v="2"/>
    <n v="1"/>
  </r>
  <r>
    <s v="824"/>
    <n v="63"/>
    <x v="0"/>
    <x v="0"/>
    <x v="1"/>
    <s v="Diseased"/>
    <n v="1"/>
    <n v="1"/>
    <n v="1"/>
    <n v="1"/>
    <n v="0"/>
    <n v="0"/>
    <x v="0"/>
    <n v="1"/>
  </r>
  <r>
    <s v="825"/>
    <n v="64"/>
    <x v="0"/>
    <x v="0"/>
    <x v="1"/>
    <s v="Healthy"/>
    <n v="1"/>
    <n v="1"/>
    <n v="1"/>
    <n v="0"/>
    <n v="0"/>
    <n v="0"/>
    <x v="2"/>
    <n v="0"/>
  </r>
  <r>
    <s v="826"/>
    <n v="61"/>
    <x v="0"/>
    <x v="0"/>
    <x v="1"/>
    <s v="Diseased"/>
    <n v="1"/>
    <n v="1"/>
    <n v="1"/>
    <n v="1"/>
    <n v="0"/>
    <n v="0"/>
    <x v="0"/>
    <n v="1"/>
  </r>
  <r>
    <s v="827"/>
    <n v="50"/>
    <x v="0"/>
    <x v="3"/>
    <x v="1"/>
    <s v="Diseased"/>
    <n v="1"/>
    <n v="1"/>
    <n v="1"/>
    <n v="1"/>
    <n v="0"/>
    <n v="0"/>
    <x v="0"/>
    <n v="1"/>
  </r>
  <r>
    <s v="828"/>
    <n v="59"/>
    <x v="0"/>
    <x v="0"/>
    <x v="1"/>
    <s v="Diseased"/>
    <n v="0"/>
    <n v="1"/>
    <n v="1"/>
    <n v="1"/>
    <n v="0"/>
    <n v="0"/>
    <x v="2"/>
    <n v="1"/>
  </r>
  <r>
    <s v="829"/>
    <n v="55"/>
    <x v="0"/>
    <x v="0"/>
    <x v="1"/>
    <s v="Healthy"/>
    <n v="1"/>
    <n v="1"/>
    <n v="0"/>
    <n v="0"/>
    <n v="0"/>
    <n v="0"/>
    <x v="4"/>
    <n v="0"/>
  </r>
  <r>
    <s v="830"/>
    <n v="45"/>
    <x v="0"/>
    <x v="3"/>
    <x v="2"/>
    <s v="Healthy"/>
    <n v="1"/>
    <n v="0"/>
    <n v="0"/>
    <n v="0"/>
    <n v="0"/>
    <n v="0"/>
    <x v="5"/>
    <n v="0"/>
  </r>
  <r>
    <s v="831"/>
    <n v="65"/>
    <x v="0"/>
    <x v="1"/>
    <x v="1"/>
    <s v="Diseased"/>
    <n v="1"/>
    <n v="0"/>
    <n v="0"/>
    <n v="0"/>
    <n v="0"/>
    <n v="0"/>
    <x v="5"/>
    <n v="1"/>
  </r>
  <r>
    <s v="832"/>
    <n v="61"/>
    <x v="0"/>
    <x v="0"/>
    <x v="3"/>
    <s v="Healthy"/>
    <n v="1"/>
    <n v="0"/>
    <n v="0"/>
    <n v="0"/>
    <n v="0"/>
    <n v="0"/>
    <x v="5"/>
    <n v="0"/>
  </r>
  <r>
    <s v="833"/>
    <n v="49"/>
    <x v="0"/>
    <x v="3"/>
    <x v="2"/>
    <s v="Diseased"/>
    <n v="1"/>
    <n v="0"/>
    <n v="0"/>
    <n v="0"/>
    <n v="0"/>
    <n v="0"/>
    <x v="5"/>
    <n v="1"/>
  </r>
  <r>
    <s v="834"/>
    <n v="72"/>
    <x v="0"/>
    <x v="1"/>
    <x v="1"/>
    <s v="Diseased"/>
    <n v="1"/>
    <n v="0"/>
    <n v="0"/>
    <n v="0"/>
    <n v="0"/>
    <n v="0"/>
    <x v="5"/>
    <n v="1"/>
  </r>
  <r>
    <s v="835"/>
    <n v="50"/>
    <x v="0"/>
    <x v="3"/>
    <x v="1"/>
    <s v="Diseased"/>
    <n v="1"/>
    <n v="0"/>
    <n v="0"/>
    <n v="0"/>
    <n v="0"/>
    <n v="0"/>
    <x v="5"/>
    <n v="1"/>
  </r>
  <r>
    <s v="836"/>
    <n v="64"/>
    <x v="0"/>
    <x v="0"/>
    <x v="1"/>
    <s v="Diseased"/>
    <n v="1"/>
    <n v="0"/>
    <n v="0"/>
    <n v="0"/>
    <n v="1"/>
    <n v="0"/>
    <x v="4"/>
    <n v="1"/>
  </r>
  <r>
    <s v="837"/>
    <n v="55"/>
    <x v="0"/>
    <x v="0"/>
    <x v="1"/>
    <s v="Diseased"/>
    <n v="1"/>
    <n v="1"/>
    <n v="0"/>
    <n v="0"/>
    <n v="1"/>
    <n v="0"/>
    <x v="2"/>
    <n v="1"/>
  </r>
  <r>
    <s v="838"/>
    <n v="63"/>
    <x v="0"/>
    <x v="0"/>
    <x v="1"/>
    <s v="Diseased"/>
    <n v="1"/>
    <n v="1"/>
    <n v="1"/>
    <n v="1"/>
    <n v="0"/>
    <n v="0"/>
    <x v="0"/>
    <n v="1"/>
  </r>
  <r>
    <s v="839"/>
    <n v="59"/>
    <x v="0"/>
    <x v="0"/>
    <x v="1"/>
    <s v="Diseased"/>
    <n v="1"/>
    <n v="1"/>
    <n v="1"/>
    <n v="1"/>
    <n v="0"/>
    <n v="0"/>
    <x v="0"/>
    <n v="1"/>
  </r>
  <r>
    <s v="840"/>
    <n v="56"/>
    <x v="0"/>
    <x v="0"/>
    <x v="1"/>
    <s v="Diseased"/>
    <n v="0"/>
    <n v="0"/>
    <n v="0"/>
    <n v="0"/>
    <n v="0"/>
    <n v="0"/>
    <x v="6"/>
    <n v="1"/>
  </r>
  <r>
    <s v="841"/>
    <n v="62"/>
    <x v="0"/>
    <x v="0"/>
    <x v="2"/>
    <s v="Diseased"/>
    <n v="0"/>
    <n v="0"/>
    <n v="0"/>
    <n v="0"/>
    <n v="1"/>
    <n v="0"/>
    <x v="5"/>
    <n v="1"/>
  </r>
  <r>
    <s v="842"/>
    <n v="74"/>
    <x v="0"/>
    <x v="1"/>
    <x v="1"/>
    <s v="Diseased"/>
    <n v="1"/>
    <n v="1"/>
    <n v="1"/>
    <n v="1"/>
    <n v="1"/>
    <n v="0"/>
    <x v="1"/>
    <n v="1"/>
  </r>
  <r>
    <s v="843"/>
    <n v="54"/>
    <x v="0"/>
    <x v="3"/>
    <x v="1"/>
    <s v="Diseased"/>
    <n v="1"/>
    <n v="1"/>
    <n v="1"/>
    <n v="1"/>
    <n v="1"/>
    <n v="0"/>
    <x v="1"/>
    <n v="1"/>
  </r>
  <r>
    <s v="844"/>
    <n v="57"/>
    <x v="0"/>
    <x v="0"/>
    <x v="1"/>
    <s v="Healthy"/>
    <n v="1"/>
    <n v="1"/>
    <n v="0"/>
    <n v="0"/>
    <n v="0"/>
    <n v="0"/>
    <x v="4"/>
    <n v="0"/>
  </r>
  <r>
    <s v="845"/>
    <n v="62"/>
    <x v="0"/>
    <x v="0"/>
    <x v="2"/>
    <s v="Diseased"/>
    <n v="1"/>
    <n v="0"/>
    <n v="0"/>
    <n v="0"/>
    <n v="0"/>
    <n v="0"/>
    <x v="5"/>
    <n v="1"/>
  </r>
  <r>
    <s v="846"/>
    <n v="76"/>
    <x v="0"/>
    <x v="1"/>
    <x v="2"/>
    <s v="Diseased"/>
    <n v="0"/>
    <n v="1"/>
    <n v="1"/>
    <n v="0"/>
    <n v="0"/>
    <n v="0"/>
    <x v="4"/>
    <n v="1"/>
  </r>
  <r>
    <s v="847"/>
    <n v="54"/>
    <x v="1"/>
    <x v="3"/>
    <x v="1"/>
    <s v="Diseased"/>
    <n v="1"/>
    <n v="1"/>
    <n v="1"/>
    <n v="1"/>
    <n v="0"/>
    <n v="0"/>
    <x v="0"/>
    <n v="1"/>
  </r>
  <r>
    <s v="848"/>
    <n v="70"/>
    <x v="0"/>
    <x v="1"/>
    <x v="1"/>
    <s v="Diseased"/>
    <n v="1"/>
    <n v="1"/>
    <n v="1"/>
    <n v="1"/>
    <n v="0"/>
    <n v="0"/>
    <x v="0"/>
    <n v="1"/>
  </r>
  <r>
    <s v="849"/>
    <n v="61"/>
    <x v="1"/>
    <x v="0"/>
    <x v="3"/>
    <s v="Healthy"/>
    <n v="1"/>
    <n v="1"/>
    <n v="0"/>
    <n v="1"/>
    <n v="1"/>
    <n v="0"/>
    <x v="0"/>
    <n v="0"/>
  </r>
  <r>
    <s v="850"/>
    <n v="48"/>
    <x v="0"/>
    <x v="3"/>
    <x v="1"/>
    <s v="Healthy"/>
    <n v="1"/>
    <n v="0"/>
    <n v="0"/>
    <n v="0"/>
    <n v="0"/>
    <n v="0"/>
    <x v="5"/>
    <n v="0"/>
  </r>
  <r>
    <s v="851"/>
    <n v="48"/>
    <x v="0"/>
    <x v="3"/>
    <x v="2"/>
    <s v="Diseased"/>
    <n v="1"/>
    <n v="1"/>
    <n v="0"/>
    <n v="0"/>
    <n v="1"/>
    <n v="0"/>
    <x v="2"/>
    <n v="1"/>
  </r>
  <r>
    <s v="852"/>
    <n v="61"/>
    <x v="0"/>
    <x v="0"/>
    <x v="0"/>
    <s v="Diseased"/>
    <n v="1"/>
    <n v="1"/>
    <n v="1"/>
    <n v="0"/>
    <n v="1"/>
    <n v="0"/>
    <x v="0"/>
    <n v="1"/>
  </r>
  <r>
    <s v="853"/>
    <n v="66"/>
    <x v="0"/>
    <x v="1"/>
    <x v="1"/>
    <s v="Diseased"/>
    <n v="1"/>
    <n v="1"/>
    <n v="1"/>
    <n v="0"/>
    <n v="0"/>
    <n v="0"/>
    <x v="2"/>
    <n v="1"/>
  </r>
  <r>
    <s v="854"/>
    <n v="68"/>
    <x v="0"/>
    <x v="1"/>
    <x v="0"/>
    <s v="Healthy"/>
    <n v="1"/>
    <n v="0"/>
    <n v="0"/>
    <n v="0"/>
    <n v="1"/>
    <n v="0"/>
    <x v="4"/>
    <n v="0"/>
  </r>
  <r>
    <s v="855"/>
    <n v="55"/>
    <x v="0"/>
    <x v="0"/>
    <x v="1"/>
    <s v="Diseased"/>
    <n v="1"/>
    <n v="1"/>
    <n v="1"/>
    <n v="0"/>
    <n v="0"/>
    <n v="0"/>
    <x v="2"/>
    <n v="1"/>
  </r>
  <r>
    <s v="856"/>
    <n v="62"/>
    <x v="0"/>
    <x v="0"/>
    <x v="2"/>
    <s v="Healthy"/>
    <n v="1"/>
    <n v="1"/>
    <n v="0"/>
    <n v="0"/>
    <n v="0"/>
    <n v="0"/>
    <x v="4"/>
    <n v="0"/>
  </r>
  <r>
    <s v="857"/>
    <n v="71"/>
    <x v="0"/>
    <x v="1"/>
    <x v="2"/>
    <s v="Diseased"/>
    <n v="1"/>
    <n v="0"/>
    <n v="0"/>
    <n v="0"/>
    <n v="0"/>
    <n v="0"/>
    <x v="5"/>
    <n v="1"/>
  </r>
  <r>
    <s v="858"/>
    <n v="74"/>
    <x v="0"/>
    <x v="1"/>
    <x v="0"/>
    <s v="Diseased"/>
    <n v="1"/>
    <n v="0"/>
    <n v="0"/>
    <n v="0"/>
    <n v="1"/>
    <n v="0"/>
    <x v="4"/>
    <n v="1"/>
  </r>
  <r>
    <s v="859"/>
    <n v="53"/>
    <x v="0"/>
    <x v="3"/>
    <x v="2"/>
    <s v="Healthy"/>
    <n v="1"/>
    <n v="1"/>
    <n v="0"/>
    <n v="0"/>
    <n v="1"/>
    <n v="0"/>
    <x v="2"/>
    <n v="0"/>
  </r>
  <r>
    <s v="860"/>
    <n v="58"/>
    <x v="0"/>
    <x v="0"/>
    <x v="2"/>
    <s v="Diseased"/>
    <n v="1"/>
    <n v="1"/>
    <n v="0"/>
    <n v="1"/>
    <n v="0"/>
    <n v="0"/>
    <x v="2"/>
    <n v="1"/>
  </r>
  <r>
    <s v="861"/>
    <n v="75"/>
    <x v="0"/>
    <x v="1"/>
    <x v="1"/>
    <s v="Healthy"/>
    <n v="1"/>
    <n v="1"/>
    <n v="1"/>
    <n v="1"/>
    <n v="1"/>
    <n v="0"/>
    <x v="1"/>
    <n v="0"/>
  </r>
  <r>
    <s v="862"/>
    <n v="56"/>
    <x v="0"/>
    <x v="0"/>
    <x v="2"/>
    <s v="Diseased"/>
    <n v="1"/>
    <n v="0"/>
    <n v="0"/>
    <n v="0"/>
    <n v="1"/>
    <n v="0"/>
    <x v="4"/>
    <n v="1"/>
  </r>
  <r>
    <s v="863"/>
    <n v="58"/>
    <x v="0"/>
    <x v="0"/>
    <x v="2"/>
    <s v="Diseased"/>
    <n v="1"/>
    <n v="0"/>
    <n v="0"/>
    <n v="0"/>
    <n v="0"/>
    <n v="0"/>
    <x v="5"/>
    <n v="1"/>
  </r>
  <r>
    <s v="864"/>
    <n v="64"/>
    <x v="0"/>
    <x v="0"/>
    <x v="1"/>
    <s v="Diseased"/>
    <n v="1"/>
    <n v="1"/>
    <n v="1"/>
    <n v="1"/>
    <n v="0"/>
    <n v="0"/>
    <x v="0"/>
    <n v="1"/>
  </r>
  <r>
    <s v="865"/>
    <n v="54"/>
    <x v="0"/>
    <x v="3"/>
    <x v="2"/>
    <s v="Healthy"/>
    <n v="1"/>
    <n v="0"/>
    <n v="0"/>
    <n v="0"/>
    <n v="0"/>
    <n v="0"/>
    <x v="5"/>
    <n v="0"/>
  </r>
  <r>
    <s v="866"/>
    <n v="54"/>
    <x v="0"/>
    <x v="3"/>
    <x v="3"/>
    <s v="Healthy"/>
    <n v="1"/>
    <n v="0"/>
    <n v="0"/>
    <n v="0"/>
    <n v="0"/>
    <n v="0"/>
    <x v="5"/>
    <n v="0"/>
  </r>
  <r>
    <s v="867"/>
    <n v="59"/>
    <x v="0"/>
    <x v="0"/>
    <x v="1"/>
    <s v="Healthy"/>
    <n v="1"/>
    <n v="1"/>
    <n v="1"/>
    <n v="1"/>
    <n v="0"/>
    <n v="0"/>
    <x v="0"/>
    <n v="0"/>
  </r>
  <r>
    <s v="868"/>
    <n v="55"/>
    <x v="0"/>
    <x v="0"/>
    <x v="1"/>
    <s v="Diseased"/>
    <n v="1"/>
    <n v="0"/>
    <n v="0"/>
    <n v="0"/>
    <n v="1"/>
    <n v="0"/>
    <x v="4"/>
    <n v="1"/>
  </r>
  <r>
    <s v="869"/>
    <n v="57"/>
    <x v="0"/>
    <x v="0"/>
    <x v="1"/>
    <s v="Diseased"/>
    <n v="1"/>
    <n v="1"/>
    <n v="1"/>
    <n v="1"/>
    <n v="1"/>
    <n v="0"/>
    <x v="1"/>
    <n v="1"/>
  </r>
  <r>
    <s v="870"/>
    <n v="61"/>
    <x v="0"/>
    <x v="0"/>
    <x v="1"/>
    <s v="Diseased"/>
    <n v="1"/>
    <n v="0"/>
    <n v="0"/>
    <n v="0"/>
    <n v="0"/>
    <n v="0"/>
    <x v="5"/>
    <n v="1"/>
  </r>
  <r>
    <s v="871"/>
    <n v="41"/>
    <x v="0"/>
    <x v="2"/>
    <x v="1"/>
    <s v="Healthy"/>
    <n v="1"/>
    <n v="1"/>
    <n v="1"/>
    <n v="1"/>
    <n v="0"/>
    <n v="0"/>
    <x v="0"/>
    <n v="0"/>
  </r>
  <r>
    <s v="872"/>
    <n v="71"/>
    <x v="0"/>
    <x v="1"/>
    <x v="1"/>
    <s v="Diseased"/>
    <n v="1"/>
    <n v="1"/>
    <n v="0"/>
    <n v="1"/>
    <n v="0"/>
    <n v="0"/>
    <x v="2"/>
    <n v="1"/>
  </r>
  <r>
    <s v="873"/>
    <n v="38"/>
    <x v="0"/>
    <x v="2"/>
    <x v="1"/>
    <s v="Diseased"/>
    <n v="1"/>
    <n v="1"/>
    <n v="1"/>
    <n v="1"/>
    <n v="0"/>
    <n v="0"/>
    <x v="0"/>
    <n v="1"/>
  </r>
  <r>
    <s v="874"/>
    <n v="55"/>
    <x v="0"/>
    <x v="0"/>
    <x v="1"/>
    <s v="Diseased"/>
    <n v="1"/>
    <n v="1"/>
    <n v="1"/>
    <n v="1"/>
    <n v="0"/>
    <n v="0"/>
    <x v="0"/>
    <n v="1"/>
  </r>
  <r>
    <s v="875"/>
    <n v="56"/>
    <x v="0"/>
    <x v="0"/>
    <x v="1"/>
    <s v="Diseased"/>
    <n v="1"/>
    <n v="1"/>
    <n v="1"/>
    <n v="1"/>
    <n v="0"/>
    <n v="0"/>
    <x v="0"/>
    <n v="1"/>
  </r>
  <r>
    <s v="876"/>
    <n v="69"/>
    <x v="0"/>
    <x v="1"/>
    <x v="1"/>
    <s v="Diseased"/>
    <n v="0"/>
    <n v="0"/>
    <n v="0"/>
    <n v="0"/>
    <n v="1"/>
    <n v="0"/>
    <x v="5"/>
    <n v="1"/>
  </r>
  <r>
    <s v="877"/>
    <n v="64"/>
    <x v="0"/>
    <x v="0"/>
    <x v="1"/>
    <s v="Diseased"/>
    <n v="1"/>
    <n v="1"/>
    <n v="1"/>
    <n v="1"/>
    <n v="0"/>
    <n v="0"/>
    <x v="0"/>
    <n v="1"/>
  </r>
  <r>
    <s v="878"/>
    <n v="72"/>
    <x v="0"/>
    <x v="1"/>
    <x v="1"/>
    <s v="Diseased"/>
    <n v="0"/>
    <n v="1"/>
    <n v="1"/>
    <n v="0"/>
    <n v="1"/>
    <n v="0"/>
    <x v="2"/>
    <n v="1"/>
  </r>
  <r>
    <s v="879"/>
    <n v="69"/>
    <x v="0"/>
    <x v="1"/>
    <x v="1"/>
    <s v="Diseased"/>
    <n v="1"/>
    <n v="0"/>
    <n v="0"/>
    <n v="0"/>
    <n v="1"/>
    <n v="0"/>
    <x v="4"/>
    <n v="1"/>
  </r>
  <r>
    <s v="880"/>
    <n v="56"/>
    <x v="0"/>
    <x v="0"/>
    <x v="1"/>
    <s v="Diseased"/>
    <n v="1"/>
    <n v="0"/>
    <n v="0"/>
    <n v="0"/>
    <n v="1"/>
    <n v="0"/>
    <x v="4"/>
    <n v="1"/>
  </r>
  <r>
    <s v="881"/>
    <n v="62"/>
    <x v="0"/>
    <x v="0"/>
    <x v="1"/>
    <s v="Diseased"/>
    <n v="1"/>
    <n v="0"/>
    <n v="1"/>
    <n v="1"/>
    <n v="0"/>
    <n v="0"/>
    <x v="2"/>
    <n v="1"/>
  </r>
  <r>
    <s v="882"/>
    <n v="67"/>
    <x v="0"/>
    <x v="1"/>
    <x v="1"/>
    <s v="Diseased"/>
    <n v="1"/>
    <n v="0"/>
    <n v="0"/>
    <n v="0"/>
    <n v="0"/>
    <n v="0"/>
    <x v="5"/>
    <n v="1"/>
  </r>
  <r>
    <s v="883"/>
    <n v="57"/>
    <x v="0"/>
    <x v="0"/>
    <x v="1"/>
    <s v="Diseased"/>
    <n v="1"/>
    <n v="1"/>
    <n v="1"/>
    <n v="1"/>
    <n v="0"/>
    <n v="0"/>
    <x v="0"/>
    <n v="1"/>
  </r>
  <r>
    <s v="884"/>
    <n v="69"/>
    <x v="0"/>
    <x v="1"/>
    <x v="1"/>
    <s v="Diseased"/>
    <n v="1"/>
    <n v="0"/>
    <n v="0"/>
    <n v="0"/>
    <n v="1"/>
    <n v="0"/>
    <x v="4"/>
    <n v="1"/>
  </r>
  <r>
    <s v="885"/>
    <n v="51"/>
    <x v="0"/>
    <x v="3"/>
    <x v="1"/>
    <s v="Diseased"/>
    <n v="0"/>
    <n v="0"/>
    <n v="0"/>
    <n v="0"/>
    <n v="1"/>
    <n v="0"/>
    <x v="5"/>
    <n v="1"/>
  </r>
  <r>
    <s v="886"/>
    <n v="48"/>
    <x v="0"/>
    <x v="3"/>
    <x v="1"/>
    <s v="Diseased"/>
    <n v="0"/>
    <n v="1"/>
    <n v="1"/>
    <n v="1"/>
    <n v="0"/>
    <n v="0"/>
    <x v="2"/>
    <n v="1"/>
  </r>
  <r>
    <s v="887"/>
    <n v="69"/>
    <x v="0"/>
    <x v="1"/>
    <x v="1"/>
    <s v="Diseased"/>
    <n v="1"/>
    <n v="1"/>
    <n v="0"/>
    <n v="1"/>
    <n v="1"/>
    <n v="0"/>
    <x v="0"/>
    <n v="1"/>
  </r>
  <r>
    <s v="888"/>
    <n v="69"/>
    <x v="0"/>
    <x v="1"/>
    <x v="2"/>
    <s v="Healthy"/>
    <n v="1"/>
    <n v="0"/>
    <n v="0"/>
    <n v="0"/>
    <n v="0"/>
    <n v="0"/>
    <x v="5"/>
    <n v="0"/>
  </r>
  <r>
    <s v="889"/>
    <n v="64"/>
    <x v="0"/>
    <x v="0"/>
    <x v="1"/>
    <s v="Diseased"/>
    <n v="1"/>
    <n v="0"/>
    <n v="0"/>
    <n v="0"/>
    <n v="1"/>
    <n v="0"/>
    <x v="4"/>
    <n v="1"/>
  </r>
  <r>
    <s v="890"/>
    <n v="57"/>
    <x v="0"/>
    <x v="0"/>
    <x v="3"/>
    <s v="Diseased"/>
    <n v="1"/>
    <n v="1"/>
    <n v="1"/>
    <n v="0"/>
    <n v="1"/>
    <n v="0"/>
    <x v="0"/>
    <n v="1"/>
  </r>
  <r>
    <s v="891"/>
    <n v="53"/>
    <x v="0"/>
    <x v="3"/>
    <x v="1"/>
    <s v="Diseased"/>
    <n v="1"/>
    <n v="1"/>
    <n v="1"/>
    <n v="1"/>
    <n v="0"/>
    <n v="0"/>
    <x v="0"/>
    <n v="1"/>
  </r>
  <r>
    <s v="892"/>
    <n v="37"/>
    <x v="0"/>
    <x v="2"/>
    <x v="2"/>
    <s v="Healthy"/>
    <n v="1"/>
    <n v="1"/>
    <n v="1"/>
    <n v="0"/>
    <n v="0"/>
    <n v="0"/>
    <x v="2"/>
    <n v="0"/>
  </r>
  <r>
    <s v="893"/>
    <n v="67"/>
    <x v="0"/>
    <x v="1"/>
    <x v="1"/>
    <s v="Diseased"/>
    <n v="1"/>
    <n v="1"/>
    <n v="1"/>
    <n v="1"/>
    <n v="0"/>
    <n v="0"/>
    <x v="0"/>
    <n v="1"/>
  </r>
  <r>
    <s v="894"/>
    <n v="74"/>
    <x v="0"/>
    <x v="1"/>
    <x v="2"/>
    <s v="Diseased"/>
    <n v="1"/>
    <n v="1"/>
    <n v="0"/>
    <n v="0"/>
    <n v="1"/>
    <n v="0"/>
    <x v="2"/>
    <n v="1"/>
  </r>
  <r>
    <s v="895"/>
    <n v="63"/>
    <x v="0"/>
    <x v="0"/>
    <x v="3"/>
    <s v="Healthy"/>
    <n v="1"/>
    <n v="0"/>
    <n v="0"/>
    <n v="0"/>
    <n v="0"/>
    <n v="0"/>
    <x v="5"/>
    <n v="0"/>
  </r>
  <r>
    <s v="896"/>
    <n v="58"/>
    <x v="0"/>
    <x v="0"/>
    <x v="1"/>
    <s v="Healthy"/>
    <n v="1"/>
    <n v="1"/>
    <n v="0"/>
    <n v="0"/>
    <n v="0"/>
    <n v="0"/>
    <x v="4"/>
    <n v="0"/>
  </r>
  <r>
    <s v="897"/>
    <n v="61"/>
    <x v="0"/>
    <x v="0"/>
    <x v="1"/>
    <s v="Diseased"/>
    <n v="1"/>
    <n v="1"/>
    <n v="1"/>
    <n v="1"/>
    <n v="1"/>
    <n v="0"/>
    <x v="1"/>
    <n v="1"/>
  </r>
  <r>
    <s v="898"/>
    <n v="64"/>
    <x v="0"/>
    <x v="0"/>
    <x v="1"/>
    <s v="Diseased"/>
    <n v="1"/>
    <n v="1"/>
    <n v="0"/>
    <n v="0"/>
    <n v="1"/>
    <n v="0"/>
    <x v="2"/>
    <n v="1"/>
  </r>
  <r>
    <s v="899"/>
    <n v="58"/>
    <x v="0"/>
    <x v="0"/>
    <x v="1"/>
    <s v="Diseased"/>
    <n v="1"/>
    <n v="1"/>
    <n v="1"/>
    <n v="1"/>
    <n v="1"/>
    <n v="0"/>
    <x v="1"/>
    <n v="1"/>
  </r>
  <r>
    <s v="900"/>
    <n v="60"/>
    <x v="0"/>
    <x v="0"/>
    <x v="1"/>
    <s v="Diseased"/>
    <n v="1"/>
    <n v="1"/>
    <n v="1"/>
    <n v="1"/>
    <n v="1"/>
    <n v="0"/>
    <x v="1"/>
    <n v="1"/>
  </r>
  <r>
    <s v="901"/>
    <n v="57"/>
    <x v="0"/>
    <x v="0"/>
    <x v="1"/>
    <s v="Diseased"/>
    <n v="1"/>
    <n v="1"/>
    <n v="0"/>
    <n v="0"/>
    <n v="0"/>
    <n v="0"/>
    <x v="4"/>
    <n v="1"/>
  </r>
  <r>
    <s v="902"/>
    <n v="55"/>
    <x v="0"/>
    <x v="0"/>
    <x v="2"/>
    <s v="Healthy"/>
    <n v="0"/>
    <n v="0"/>
    <n v="0"/>
    <n v="0"/>
    <n v="0"/>
    <n v="0"/>
    <x v="6"/>
    <n v="0"/>
  </r>
  <r>
    <s v="903"/>
    <n v="55"/>
    <x v="0"/>
    <x v="0"/>
    <x v="1"/>
    <s v="Diseased"/>
    <n v="1"/>
    <n v="1"/>
    <n v="1"/>
    <n v="1"/>
    <n v="0"/>
    <n v="0"/>
    <x v="0"/>
    <n v="1"/>
  </r>
  <r>
    <s v="904"/>
    <n v="56"/>
    <x v="0"/>
    <x v="0"/>
    <x v="1"/>
    <s v="Diseased"/>
    <n v="1"/>
    <n v="1"/>
    <n v="1"/>
    <n v="0"/>
    <n v="1"/>
    <n v="0"/>
    <x v="0"/>
    <n v="1"/>
  </r>
  <r>
    <s v="905"/>
    <n v="57"/>
    <x v="0"/>
    <x v="0"/>
    <x v="1"/>
    <s v="Healthy"/>
    <n v="1"/>
    <n v="1"/>
    <n v="1"/>
    <n v="1"/>
    <n v="0"/>
    <n v="0"/>
    <x v="0"/>
    <n v="0"/>
  </r>
  <r>
    <s v="906"/>
    <n v="61"/>
    <x v="0"/>
    <x v="0"/>
    <x v="2"/>
    <s v="Diseased"/>
    <n v="1"/>
    <n v="0"/>
    <n v="0"/>
    <n v="0"/>
    <n v="0"/>
    <n v="0"/>
    <x v="5"/>
    <n v="1"/>
  </r>
  <r>
    <s v="907"/>
    <n v="61"/>
    <x v="0"/>
    <x v="0"/>
    <x v="2"/>
    <s v="Diseased"/>
    <n v="1"/>
    <n v="1"/>
    <n v="0"/>
    <n v="1"/>
    <n v="0"/>
    <n v="0"/>
    <x v="2"/>
    <n v="1"/>
  </r>
  <r>
    <s v="908"/>
    <n v="58"/>
    <x v="0"/>
    <x v="0"/>
    <x v="2"/>
    <s v="Diseased"/>
    <n v="1"/>
    <n v="1"/>
    <n v="0"/>
    <n v="1"/>
    <n v="0"/>
    <n v="0"/>
    <x v="2"/>
    <n v="1"/>
  </r>
  <r>
    <s v="909"/>
    <n v="74"/>
    <x v="0"/>
    <x v="1"/>
    <x v="1"/>
    <s v="Diseased"/>
    <n v="1"/>
    <n v="1"/>
    <n v="1"/>
    <n v="1"/>
    <n v="0"/>
    <n v="0"/>
    <x v="0"/>
    <n v="1"/>
  </r>
  <r>
    <s v="910"/>
    <n v="68"/>
    <x v="0"/>
    <x v="1"/>
    <x v="2"/>
    <s v="Healthy"/>
    <n v="1"/>
    <n v="1"/>
    <n v="0"/>
    <n v="1"/>
    <n v="1"/>
    <n v="0"/>
    <x v="0"/>
    <n v="0"/>
  </r>
  <r>
    <s v="911"/>
    <n v="51"/>
    <x v="1"/>
    <x v="3"/>
    <x v="1"/>
    <s v="Healthy"/>
    <n v="1"/>
    <n v="1"/>
    <n v="1"/>
    <n v="0"/>
    <n v="1"/>
    <n v="0"/>
    <x v="0"/>
    <n v="0"/>
  </r>
  <r>
    <s v="912"/>
    <n v="62"/>
    <x v="0"/>
    <x v="0"/>
    <x v="1"/>
    <s v="Diseased"/>
    <n v="1"/>
    <n v="1"/>
    <n v="1"/>
    <n v="1"/>
    <n v="1"/>
    <n v="0"/>
    <x v="1"/>
    <n v="1"/>
  </r>
  <r>
    <s v="913"/>
    <n v="53"/>
    <x v="0"/>
    <x v="3"/>
    <x v="1"/>
    <s v="Diseased"/>
    <n v="1"/>
    <n v="1"/>
    <n v="1"/>
    <n v="1"/>
    <n v="1"/>
    <n v="0"/>
    <x v="1"/>
    <n v="1"/>
  </r>
  <r>
    <s v="914"/>
    <n v="62"/>
    <x v="0"/>
    <x v="0"/>
    <x v="1"/>
    <s v="Diseased"/>
    <n v="1"/>
    <n v="1"/>
    <n v="0"/>
    <n v="1"/>
    <n v="0"/>
    <n v="0"/>
    <x v="2"/>
    <n v="1"/>
  </r>
  <r>
    <s v="915"/>
    <n v="46"/>
    <x v="0"/>
    <x v="3"/>
    <x v="1"/>
    <s v="Diseased"/>
    <n v="1"/>
    <n v="1"/>
    <n v="0"/>
    <n v="0"/>
    <n v="0"/>
    <n v="0"/>
    <x v="4"/>
    <n v="1"/>
  </r>
  <r>
    <s v="916"/>
    <n v="54"/>
    <x v="1"/>
    <x v="3"/>
    <x v="1"/>
    <s v="Diseased"/>
    <n v="1"/>
    <n v="1"/>
    <n v="0"/>
    <n v="0"/>
    <n v="1"/>
    <n v="0"/>
    <x v="2"/>
    <n v="1"/>
  </r>
  <r>
    <s v="917"/>
    <n v="62"/>
    <x v="0"/>
    <x v="0"/>
    <x v="0"/>
    <s v="Healthy"/>
    <n v="1"/>
    <n v="0"/>
    <n v="0"/>
    <n v="0"/>
    <n v="0"/>
    <n v="0"/>
    <x v="5"/>
    <n v="0"/>
  </r>
  <r>
    <s v="918"/>
    <n v="55"/>
    <x v="0"/>
    <x v="0"/>
    <x v="1"/>
    <s v="Diseased"/>
    <n v="1"/>
    <n v="1"/>
    <n v="0"/>
    <n v="0"/>
    <n v="1"/>
    <n v="0"/>
    <x v="2"/>
    <n v="1"/>
  </r>
  <r>
    <s v="919"/>
    <n v="58"/>
    <x v="0"/>
    <x v="0"/>
    <x v="1"/>
    <s v="Healthy"/>
    <n v="1"/>
    <n v="0"/>
    <n v="0"/>
    <n v="0"/>
    <n v="1"/>
    <n v="0"/>
    <x v="4"/>
    <n v="0"/>
  </r>
  <r>
    <s v="920"/>
    <n v="62"/>
    <x v="0"/>
    <x v="0"/>
    <x v="3"/>
    <s v="Diseased"/>
    <n v="1"/>
    <n v="1"/>
    <n v="0"/>
    <n v="1"/>
    <n v="0"/>
    <n v="0"/>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6C3ED3-10D0-4082-91DB-799ADF4B43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isk Score">
  <location ref="A3:C11" firstHeaderRow="0" firstDataRow="1" firstDataCol="1"/>
  <pivotFields count="15">
    <pivotField dataField="1" showAll="0"/>
    <pivotField numFmtId="1" showAll="0"/>
    <pivotField showAll="0">
      <items count="3">
        <item x="1"/>
        <item x="0"/>
        <item t="default"/>
      </items>
    </pivotField>
    <pivotField showAll="0">
      <items count="5">
        <item x="3"/>
        <item x="0"/>
        <item x="1"/>
        <item x="2"/>
        <item t="default"/>
      </items>
    </pivotField>
    <pivotField showAll="0"/>
    <pivotField showAll="0"/>
    <pivotField showAll="0"/>
    <pivotField showAll="0"/>
    <pivotField showAll="0"/>
    <pivotField showAll="0"/>
    <pivotField showAll="0"/>
    <pivotField showAll="0"/>
    <pivotField axis="axisRow" showAll="0">
      <items count="8">
        <item x="6"/>
        <item x="5"/>
        <item x="4"/>
        <item x="2"/>
        <item x="0"/>
        <item x="1"/>
        <item x="3"/>
        <item t="default"/>
      </items>
    </pivotField>
    <pivotField dataField="1" showAll="0"/>
    <pivotField dragToRow="0" dragToCol="0" dragToPage="0" showAll="0" defaultSubtotal="0"/>
  </pivotFields>
  <rowFields count="1">
    <field x="12"/>
  </rowFields>
  <rowItems count="8">
    <i>
      <x/>
    </i>
    <i>
      <x v="1"/>
    </i>
    <i>
      <x v="2"/>
    </i>
    <i>
      <x v="3"/>
    </i>
    <i>
      <x v="4"/>
    </i>
    <i>
      <x v="5"/>
    </i>
    <i>
      <x v="6"/>
    </i>
    <i t="grand">
      <x/>
    </i>
  </rowItems>
  <colFields count="1">
    <field x="-2"/>
  </colFields>
  <colItems count="2">
    <i>
      <x/>
    </i>
    <i i="1">
      <x v="1"/>
    </i>
  </colItems>
  <dataFields count="2">
    <dataField name="Total Patients" fld="0" subtotal="count" baseField="11" baseItem="0" numFmtId="1"/>
    <dataField name="Diseased" fld="13" baseField="0" baseItem="0" numFmtId="1"/>
  </dataFields>
  <formats count="4">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0"/>
          </reference>
        </references>
      </pivotArea>
    </format>
    <format dxfId="9">
      <pivotArea dataOnly="0" labelOnly="1" outline="0" fieldPosition="0">
        <references count="1">
          <reference field="4294967294" count="1">
            <x v="0"/>
          </reference>
        </references>
      </pivotArea>
    </format>
    <format dxfId="8">
      <pivotArea dataOnly="0" labelOnly="1" outline="0" fieldPosition="0">
        <references count="1">
          <reference field="4294967294" count="1">
            <x v="1"/>
          </reference>
        </references>
      </pivotArea>
    </format>
  </format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67F88C-760D-4B23-A5A5-B4E8338B8B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P8" firstHeaderRow="0" firstDataRow="1" firstDataCol="1"/>
  <pivotFields count="15">
    <pivotField dataField="1" showAll="0"/>
    <pivotField numFmtId="1" showAll="0"/>
    <pivotField showAll="0">
      <items count="3">
        <item x="1"/>
        <item x="0"/>
        <item t="default"/>
      </items>
    </pivotField>
    <pivotField showAll="0">
      <items count="5">
        <item x="3"/>
        <item x="0"/>
        <item x="1"/>
        <item x="2"/>
        <item t="default"/>
      </items>
    </pivotField>
    <pivotField axis="axisRow" showAll="0">
      <items count="5">
        <item x="1"/>
        <item x="3"/>
        <item x="2"/>
        <item x="0"/>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Total Patients" fld="0" subtotal="count" baseField="4" baseItem="0"/>
    <dataField name="Sum of Is Diseased"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CC4BA-1A12-4588-8E14-CBE17D1BD73C}"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F3:J10" firstHeaderRow="1" firstDataRow="3" firstDataCol="1"/>
  <pivotFields count="15">
    <pivotField dataField="1" showAll="0"/>
    <pivotField numFmtId="1" showAll="0"/>
    <pivotField axis="axisCol" showAll="0">
      <items count="3">
        <item x="1"/>
        <item x="0"/>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
  </rowFields>
  <rowItems count="5">
    <i>
      <x/>
    </i>
    <i>
      <x v="1"/>
    </i>
    <i>
      <x v="2"/>
    </i>
    <i>
      <x v="3"/>
    </i>
    <i t="grand">
      <x/>
    </i>
  </rowItems>
  <colFields count="2">
    <field x="2"/>
    <field x="-2"/>
  </colFields>
  <colItems count="4">
    <i>
      <x/>
      <x/>
    </i>
    <i r="1" i="1">
      <x v="1"/>
    </i>
    <i>
      <x v="1"/>
      <x/>
    </i>
    <i r="1" i="1">
      <x v="1"/>
    </i>
  </colItems>
  <dataFields count="2">
    <dataField name="Patients" fld="0" subtotal="count" baseField="3" baseItem="0"/>
    <dataField name="Diseased" fld="13"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4C5DDE-9777-43C7-80A1-73A7EDA2D64F}" autoFormatId="16" applyNumberFormats="0" applyBorderFormats="0" applyFontFormats="0" applyPatternFormats="0" applyAlignmentFormats="0" applyWidthHeightFormats="0">
  <queryTableRefresh nextId="17">
    <queryTableFields count="16">
      <queryTableField id="1" name="id" tableColumnId="1"/>
      <queryTableField id="2" name="age" tableColumnId="2"/>
      <queryTableField id="3" name="sex" tableColumnId="3"/>
      <queryTableField id="4" name="dataset" tableColumnId="4"/>
      <queryTableField id="5" name="cp" tableColumnId="5"/>
      <queryTableField id="6" name="trestbps" tableColumnId="6"/>
      <queryTableField id="7" name="chol" tableColumnId="7"/>
      <queryTableField id="8" name="fbs" tableColumnId="8"/>
      <queryTableField id="9" name="restecg" tableColumnId="9"/>
      <queryTableField id="10" name="thalch" tableColumnId="10"/>
      <queryTableField id="11" name="exang" tableColumnId="11"/>
      <queryTableField id="12" name="slope" tableColumnId="12"/>
      <queryTableField id="13" name="ca" tableColumnId="13"/>
      <queryTableField id="14" name="thal" tableColumnId="14"/>
      <queryTableField id="15" name="num" tableColumnId="15"/>
      <queryTableField id="16" name="oldpeak"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A11E2C66-1B01-4FCB-A58F-66C1D9764FBF}" autoFormatId="16" applyNumberFormats="0" applyBorderFormats="0" applyFontFormats="0" applyPatternFormats="0" applyAlignmentFormats="0" applyWidthHeightFormats="0">
  <queryTableRefresh nextId="16">
    <queryTableFields count="15">
      <queryTableField id="1" name="id" tableColumnId="1"/>
      <queryTableField id="2" name="age" tableColumnId="2"/>
      <queryTableField id="3" name="sex" tableColumnId="3"/>
      <queryTableField id="4" name="cp" tableColumnId="4"/>
      <queryTableField id="5" name="trestbps" tableColumnId="5"/>
      <queryTableField id="6" name="chol" tableColumnId="6"/>
      <queryTableField id="7" name="fbs" tableColumnId="7"/>
      <queryTableField id="8" name="restecg" tableColumnId="8"/>
      <queryTableField id="9" name="thalch" tableColumnId="9"/>
      <queryTableField id="10" name="exang" tableColumnId="10"/>
      <queryTableField id="11" name="slope" tableColumnId="11"/>
      <queryTableField id="12" name="ca" tableColumnId="12"/>
      <queryTableField id="13" name="thal" tableColumnId="13"/>
      <queryTableField id="14" name="num" tableColumnId="14"/>
      <queryTableField id="15" name="oldpeak"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DE9928C-82DE-4448-92E9-E35917A128A7}" sourceName="Age Group">
  <pivotTables>
    <pivotTable tabId="4" name="PivotTable1"/>
    <pivotTable tabId="4" name="PivotTable2"/>
    <pivotTable tabId="4" name="PivotTable3"/>
  </pivotTables>
  <data>
    <tabular pivotCacheId="167459224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A26EB44F-E739-4E83-AFC2-AA282FC74B6A}" sourceName="Sex">
  <pivotTables>
    <pivotTable tabId="4" name="PivotTable1"/>
    <pivotTable tabId="4" name="PivotTable2"/>
    <pivotTable tabId="4" name="PivotTable3"/>
  </pivotTables>
  <data>
    <tabular pivotCacheId="16745922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661784D4-77EC-485E-9219-E6797D22A689}" cache="Slicer_Age_Group" caption="Filter by Age Group" rowHeight="234950"/>
  <slicer name="Sex" xr10:uid="{819E9822-A10E-4B14-A585-9C0E3C7D3558}" cache="Slicer_Sex" caption="Filter by Sex"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E3C1AE-C332-409B-8B57-2EE81B3601C2}" name="HeartData" displayName="HeartData" ref="A1:P921" tableType="queryTable" totalsRowShown="0">
  <autoFilter ref="A1:P921" xr:uid="{1FE3C1AE-C332-409B-8B57-2EE81B3601C2}"/>
  <tableColumns count="16">
    <tableColumn id="1" xr3:uid="{7B920970-368B-4B7E-B030-85472065EF41}" uniqueName="1" name="id" queryTableFieldId="1" dataDxfId="28"/>
    <tableColumn id="2" xr3:uid="{13CD1637-9841-4653-94F8-AC51CE94B001}" uniqueName="2" name="age" queryTableFieldId="2" dataDxfId="27"/>
    <tableColumn id="3" xr3:uid="{62A23629-7EB1-42E7-973D-CBF9C1187016}" uniqueName="3" name="sex" queryTableFieldId="3" dataDxfId="26"/>
    <tableColumn id="4" xr3:uid="{C532EEEE-617D-4617-81C6-75FB261626B3}" uniqueName="4" name="dataset" queryTableFieldId="4" dataDxfId="25"/>
    <tableColumn id="5" xr3:uid="{175D3C88-88F8-46C4-83B1-D4BC2A5DA5CE}" uniqueName="5" name="cp" queryTableFieldId="5" dataDxfId="24"/>
    <tableColumn id="6" xr3:uid="{0FB9470C-A6DA-4616-B4BB-A21DAF9BE667}" uniqueName="6" name="trestbps" queryTableFieldId="6" dataDxfId="23"/>
    <tableColumn id="7" xr3:uid="{10370594-5ADA-4385-9747-BC845E57F9CC}" uniqueName="7" name="chol" queryTableFieldId="7" dataDxfId="22"/>
    <tableColumn id="8" xr3:uid="{D934A733-6BC9-401A-83A3-C6B974AC0601}" uniqueName="8" name="fbs" queryTableFieldId="8" dataDxfId="21"/>
    <tableColumn id="9" xr3:uid="{C9002769-DFBF-4DB1-84B5-2B231E34C746}" uniqueName="9" name="restecg" queryTableFieldId="9" dataDxfId="20"/>
    <tableColumn id="10" xr3:uid="{12E8DC1D-9BA4-490A-8EB4-0D9431C538CD}" uniqueName="10" name="thalch" queryTableFieldId="10" dataDxfId="19"/>
    <tableColumn id="11" xr3:uid="{F4BF630E-13AE-4E8F-8CCD-761EC8E17129}" uniqueName="11" name="exang" queryTableFieldId="11" dataDxfId="18"/>
    <tableColumn id="12" xr3:uid="{035E7620-B6D8-4580-AE37-193E023BEFC4}" uniqueName="12" name="slope" queryTableFieldId="12" dataDxfId="17"/>
    <tableColumn id="13" xr3:uid="{21338E63-2772-4FAD-81BA-9E509F4A2238}" uniqueName="13" name="ca" queryTableFieldId="13" dataDxfId="16"/>
    <tableColumn id="14" xr3:uid="{4A2FCD36-B27B-4B16-9886-84DF1124F8BE}" uniqueName="14" name="thal" queryTableFieldId="14" dataDxfId="15"/>
    <tableColumn id="15" xr3:uid="{938AAB44-682E-4FC8-BCAD-A2426CD26D9E}" uniqueName="15" name="num" queryTableFieldId="15" dataDxfId="14"/>
    <tableColumn id="16" xr3:uid="{36F5BF04-4D67-4C7A-965A-68C003DFA24D}" uniqueName="16" name="oldpeak" queryTableFieldId="16"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CC5FCD-5B46-4FF8-9652-AE7A460BB045}" name="HeartData_clean" displayName="HeartData_clean" ref="A1:O749" tableType="queryTable" totalsRowShown="0">
  <autoFilter ref="A1:O749" xr:uid="{3CCC5FCD-5B46-4FF8-9652-AE7A460BB045}"/>
  <tableColumns count="15">
    <tableColumn id="1" xr3:uid="{4B9E8B44-FA3C-4751-B23C-741538351673}" uniqueName="1" name="id" queryTableFieldId="1"/>
    <tableColumn id="2" xr3:uid="{099A60DF-FC3B-49A2-A291-EADEC2DCD0BD}" uniqueName="2" name="age" queryTableFieldId="2"/>
    <tableColumn id="3" xr3:uid="{0A1B0768-D1F5-4A2A-AAE2-D12F21CC77FD}" uniqueName="3" name="sex" queryTableFieldId="3" dataDxfId="4"/>
    <tableColumn id="4" xr3:uid="{DC7EC3F9-55DE-4188-9336-2039E96BD7BC}" uniqueName="4" name="cp" queryTableFieldId="4" dataDxfId="3"/>
    <tableColumn id="5" xr3:uid="{A7152EC7-0325-471A-B174-ECE172F452FC}" uniqueName="5" name="trestbps" queryTableFieldId="5"/>
    <tableColumn id="6" xr3:uid="{13491FE6-15A8-40A0-BBBD-0DECFC7C4D42}" uniqueName="6" name="chol" queryTableFieldId="6"/>
    <tableColumn id="7" xr3:uid="{A28E4188-E6D9-4426-8A16-F9F0586D1F67}" uniqueName="7" name="fbs" queryTableFieldId="7"/>
    <tableColumn id="8" xr3:uid="{C0C94CCD-FA32-4F8B-A0BE-7DBA674A45AB}" uniqueName="8" name="restecg" queryTableFieldId="8" dataDxfId="2"/>
    <tableColumn id="9" xr3:uid="{8DBD8BD1-AB71-4EAF-9D55-954C2344F41F}" uniqueName="9" name="thalch" queryTableFieldId="9"/>
    <tableColumn id="10" xr3:uid="{AEDB0F3C-A067-4603-897B-56908F0684D5}" uniqueName="10" name="exang" queryTableFieldId="10"/>
    <tableColumn id="11" xr3:uid="{F0DD71D3-6E8A-44FC-B420-6B937E49C7E4}" uniqueName="11" name="slope" queryTableFieldId="11" dataDxfId="1"/>
    <tableColumn id="12" xr3:uid="{B4B6C87D-8BAB-4FEC-8F57-417E3D5B873E}" uniqueName="12" name="ca" queryTableFieldId="12"/>
    <tableColumn id="13" xr3:uid="{29F646DD-0D59-4BAE-A71B-94D07F311CEE}" uniqueName="13" name="thal" queryTableFieldId="13" dataDxfId="0"/>
    <tableColumn id="14" xr3:uid="{98B4A44F-4E74-44B0-96BF-2FB13CF21AC3}" uniqueName="14" name="num" queryTableFieldId="14"/>
    <tableColumn id="15" xr3:uid="{F7768810-E7C8-4EF5-951C-89B8537F4EEB}" uniqueName="15" name="oldpeak"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D8AE24-5279-424B-9B6F-32A805E29315}" name="analysis" displayName="analysis" ref="A1:N921" totalsRowShown="0">
  <autoFilter ref="A1:N921" xr:uid="{03D8AE24-5279-424B-9B6F-32A805E29315}"/>
  <tableColumns count="14">
    <tableColumn id="1" xr3:uid="{D4F31931-D18A-472F-AE0B-E3E55B312E12}" name="ID">
      <calculatedColumnFormula>HeartData[[#This Row],[id]]</calculatedColumnFormula>
    </tableColumn>
    <tableColumn id="2" xr3:uid="{209274A2-0461-4C3C-963B-F4F5E1DC1AF8}" name="Age" dataDxfId="12">
      <calculatedColumnFormula>HeartData[[#This Row],[age]]</calculatedColumnFormula>
    </tableColumn>
    <tableColumn id="3" xr3:uid="{F5CC4815-87E3-4DF1-95CC-C09D8332D81D}" name="Sex">
      <calculatedColumnFormula>HeartData[[#This Row],[sex]]</calculatedColumnFormula>
    </tableColumn>
    <tableColumn id="4" xr3:uid="{F8BD81F8-3E9F-4FBE-A174-F5B8AF90C5F4}" name="Age Group">
      <calculatedColumnFormula>IF(B2&lt;45,"Under 45",IF(B2&lt;=54,"45-54",IF(B2&lt;=64,"55-64","65+")))</calculatedColumnFormula>
    </tableColumn>
    <tableColumn id="15" xr3:uid="{BCD3B33E-3DE3-4D09-BE17-CB183BC2EB97}" name="CP">
      <calculatedColumnFormula>HeartData[[#This Row],[cp]]</calculatedColumnFormula>
    </tableColumn>
    <tableColumn id="5" xr3:uid="{D13DFFB9-4080-4533-A057-C31AE93C8E89}" name="Status">
      <calculatedColumnFormula>IF(HeartData[[#This Row],[num]]&gt;0, "Diseased", "Healthy")</calculatedColumnFormula>
    </tableColumn>
    <tableColumn id="6" xr3:uid="{3ED8F326-A486-4F3E-A337-E54C8F40CB0B}" name="Chol Flag">
      <calculatedColumnFormula>IF(HeartData[[#This Row],[chol]]&gt;$P$3, 1, 0)</calculatedColumnFormula>
    </tableColumn>
    <tableColumn id="7" xr3:uid="{A26ED39F-626C-4E48-9BE2-EB9F0AFF1026}" name="BP Flag">
      <calculatedColumnFormula>IF(HeartData[[#This Row],[trestbps]]&gt;$P$4, 1, 0)</calculatedColumnFormula>
    </tableColumn>
    <tableColumn id="8" xr3:uid="{58F0EF7D-B42C-4E49-BA9F-5235B70A3ED2}" name="ST Flag">
      <calculatedColumnFormula>IF(HeartData[[#This Row],[oldpeak]]&gt;$P$5,1,0)</calculatedColumnFormula>
    </tableColumn>
    <tableColumn id="9" xr3:uid="{06000955-9C93-466A-8939-E14F60DAFEA4}" name="Angina Flag">
      <calculatedColumnFormula>IF(HeartData[[#This Row],[exang]]="TRUE",1,0)</calculatedColumnFormula>
    </tableColumn>
    <tableColumn id="10" xr3:uid="{172E07B0-9999-444E-AADA-91C5D275CE08}" name="FBS Flag">
      <calculatedColumnFormula>IF(HeartData[[#This Row],[fbs]]="TRUE",1,0)</calculatedColumnFormula>
    </tableColumn>
    <tableColumn id="11" xr3:uid="{5ECA3B66-AE0B-4B3C-8789-84454254A461}" name="CA Flag">
      <calculatedColumnFormula>IF(HeartData[[#This Row],[ca]]&gt;0,1,0)</calculatedColumnFormula>
    </tableColumn>
    <tableColumn id="12" xr3:uid="{8473D418-78CF-43B7-A1EA-C57C0702260E}" name="Risk Score">
      <calculatedColumnFormula>G2+H2+I2+J2+K2+L2</calculatedColumnFormula>
    </tableColumn>
    <tableColumn id="13" xr3:uid="{F2E7990B-5F79-4FC9-B8D2-0119FB5305FD}" name="Is Diseased">
      <calculatedColumnFormula>IF(F2="Diseased",1,0)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6080-4896-438C-BDA8-720589771324}">
  <dimension ref="A1:P921"/>
  <sheetViews>
    <sheetView topLeftCell="E898" zoomScale="93" workbookViewId="0">
      <selection activeCell="I905" sqref="I905"/>
    </sheetView>
  </sheetViews>
  <sheetFormatPr defaultRowHeight="14.4" x14ac:dyDescent="0.3"/>
  <cols>
    <col min="1" max="1" width="4.77734375" style="4" bestFit="1" customWidth="1"/>
    <col min="2" max="2" width="6.21875" style="4" bestFit="1" customWidth="1"/>
    <col min="3" max="3" width="6.88671875" bestFit="1" customWidth="1"/>
    <col min="4" max="4" width="13.109375" bestFit="1" customWidth="1"/>
    <col min="5" max="5" width="13.21875" bestFit="1" customWidth="1"/>
    <col min="6" max="6" width="10" style="4" bestFit="1" customWidth="1"/>
    <col min="7" max="7" width="6.77734375" style="4" bestFit="1" customWidth="1"/>
    <col min="8" max="8" width="5.77734375" bestFit="1" customWidth="1"/>
    <col min="9" max="9" width="14.109375" bestFit="1" customWidth="1"/>
    <col min="10" max="10" width="8.44140625" style="4" bestFit="1" customWidth="1"/>
    <col min="11" max="11" width="8.21875" bestFit="1" customWidth="1"/>
    <col min="12" max="12" width="11.21875" bestFit="1" customWidth="1"/>
    <col min="13" max="13" width="5.109375" style="4" bestFit="1" customWidth="1"/>
    <col min="14" max="14" width="15.21875" bestFit="1" customWidth="1"/>
    <col min="15" max="15" width="7.109375" style="4" bestFit="1" customWidth="1"/>
    <col min="16" max="16" width="10" style="5" bestFit="1" customWidth="1"/>
  </cols>
  <sheetData>
    <row r="1" spans="1:16" x14ac:dyDescent="0.3">
      <c r="A1" s="4" t="s">
        <v>0</v>
      </c>
      <c r="B1" s="4" t="s">
        <v>1</v>
      </c>
      <c r="C1" t="s">
        <v>2</v>
      </c>
      <c r="D1" t="s">
        <v>3</v>
      </c>
      <c r="E1" t="s">
        <v>4</v>
      </c>
      <c r="F1" s="4" t="s">
        <v>5</v>
      </c>
      <c r="G1" s="4" t="s">
        <v>6</v>
      </c>
      <c r="H1" t="s">
        <v>7</v>
      </c>
      <c r="I1" t="s">
        <v>8</v>
      </c>
      <c r="J1" s="4" t="s">
        <v>9</v>
      </c>
      <c r="K1" t="s">
        <v>10</v>
      </c>
      <c r="L1" t="s">
        <v>11</v>
      </c>
      <c r="M1" s="4" t="s">
        <v>12</v>
      </c>
      <c r="N1" t="s">
        <v>13</v>
      </c>
      <c r="O1" s="4" t="s">
        <v>14</v>
      </c>
      <c r="P1" s="5" t="s">
        <v>15</v>
      </c>
    </row>
    <row r="2" spans="1:16" x14ac:dyDescent="0.3">
      <c r="A2" s="4">
        <v>1</v>
      </c>
      <c r="B2" s="4">
        <v>63</v>
      </c>
      <c r="C2" t="s">
        <v>16</v>
      </c>
      <c r="D2" t="s">
        <v>17</v>
      </c>
      <c r="E2" t="s">
        <v>18</v>
      </c>
      <c r="F2" s="4">
        <v>145</v>
      </c>
      <c r="G2" s="4">
        <v>233</v>
      </c>
      <c r="H2" t="s">
        <v>19</v>
      </c>
      <c r="I2" t="s">
        <v>20</v>
      </c>
      <c r="J2" s="4">
        <v>150</v>
      </c>
      <c r="K2" t="s">
        <v>21</v>
      </c>
      <c r="L2" t="s">
        <v>22</v>
      </c>
      <c r="M2" s="4">
        <v>0</v>
      </c>
      <c r="N2" t="s">
        <v>23</v>
      </c>
      <c r="O2" s="4">
        <v>0</v>
      </c>
      <c r="P2" s="5">
        <v>0.3</v>
      </c>
    </row>
    <row r="3" spans="1:16" x14ac:dyDescent="0.3">
      <c r="A3" s="4">
        <v>2</v>
      </c>
      <c r="B3" s="4">
        <v>67</v>
      </c>
      <c r="C3" t="s">
        <v>16</v>
      </c>
      <c r="D3" t="s">
        <v>17</v>
      </c>
      <c r="E3" t="s">
        <v>24</v>
      </c>
      <c r="F3" s="4">
        <v>160</v>
      </c>
      <c r="G3" s="4">
        <v>286</v>
      </c>
      <c r="H3" t="s">
        <v>21</v>
      </c>
      <c r="I3" t="s">
        <v>20</v>
      </c>
      <c r="J3" s="4">
        <v>108</v>
      </c>
      <c r="K3" t="s">
        <v>19</v>
      </c>
      <c r="L3" t="s">
        <v>25</v>
      </c>
      <c r="M3" s="4">
        <v>3</v>
      </c>
      <c r="N3" t="s">
        <v>26</v>
      </c>
      <c r="O3" s="4">
        <v>2</v>
      </c>
      <c r="P3" s="5">
        <v>0.5</v>
      </c>
    </row>
    <row r="4" spans="1:16" x14ac:dyDescent="0.3">
      <c r="A4" s="4">
        <v>3</v>
      </c>
      <c r="B4" s="4">
        <v>67</v>
      </c>
      <c r="C4" t="s">
        <v>16</v>
      </c>
      <c r="D4" t="s">
        <v>17</v>
      </c>
      <c r="E4" t="s">
        <v>24</v>
      </c>
      <c r="F4" s="4">
        <v>120</v>
      </c>
      <c r="G4" s="4">
        <v>229</v>
      </c>
      <c r="H4" t="s">
        <v>21</v>
      </c>
      <c r="I4" t="s">
        <v>20</v>
      </c>
      <c r="J4" s="4">
        <v>129</v>
      </c>
      <c r="K4" t="s">
        <v>19</v>
      </c>
      <c r="L4" t="s">
        <v>25</v>
      </c>
      <c r="M4" s="4">
        <v>2</v>
      </c>
      <c r="N4" t="s">
        <v>27</v>
      </c>
      <c r="O4" s="4">
        <v>1</v>
      </c>
      <c r="P4" s="5">
        <v>0.6</v>
      </c>
    </row>
    <row r="5" spans="1:16" x14ac:dyDescent="0.3">
      <c r="A5" s="4">
        <v>4</v>
      </c>
      <c r="B5" s="4">
        <v>37</v>
      </c>
      <c r="C5" t="s">
        <v>16</v>
      </c>
      <c r="D5" t="s">
        <v>17</v>
      </c>
      <c r="E5" t="s">
        <v>28</v>
      </c>
      <c r="F5" s="4">
        <v>130</v>
      </c>
      <c r="G5" s="4">
        <v>250</v>
      </c>
      <c r="H5" t="s">
        <v>21</v>
      </c>
      <c r="I5" t="s">
        <v>26</v>
      </c>
      <c r="J5" s="4">
        <v>187</v>
      </c>
      <c r="K5" t="s">
        <v>21</v>
      </c>
      <c r="L5" t="s">
        <v>22</v>
      </c>
      <c r="M5" s="4">
        <v>0</v>
      </c>
      <c r="N5" t="s">
        <v>26</v>
      </c>
      <c r="O5" s="4">
        <v>0</v>
      </c>
      <c r="P5" s="5">
        <v>0.5</v>
      </c>
    </row>
    <row r="6" spans="1:16" x14ac:dyDescent="0.3">
      <c r="A6" s="4">
        <v>5</v>
      </c>
      <c r="B6" s="4">
        <v>41</v>
      </c>
      <c r="C6" t="s">
        <v>29</v>
      </c>
      <c r="D6" t="s">
        <v>17</v>
      </c>
      <c r="E6" t="s">
        <v>30</v>
      </c>
      <c r="F6" s="4">
        <v>130</v>
      </c>
      <c r="G6" s="4">
        <v>204</v>
      </c>
      <c r="H6" t="s">
        <v>21</v>
      </c>
      <c r="I6" t="s">
        <v>20</v>
      </c>
      <c r="J6" s="4">
        <v>172</v>
      </c>
      <c r="K6" t="s">
        <v>21</v>
      </c>
      <c r="L6" t="s">
        <v>31</v>
      </c>
      <c r="M6" s="4">
        <v>0</v>
      </c>
      <c r="N6" t="s">
        <v>26</v>
      </c>
      <c r="O6" s="4">
        <v>0</v>
      </c>
      <c r="P6" s="5">
        <v>0.4</v>
      </c>
    </row>
    <row r="7" spans="1:16" x14ac:dyDescent="0.3">
      <c r="A7" s="4">
        <v>6</v>
      </c>
      <c r="B7" s="4">
        <v>56</v>
      </c>
      <c r="C7" t="s">
        <v>16</v>
      </c>
      <c r="D7" t="s">
        <v>17</v>
      </c>
      <c r="E7" t="s">
        <v>30</v>
      </c>
      <c r="F7" s="4">
        <v>120</v>
      </c>
      <c r="G7" s="4">
        <v>236</v>
      </c>
      <c r="H7" t="s">
        <v>21</v>
      </c>
      <c r="I7" t="s">
        <v>26</v>
      </c>
      <c r="J7" s="4">
        <v>178</v>
      </c>
      <c r="K7" t="s">
        <v>21</v>
      </c>
      <c r="L7" t="s">
        <v>31</v>
      </c>
      <c r="M7" s="4">
        <v>0</v>
      </c>
      <c r="N7" t="s">
        <v>26</v>
      </c>
      <c r="O7" s="4">
        <v>0</v>
      </c>
      <c r="P7" s="5">
        <v>0.8</v>
      </c>
    </row>
    <row r="8" spans="1:16" x14ac:dyDescent="0.3">
      <c r="A8" s="4">
        <v>7</v>
      </c>
      <c r="B8" s="4">
        <v>62</v>
      </c>
      <c r="C8" t="s">
        <v>29</v>
      </c>
      <c r="D8" t="s">
        <v>17</v>
      </c>
      <c r="E8" t="s">
        <v>24</v>
      </c>
      <c r="F8" s="4">
        <v>140</v>
      </c>
      <c r="G8" s="4">
        <v>268</v>
      </c>
      <c r="H8" t="s">
        <v>21</v>
      </c>
      <c r="I8" t="s">
        <v>20</v>
      </c>
      <c r="J8" s="4">
        <v>160</v>
      </c>
      <c r="K8" t="s">
        <v>21</v>
      </c>
      <c r="L8" t="s">
        <v>22</v>
      </c>
      <c r="M8" s="4">
        <v>2</v>
      </c>
      <c r="N8" t="s">
        <v>26</v>
      </c>
      <c r="O8" s="4">
        <v>3</v>
      </c>
      <c r="P8" s="5">
        <v>0.6</v>
      </c>
    </row>
    <row r="9" spans="1:16" x14ac:dyDescent="0.3">
      <c r="A9" s="4">
        <v>8</v>
      </c>
      <c r="B9" s="4">
        <v>57</v>
      </c>
      <c r="C9" t="s">
        <v>29</v>
      </c>
      <c r="D9" t="s">
        <v>17</v>
      </c>
      <c r="E9" t="s">
        <v>24</v>
      </c>
      <c r="F9" s="4">
        <v>120</v>
      </c>
      <c r="G9" s="4">
        <v>354</v>
      </c>
      <c r="H9" t="s">
        <v>21</v>
      </c>
      <c r="I9" t="s">
        <v>26</v>
      </c>
      <c r="J9" s="4">
        <v>163</v>
      </c>
      <c r="K9" t="s">
        <v>19</v>
      </c>
      <c r="L9" t="s">
        <v>31</v>
      </c>
      <c r="M9" s="4">
        <v>0</v>
      </c>
      <c r="N9" t="s">
        <v>26</v>
      </c>
      <c r="O9" s="4">
        <v>0</v>
      </c>
      <c r="P9" s="5">
        <v>0.6</v>
      </c>
    </row>
    <row r="10" spans="1:16" x14ac:dyDescent="0.3">
      <c r="A10" s="4">
        <v>9</v>
      </c>
      <c r="B10" s="4">
        <v>63</v>
      </c>
      <c r="C10" t="s">
        <v>16</v>
      </c>
      <c r="D10" t="s">
        <v>17</v>
      </c>
      <c r="E10" t="s">
        <v>24</v>
      </c>
      <c r="F10" s="4">
        <v>130</v>
      </c>
      <c r="G10" s="4">
        <v>254</v>
      </c>
      <c r="H10" t="s">
        <v>21</v>
      </c>
      <c r="I10" t="s">
        <v>20</v>
      </c>
      <c r="J10" s="4">
        <v>147</v>
      </c>
      <c r="K10" t="s">
        <v>21</v>
      </c>
      <c r="L10" t="s">
        <v>25</v>
      </c>
      <c r="M10" s="4">
        <v>1</v>
      </c>
      <c r="N10" t="s">
        <v>27</v>
      </c>
      <c r="O10" s="4">
        <v>2</v>
      </c>
      <c r="P10" s="5">
        <v>0.4</v>
      </c>
    </row>
    <row r="11" spans="1:16" x14ac:dyDescent="0.3">
      <c r="A11" s="4">
        <v>10</v>
      </c>
      <c r="B11" s="4">
        <v>53</v>
      </c>
      <c r="C11" t="s">
        <v>16</v>
      </c>
      <c r="D11" t="s">
        <v>17</v>
      </c>
      <c r="E11" t="s">
        <v>24</v>
      </c>
      <c r="F11" s="4">
        <v>140</v>
      </c>
      <c r="G11" s="4">
        <v>203</v>
      </c>
      <c r="H11" t="s">
        <v>19</v>
      </c>
      <c r="I11" t="s">
        <v>20</v>
      </c>
      <c r="J11" s="4">
        <v>155</v>
      </c>
      <c r="K11" t="s">
        <v>19</v>
      </c>
      <c r="L11" t="s">
        <v>22</v>
      </c>
      <c r="M11" s="4">
        <v>0</v>
      </c>
      <c r="N11" t="s">
        <v>27</v>
      </c>
      <c r="O11" s="4">
        <v>1</v>
      </c>
      <c r="P11" s="5">
        <v>0.1</v>
      </c>
    </row>
    <row r="12" spans="1:16" x14ac:dyDescent="0.3">
      <c r="A12" s="4">
        <v>11</v>
      </c>
      <c r="B12" s="4">
        <v>57</v>
      </c>
      <c r="C12" t="s">
        <v>16</v>
      </c>
      <c r="D12" t="s">
        <v>17</v>
      </c>
      <c r="E12" t="s">
        <v>24</v>
      </c>
      <c r="F12" s="4">
        <v>140</v>
      </c>
      <c r="G12" s="4">
        <v>192</v>
      </c>
      <c r="H12" t="s">
        <v>21</v>
      </c>
      <c r="I12" t="s">
        <v>26</v>
      </c>
      <c r="J12" s="4">
        <v>148</v>
      </c>
      <c r="K12" t="s">
        <v>21</v>
      </c>
      <c r="L12" t="s">
        <v>25</v>
      </c>
      <c r="M12" s="4">
        <v>0</v>
      </c>
      <c r="N12" t="s">
        <v>23</v>
      </c>
      <c r="O12" s="4">
        <v>0</v>
      </c>
      <c r="P12" s="5">
        <v>0.4</v>
      </c>
    </row>
    <row r="13" spans="1:16" x14ac:dyDescent="0.3">
      <c r="A13" s="4">
        <v>12</v>
      </c>
      <c r="B13" s="4">
        <v>56</v>
      </c>
      <c r="C13" t="s">
        <v>29</v>
      </c>
      <c r="D13" t="s">
        <v>17</v>
      </c>
      <c r="E13" t="s">
        <v>30</v>
      </c>
      <c r="F13" s="4">
        <v>140</v>
      </c>
      <c r="G13" s="4">
        <v>294</v>
      </c>
      <c r="H13" t="s">
        <v>21</v>
      </c>
      <c r="I13" t="s">
        <v>20</v>
      </c>
      <c r="J13" s="4">
        <v>153</v>
      </c>
      <c r="K13" t="s">
        <v>21</v>
      </c>
      <c r="L13" t="s">
        <v>25</v>
      </c>
      <c r="M13" s="4">
        <v>0</v>
      </c>
      <c r="N13" t="s">
        <v>26</v>
      </c>
      <c r="O13" s="4">
        <v>0</v>
      </c>
      <c r="P13" s="5">
        <v>0.3</v>
      </c>
    </row>
    <row r="14" spans="1:16" x14ac:dyDescent="0.3">
      <c r="A14" s="4">
        <v>13</v>
      </c>
      <c r="B14" s="4">
        <v>56</v>
      </c>
      <c r="C14" t="s">
        <v>16</v>
      </c>
      <c r="D14" t="s">
        <v>17</v>
      </c>
      <c r="E14" t="s">
        <v>28</v>
      </c>
      <c r="F14" s="4">
        <v>130</v>
      </c>
      <c r="G14" s="4">
        <v>256</v>
      </c>
      <c r="H14" t="s">
        <v>19</v>
      </c>
      <c r="I14" t="s">
        <v>20</v>
      </c>
      <c r="J14" s="4">
        <v>142</v>
      </c>
      <c r="K14" t="s">
        <v>19</v>
      </c>
      <c r="L14" t="s">
        <v>25</v>
      </c>
      <c r="M14" s="4">
        <v>1</v>
      </c>
      <c r="N14" t="s">
        <v>23</v>
      </c>
      <c r="O14" s="4">
        <v>2</v>
      </c>
      <c r="P14" s="5">
        <v>0.6</v>
      </c>
    </row>
    <row r="15" spans="1:16" x14ac:dyDescent="0.3">
      <c r="A15" s="4">
        <v>14</v>
      </c>
      <c r="B15" s="4">
        <v>44</v>
      </c>
      <c r="C15" t="s">
        <v>16</v>
      </c>
      <c r="D15" t="s">
        <v>17</v>
      </c>
      <c r="E15" t="s">
        <v>30</v>
      </c>
      <c r="F15" s="4">
        <v>120</v>
      </c>
      <c r="G15" s="4">
        <v>263</v>
      </c>
      <c r="H15" t="s">
        <v>21</v>
      </c>
      <c r="I15" t="s">
        <v>26</v>
      </c>
      <c r="J15" s="4">
        <v>173</v>
      </c>
      <c r="K15" t="s">
        <v>21</v>
      </c>
      <c r="L15" t="s">
        <v>31</v>
      </c>
      <c r="M15" s="4">
        <v>0</v>
      </c>
      <c r="N15" t="s">
        <v>27</v>
      </c>
      <c r="O15" s="4">
        <v>0</v>
      </c>
      <c r="P15" s="5">
        <v>0</v>
      </c>
    </row>
    <row r="16" spans="1:16" x14ac:dyDescent="0.3">
      <c r="A16" s="4">
        <v>15</v>
      </c>
      <c r="B16" s="4">
        <v>52</v>
      </c>
      <c r="C16" t="s">
        <v>16</v>
      </c>
      <c r="D16" t="s">
        <v>17</v>
      </c>
      <c r="E16" t="s">
        <v>28</v>
      </c>
      <c r="F16" s="4">
        <v>172</v>
      </c>
      <c r="G16" s="4">
        <v>199</v>
      </c>
      <c r="H16" t="s">
        <v>19</v>
      </c>
      <c r="I16" t="s">
        <v>26</v>
      </c>
      <c r="J16" s="4">
        <v>162</v>
      </c>
      <c r="K16" t="s">
        <v>21</v>
      </c>
      <c r="L16" t="s">
        <v>31</v>
      </c>
      <c r="M16" s="4">
        <v>0</v>
      </c>
      <c r="N16" t="s">
        <v>27</v>
      </c>
      <c r="O16" s="4">
        <v>0</v>
      </c>
      <c r="P16" s="5">
        <v>0.5</v>
      </c>
    </row>
    <row r="17" spans="1:16" x14ac:dyDescent="0.3">
      <c r="A17" s="4">
        <v>16</v>
      </c>
      <c r="B17" s="4">
        <v>57</v>
      </c>
      <c r="C17" t="s">
        <v>16</v>
      </c>
      <c r="D17" t="s">
        <v>17</v>
      </c>
      <c r="E17" t="s">
        <v>28</v>
      </c>
      <c r="F17" s="4">
        <v>150</v>
      </c>
      <c r="G17" s="4">
        <v>168</v>
      </c>
      <c r="H17" t="s">
        <v>21</v>
      </c>
      <c r="I17" t="s">
        <v>26</v>
      </c>
      <c r="J17" s="4">
        <v>174</v>
      </c>
      <c r="K17" t="s">
        <v>21</v>
      </c>
      <c r="L17" t="s">
        <v>31</v>
      </c>
      <c r="M17" s="4">
        <v>0</v>
      </c>
      <c r="N17" t="s">
        <v>26</v>
      </c>
      <c r="O17" s="4">
        <v>0</v>
      </c>
      <c r="P17" s="5">
        <v>0.6</v>
      </c>
    </row>
    <row r="18" spans="1:16" x14ac:dyDescent="0.3">
      <c r="A18" s="4">
        <v>17</v>
      </c>
      <c r="B18" s="4">
        <v>48</v>
      </c>
      <c r="C18" t="s">
        <v>16</v>
      </c>
      <c r="D18" t="s">
        <v>17</v>
      </c>
      <c r="E18" t="s">
        <v>30</v>
      </c>
      <c r="F18" s="4">
        <v>110</v>
      </c>
      <c r="G18" s="4">
        <v>229</v>
      </c>
      <c r="H18" t="s">
        <v>21</v>
      </c>
      <c r="I18" t="s">
        <v>26</v>
      </c>
      <c r="J18" s="4">
        <v>168</v>
      </c>
      <c r="K18" t="s">
        <v>21</v>
      </c>
      <c r="L18" t="s">
        <v>22</v>
      </c>
      <c r="M18" s="4">
        <v>0</v>
      </c>
      <c r="N18" t="s">
        <v>27</v>
      </c>
      <c r="O18" s="4">
        <v>1</v>
      </c>
      <c r="P18" s="5">
        <v>1</v>
      </c>
    </row>
    <row r="19" spans="1:16" x14ac:dyDescent="0.3">
      <c r="A19" s="4">
        <v>18</v>
      </c>
      <c r="B19" s="4">
        <v>54</v>
      </c>
      <c r="C19" t="s">
        <v>16</v>
      </c>
      <c r="D19" t="s">
        <v>17</v>
      </c>
      <c r="E19" t="s">
        <v>24</v>
      </c>
      <c r="F19" s="4">
        <v>140</v>
      </c>
      <c r="G19" s="4">
        <v>239</v>
      </c>
      <c r="H19" t="s">
        <v>21</v>
      </c>
      <c r="I19" t="s">
        <v>26</v>
      </c>
      <c r="J19" s="4">
        <v>160</v>
      </c>
      <c r="K19" t="s">
        <v>21</v>
      </c>
      <c r="L19" t="s">
        <v>31</v>
      </c>
      <c r="M19" s="4">
        <v>0</v>
      </c>
      <c r="N19" t="s">
        <v>26</v>
      </c>
      <c r="O19" s="4">
        <v>0</v>
      </c>
      <c r="P19" s="5">
        <v>0.2</v>
      </c>
    </row>
    <row r="20" spans="1:16" x14ac:dyDescent="0.3">
      <c r="A20" s="4">
        <v>19</v>
      </c>
      <c r="B20" s="4">
        <v>48</v>
      </c>
      <c r="C20" t="s">
        <v>29</v>
      </c>
      <c r="D20" t="s">
        <v>17</v>
      </c>
      <c r="E20" t="s">
        <v>28</v>
      </c>
      <c r="F20" s="4">
        <v>130</v>
      </c>
      <c r="G20" s="4">
        <v>275</v>
      </c>
      <c r="H20" t="s">
        <v>21</v>
      </c>
      <c r="I20" t="s">
        <v>26</v>
      </c>
      <c r="J20" s="4">
        <v>139</v>
      </c>
      <c r="K20" t="s">
        <v>21</v>
      </c>
      <c r="L20" t="s">
        <v>31</v>
      </c>
      <c r="M20" s="4">
        <v>0</v>
      </c>
      <c r="N20" t="s">
        <v>26</v>
      </c>
      <c r="O20" s="4">
        <v>0</v>
      </c>
      <c r="P20" s="5">
        <v>0.2</v>
      </c>
    </row>
    <row r="21" spans="1:16" x14ac:dyDescent="0.3">
      <c r="A21" s="4">
        <v>20</v>
      </c>
      <c r="B21" s="4">
        <v>49</v>
      </c>
      <c r="C21" t="s">
        <v>16</v>
      </c>
      <c r="D21" t="s">
        <v>17</v>
      </c>
      <c r="E21" t="s">
        <v>30</v>
      </c>
      <c r="F21" s="4">
        <v>130</v>
      </c>
      <c r="G21" s="4">
        <v>266</v>
      </c>
      <c r="H21" t="s">
        <v>21</v>
      </c>
      <c r="I21" t="s">
        <v>26</v>
      </c>
      <c r="J21" s="4">
        <v>171</v>
      </c>
      <c r="K21" t="s">
        <v>21</v>
      </c>
      <c r="L21" t="s">
        <v>31</v>
      </c>
      <c r="M21" s="4">
        <v>0</v>
      </c>
      <c r="N21" t="s">
        <v>26</v>
      </c>
      <c r="O21" s="4">
        <v>0</v>
      </c>
      <c r="P21" s="5">
        <v>0.6</v>
      </c>
    </row>
    <row r="22" spans="1:16" x14ac:dyDescent="0.3">
      <c r="A22" s="4">
        <v>21</v>
      </c>
      <c r="B22" s="4">
        <v>64</v>
      </c>
      <c r="C22" t="s">
        <v>16</v>
      </c>
      <c r="D22" t="s">
        <v>17</v>
      </c>
      <c r="E22" t="s">
        <v>18</v>
      </c>
      <c r="F22" s="4">
        <v>110</v>
      </c>
      <c r="G22" s="4">
        <v>211</v>
      </c>
      <c r="H22" t="s">
        <v>21</v>
      </c>
      <c r="I22" t="s">
        <v>20</v>
      </c>
      <c r="J22" s="4">
        <v>144</v>
      </c>
      <c r="K22" t="s">
        <v>19</v>
      </c>
      <c r="L22" t="s">
        <v>25</v>
      </c>
      <c r="M22" s="4">
        <v>0</v>
      </c>
      <c r="N22" t="s">
        <v>26</v>
      </c>
      <c r="O22" s="4">
        <v>0</v>
      </c>
      <c r="P22" s="5">
        <v>0.8</v>
      </c>
    </row>
    <row r="23" spans="1:16" x14ac:dyDescent="0.3">
      <c r="A23" s="4">
        <v>22</v>
      </c>
      <c r="B23" s="4">
        <v>58</v>
      </c>
      <c r="C23" t="s">
        <v>29</v>
      </c>
      <c r="D23" t="s">
        <v>17</v>
      </c>
      <c r="E23" t="s">
        <v>18</v>
      </c>
      <c r="F23" s="4">
        <v>150</v>
      </c>
      <c r="G23" s="4">
        <v>283</v>
      </c>
      <c r="H23" t="s">
        <v>19</v>
      </c>
      <c r="I23" t="s">
        <v>20</v>
      </c>
      <c r="J23" s="4">
        <v>162</v>
      </c>
      <c r="K23" t="s">
        <v>21</v>
      </c>
      <c r="L23" t="s">
        <v>31</v>
      </c>
      <c r="M23" s="4">
        <v>0</v>
      </c>
      <c r="N23" t="s">
        <v>26</v>
      </c>
      <c r="O23" s="4">
        <v>0</v>
      </c>
      <c r="P23" s="5">
        <v>1</v>
      </c>
    </row>
    <row r="24" spans="1:16" x14ac:dyDescent="0.3">
      <c r="A24" s="4">
        <v>23</v>
      </c>
      <c r="B24" s="4">
        <v>58</v>
      </c>
      <c r="C24" t="s">
        <v>16</v>
      </c>
      <c r="D24" t="s">
        <v>17</v>
      </c>
      <c r="E24" t="s">
        <v>30</v>
      </c>
      <c r="F24" s="4">
        <v>120</v>
      </c>
      <c r="G24" s="4">
        <v>284</v>
      </c>
      <c r="H24" t="s">
        <v>21</v>
      </c>
      <c r="I24" t="s">
        <v>20</v>
      </c>
      <c r="J24" s="4">
        <v>160</v>
      </c>
      <c r="K24" t="s">
        <v>21</v>
      </c>
      <c r="L24" t="s">
        <v>25</v>
      </c>
      <c r="M24" s="4">
        <v>0</v>
      </c>
      <c r="N24" t="s">
        <v>26</v>
      </c>
      <c r="O24" s="4">
        <v>1</v>
      </c>
      <c r="P24" s="5">
        <v>0.8</v>
      </c>
    </row>
    <row r="25" spans="1:16" x14ac:dyDescent="0.3">
      <c r="A25" s="4">
        <v>24</v>
      </c>
      <c r="B25" s="4">
        <v>58</v>
      </c>
      <c r="C25" t="s">
        <v>16</v>
      </c>
      <c r="D25" t="s">
        <v>17</v>
      </c>
      <c r="E25" t="s">
        <v>28</v>
      </c>
      <c r="F25" s="4">
        <v>132</v>
      </c>
      <c r="G25" s="4">
        <v>224</v>
      </c>
      <c r="H25" t="s">
        <v>21</v>
      </c>
      <c r="I25" t="s">
        <v>20</v>
      </c>
      <c r="J25" s="4">
        <v>173</v>
      </c>
      <c r="K25" t="s">
        <v>21</v>
      </c>
      <c r="L25" t="s">
        <v>31</v>
      </c>
      <c r="M25" s="4">
        <v>2</v>
      </c>
      <c r="N25" t="s">
        <v>27</v>
      </c>
      <c r="O25" s="4">
        <v>3</v>
      </c>
      <c r="P25" s="5">
        <v>0.2</v>
      </c>
    </row>
    <row r="26" spans="1:16" x14ac:dyDescent="0.3">
      <c r="A26" s="4">
        <v>25</v>
      </c>
      <c r="B26" s="4">
        <v>60</v>
      </c>
      <c r="C26" t="s">
        <v>16</v>
      </c>
      <c r="D26" t="s">
        <v>17</v>
      </c>
      <c r="E26" t="s">
        <v>24</v>
      </c>
      <c r="F26" s="4">
        <v>130</v>
      </c>
      <c r="G26" s="4">
        <v>206</v>
      </c>
      <c r="H26" t="s">
        <v>21</v>
      </c>
      <c r="I26" t="s">
        <v>20</v>
      </c>
      <c r="J26" s="4">
        <v>132</v>
      </c>
      <c r="K26" t="s">
        <v>19</v>
      </c>
      <c r="L26" t="s">
        <v>25</v>
      </c>
      <c r="M26" s="4">
        <v>2</v>
      </c>
      <c r="N26" t="s">
        <v>27</v>
      </c>
      <c r="O26" s="4">
        <v>4</v>
      </c>
      <c r="P26" s="5">
        <v>0.4</v>
      </c>
    </row>
    <row r="27" spans="1:16" x14ac:dyDescent="0.3">
      <c r="A27" s="4">
        <v>26</v>
      </c>
      <c r="B27" s="4">
        <v>50</v>
      </c>
      <c r="C27" t="s">
        <v>29</v>
      </c>
      <c r="D27" t="s">
        <v>17</v>
      </c>
      <c r="E27" t="s">
        <v>28</v>
      </c>
      <c r="F27" s="4">
        <v>120</v>
      </c>
      <c r="G27" s="4">
        <v>219</v>
      </c>
      <c r="H27" t="s">
        <v>21</v>
      </c>
      <c r="I27" t="s">
        <v>26</v>
      </c>
      <c r="J27" s="4">
        <v>158</v>
      </c>
      <c r="K27" t="s">
        <v>21</v>
      </c>
      <c r="L27" t="s">
        <v>25</v>
      </c>
      <c r="M27" s="4">
        <v>0</v>
      </c>
      <c r="N27" t="s">
        <v>26</v>
      </c>
      <c r="O27" s="4">
        <v>0</v>
      </c>
      <c r="P27" s="5">
        <v>0.6</v>
      </c>
    </row>
    <row r="28" spans="1:16" x14ac:dyDescent="0.3">
      <c r="A28" s="4">
        <v>27</v>
      </c>
      <c r="B28" s="4">
        <v>58</v>
      </c>
      <c r="C28" t="s">
        <v>29</v>
      </c>
      <c r="D28" t="s">
        <v>17</v>
      </c>
      <c r="E28" t="s">
        <v>28</v>
      </c>
      <c r="F28" s="4">
        <v>120</v>
      </c>
      <c r="G28" s="4">
        <v>340</v>
      </c>
      <c r="H28" t="s">
        <v>21</v>
      </c>
      <c r="I28" t="s">
        <v>26</v>
      </c>
      <c r="J28" s="4">
        <v>172</v>
      </c>
      <c r="K28" t="s">
        <v>21</v>
      </c>
      <c r="L28" t="s">
        <v>31</v>
      </c>
      <c r="M28" s="4">
        <v>0</v>
      </c>
      <c r="N28" t="s">
        <v>26</v>
      </c>
      <c r="O28" s="4">
        <v>0</v>
      </c>
      <c r="P28" s="5">
        <v>0</v>
      </c>
    </row>
    <row r="29" spans="1:16" x14ac:dyDescent="0.3">
      <c r="A29" s="4">
        <v>28</v>
      </c>
      <c r="B29" s="4">
        <v>66</v>
      </c>
      <c r="C29" t="s">
        <v>29</v>
      </c>
      <c r="D29" t="s">
        <v>17</v>
      </c>
      <c r="E29" t="s">
        <v>18</v>
      </c>
      <c r="F29" s="4">
        <v>150</v>
      </c>
      <c r="G29" s="4">
        <v>226</v>
      </c>
      <c r="H29" t="s">
        <v>21</v>
      </c>
      <c r="I29" t="s">
        <v>26</v>
      </c>
      <c r="J29" s="4">
        <v>114</v>
      </c>
      <c r="K29" t="s">
        <v>21</v>
      </c>
      <c r="L29" t="s">
        <v>22</v>
      </c>
      <c r="M29" s="4">
        <v>0</v>
      </c>
      <c r="N29" t="s">
        <v>26</v>
      </c>
      <c r="O29" s="4">
        <v>0</v>
      </c>
      <c r="P29" s="5">
        <v>0.6</v>
      </c>
    </row>
    <row r="30" spans="1:16" x14ac:dyDescent="0.3">
      <c r="A30" s="4">
        <v>29</v>
      </c>
      <c r="B30" s="4">
        <v>43</v>
      </c>
      <c r="C30" t="s">
        <v>16</v>
      </c>
      <c r="D30" t="s">
        <v>17</v>
      </c>
      <c r="E30" t="s">
        <v>24</v>
      </c>
      <c r="F30" s="4">
        <v>150</v>
      </c>
      <c r="G30" s="4">
        <v>247</v>
      </c>
      <c r="H30" t="s">
        <v>21</v>
      </c>
      <c r="I30" t="s">
        <v>26</v>
      </c>
      <c r="J30" s="4">
        <v>171</v>
      </c>
      <c r="K30" t="s">
        <v>21</v>
      </c>
      <c r="L30" t="s">
        <v>31</v>
      </c>
      <c r="M30" s="4">
        <v>0</v>
      </c>
      <c r="N30" t="s">
        <v>26</v>
      </c>
      <c r="O30" s="4">
        <v>0</v>
      </c>
      <c r="P30" s="5">
        <v>0.5</v>
      </c>
    </row>
    <row r="31" spans="1:16" x14ac:dyDescent="0.3">
      <c r="A31" s="4">
        <v>30</v>
      </c>
      <c r="B31" s="4">
        <v>40</v>
      </c>
      <c r="C31" t="s">
        <v>16</v>
      </c>
      <c r="D31" t="s">
        <v>17</v>
      </c>
      <c r="E31" t="s">
        <v>24</v>
      </c>
      <c r="F31" s="4">
        <v>110</v>
      </c>
      <c r="G31" s="4">
        <v>167</v>
      </c>
      <c r="H31" t="s">
        <v>21</v>
      </c>
      <c r="I31" t="s">
        <v>20</v>
      </c>
      <c r="J31" s="4">
        <v>114</v>
      </c>
      <c r="K31" t="s">
        <v>19</v>
      </c>
      <c r="L31" t="s">
        <v>25</v>
      </c>
      <c r="M31" s="4">
        <v>0</v>
      </c>
      <c r="N31" t="s">
        <v>27</v>
      </c>
      <c r="O31" s="4">
        <v>3</v>
      </c>
      <c r="P31" s="5">
        <v>2</v>
      </c>
    </row>
    <row r="32" spans="1:16" x14ac:dyDescent="0.3">
      <c r="A32" s="4">
        <v>31</v>
      </c>
      <c r="B32" s="4">
        <v>69</v>
      </c>
      <c r="C32" t="s">
        <v>29</v>
      </c>
      <c r="D32" t="s">
        <v>17</v>
      </c>
      <c r="E32" t="s">
        <v>18</v>
      </c>
      <c r="F32" s="4">
        <v>140</v>
      </c>
      <c r="G32" s="4">
        <v>239</v>
      </c>
      <c r="H32" t="s">
        <v>21</v>
      </c>
      <c r="I32" t="s">
        <v>26</v>
      </c>
      <c r="J32" s="4">
        <v>151</v>
      </c>
      <c r="K32" t="s">
        <v>21</v>
      </c>
      <c r="L32" t="s">
        <v>31</v>
      </c>
      <c r="M32" s="4">
        <v>2</v>
      </c>
      <c r="N32" t="s">
        <v>26</v>
      </c>
      <c r="O32" s="4">
        <v>0</v>
      </c>
      <c r="P32" s="5">
        <v>0.8</v>
      </c>
    </row>
    <row r="33" spans="1:16" x14ac:dyDescent="0.3">
      <c r="A33" s="4">
        <v>32</v>
      </c>
      <c r="B33" s="4">
        <v>60</v>
      </c>
      <c r="C33" t="s">
        <v>16</v>
      </c>
      <c r="D33" t="s">
        <v>17</v>
      </c>
      <c r="E33" t="s">
        <v>24</v>
      </c>
      <c r="F33" s="4">
        <v>117</v>
      </c>
      <c r="G33" s="4">
        <v>230</v>
      </c>
      <c r="H33" t="s">
        <v>19</v>
      </c>
      <c r="I33" t="s">
        <v>26</v>
      </c>
      <c r="J33" s="4">
        <v>160</v>
      </c>
      <c r="K33" t="s">
        <v>19</v>
      </c>
      <c r="L33" t="s">
        <v>31</v>
      </c>
      <c r="M33" s="4">
        <v>2</v>
      </c>
      <c r="N33" t="s">
        <v>27</v>
      </c>
      <c r="O33" s="4">
        <v>2</v>
      </c>
      <c r="P33" s="5">
        <v>0.4</v>
      </c>
    </row>
    <row r="34" spans="1:16" x14ac:dyDescent="0.3">
      <c r="A34" s="4">
        <v>33</v>
      </c>
      <c r="B34" s="4">
        <v>64</v>
      </c>
      <c r="C34" t="s">
        <v>16</v>
      </c>
      <c r="D34" t="s">
        <v>17</v>
      </c>
      <c r="E34" t="s">
        <v>28</v>
      </c>
      <c r="F34" s="4">
        <v>140</v>
      </c>
      <c r="G34" s="4">
        <v>335</v>
      </c>
      <c r="H34" t="s">
        <v>21</v>
      </c>
      <c r="I34" t="s">
        <v>26</v>
      </c>
      <c r="J34" s="4">
        <v>158</v>
      </c>
      <c r="K34" t="s">
        <v>21</v>
      </c>
      <c r="L34" t="s">
        <v>31</v>
      </c>
      <c r="M34" s="4">
        <v>0</v>
      </c>
      <c r="N34" t="s">
        <v>26</v>
      </c>
      <c r="O34" s="4">
        <v>1</v>
      </c>
      <c r="P34" s="5">
        <v>0</v>
      </c>
    </row>
    <row r="35" spans="1:16" x14ac:dyDescent="0.3">
      <c r="A35" s="4">
        <v>34</v>
      </c>
      <c r="B35" s="4">
        <v>59</v>
      </c>
      <c r="C35" t="s">
        <v>16</v>
      </c>
      <c r="D35" t="s">
        <v>17</v>
      </c>
      <c r="E35" t="s">
        <v>24</v>
      </c>
      <c r="F35" s="4">
        <v>135</v>
      </c>
      <c r="G35" s="4">
        <v>234</v>
      </c>
      <c r="H35" t="s">
        <v>21</v>
      </c>
      <c r="I35" t="s">
        <v>26</v>
      </c>
      <c r="J35" s="4">
        <v>161</v>
      </c>
      <c r="K35" t="s">
        <v>21</v>
      </c>
      <c r="L35" t="s">
        <v>25</v>
      </c>
      <c r="M35" s="4">
        <v>0</v>
      </c>
      <c r="N35" t="s">
        <v>27</v>
      </c>
      <c r="O35" s="4">
        <v>0</v>
      </c>
      <c r="P35" s="5">
        <v>0.5</v>
      </c>
    </row>
    <row r="36" spans="1:16" x14ac:dyDescent="0.3">
      <c r="A36" s="4">
        <v>35</v>
      </c>
      <c r="B36" s="4">
        <v>44</v>
      </c>
      <c r="C36" t="s">
        <v>16</v>
      </c>
      <c r="D36" t="s">
        <v>17</v>
      </c>
      <c r="E36" t="s">
        <v>28</v>
      </c>
      <c r="F36" s="4">
        <v>130</v>
      </c>
      <c r="G36" s="4">
        <v>233</v>
      </c>
      <c r="H36" t="s">
        <v>21</v>
      </c>
      <c r="I36" t="s">
        <v>26</v>
      </c>
      <c r="J36" s="4">
        <v>179</v>
      </c>
      <c r="K36" t="s">
        <v>19</v>
      </c>
      <c r="L36" t="s">
        <v>31</v>
      </c>
      <c r="M36" s="4">
        <v>0</v>
      </c>
      <c r="N36" t="s">
        <v>26</v>
      </c>
      <c r="O36" s="4">
        <v>0</v>
      </c>
      <c r="P36" s="5">
        <v>0.4</v>
      </c>
    </row>
    <row r="37" spans="1:16" x14ac:dyDescent="0.3">
      <c r="A37" s="4">
        <v>36</v>
      </c>
      <c r="B37" s="4">
        <v>42</v>
      </c>
      <c r="C37" t="s">
        <v>16</v>
      </c>
      <c r="D37" t="s">
        <v>17</v>
      </c>
      <c r="E37" t="s">
        <v>24</v>
      </c>
      <c r="F37" s="4">
        <v>140</v>
      </c>
      <c r="G37" s="4">
        <v>226</v>
      </c>
      <c r="H37" t="s">
        <v>21</v>
      </c>
      <c r="I37" t="s">
        <v>26</v>
      </c>
      <c r="J37" s="4">
        <v>178</v>
      </c>
      <c r="K37" t="s">
        <v>21</v>
      </c>
      <c r="L37" t="s">
        <v>31</v>
      </c>
      <c r="M37" s="4">
        <v>0</v>
      </c>
      <c r="N37" t="s">
        <v>26</v>
      </c>
      <c r="O37" s="4">
        <v>0</v>
      </c>
      <c r="P37" s="5">
        <v>0</v>
      </c>
    </row>
    <row r="38" spans="1:16" x14ac:dyDescent="0.3">
      <c r="A38" s="4">
        <v>37</v>
      </c>
      <c r="B38" s="4">
        <v>43</v>
      </c>
      <c r="C38" t="s">
        <v>16</v>
      </c>
      <c r="D38" t="s">
        <v>17</v>
      </c>
      <c r="E38" t="s">
        <v>24</v>
      </c>
      <c r="F38" s="4">
        <v>120</v>
      </c>
      <c r="G38" s="4">
        <v>177</v>
      </c>
      <c r="H38" t="s">
        <v>21</v>
      </c>
      <c r="I38" t="s">
        <v>20</v>
      </c>
      <c r="J38" s="4">
        <v>120</v>
      </c>
      <c r="K38" t="s">
        <v>19</v>
      </c>
      <c r="L38" t="s">
        <v>25</v>
      </c>
      <c r="M38" s="4">
        <v>0</v>
      </c>
      <c r="N38" t="s">
        <v>27</v>
      </c>
      <c r="O38" s="4">
        <v>3</v>
      </c>
      <c r="P38" s="5">
        <v>0.5</v>
      </c>
    </row>
    <row r="39" spans="1:16" x14ac:dyDescent="0.3">
      <c r="A39" s="4">
        <v>38</v>
      </c>
      <c r="B39" s="4">
        <v>57</v>
      </c>
      <c r="C39" t="s">
        <v>16</v>
      </c>
      <c r="D39" t="s">
        <v>17</v>
      </c>
      <c r="E39" t="s">
        <v>24</v>
      </c>
      <c r="F39" s="4">
        <v>150</v>
      </c>
      <c r="G39" s="4">
        <v>276</v>
      </c>
      <c r="H39" t="s">
        <v>21</v>
      </c>
      <c r="I39" t="s">
        <v>20</v>
      </c>
      <c r="J39" s="4">
        <v>112</v>
      </c>
      <c r="K39" t="s">
        <v>19</v>
      </c>
      <c r="L39" t="s">
        <v>25</v>
      </c>
      <c r="M39" s="4">
        <v>1</v>
      </c>
      <c r="N39" t="s">
        <v>23</v>
      </c>
      <c r="O39" s="4">
        <v>1</v>
      </c>
      <c r="P39" s="5">
        <v>0.6</v>
      </c>
    </row>
    <row r="40" spans="1:16" x14ac:dyDescent="0.3">
      <c r="A40" s="4">
        <v>39</v>
      </c>
      <c r="B40" s="4">
        <v>55</v>
      </c>
      <c r="C40" t="s">
        <v>16</v>
      </c>
      <c r="D40" t="s">
        <v>17</v>
      </c>
      <c r="E40" t="s">
        <v>24</v>
      </c>
      <c r="F40" s="4">
        <v>132</v>
      </c>
      <c r="G40" s="4">
        <v>353</v>
      </c>
      <c r="H40" t="s">
        <v>21</v>
      </c>
      <c r="I40" t="s">
        <v>26</v>
      </c>
      <c r="J40" s="4">
        <v>132</v>
      </c>
      <c r="K40" t="s">
        <v>19</v>
      </c>
      <c r="L40" t="s">
        <v>25</v>
      </c>
      <c r="M40" s="4">
        <v>1</v>
      </c>
      <c r="N40" t="s">
        <v>27</v>
      </c>
      <c r="O40" s="4">
        <v>3</v>
      </c>
      <c r="P40" s="5">
        <v>0.2</v>
      </c>
    </row>
    <row r="41" spans="1:16" x14ac:dyDescent="0.3">
      <c r="A41" s="4">
        <v>40</v>
      </c>
      <c r="B41" s="4">
        <v>61</v>
      </c>
      <c r="C41" t="s">
        <v>16</v>
      </c>
      <c r="D41" t="s">
        <v>17</v>
      </c>
      <c r="E41" t="s">
        <v>28</v>
      </c>
      <c r="F41" s="4">
        <v>150</v>
      </c>
      <c r="G41" s="4">
        <v>243</v>
      </c>
      <c r="H41" t="s">
        <v>19</v>
      </c>
      <c r="I41" t="s">
        <v>26</v>
      </c>
      <c r="J41" s="4">
        <v>137</v>
      </c>
      <c r="K41" t="s">
        <v>19</v>
      </c>
      <c r="L41" t="s">
        <v>25</v>
      </c>
      <c r="M41" s="4">
        <v>0</v>
      </c>
      <c r="N41" t="s">
        <v>26</v>
      </c>
      <c r="O41" s="4">
        <v>0</v>
      </c>
      <c r="P41" s="5">
        <v>1</v>
      </c>
    </row>
    <row r="42" spans="1:16" x14ac:dyDescent="0.3">
      <c r="A42" s="4">
        <v>41</v>
      </c>
      <c r="B42" s="4">
        <v>65</v>
      </c>
      <c r="C42" t="s">
        <v>29</v>
      </c>
      <c r="D42" t="s">
        <v>17</v>
      </c>
      <c r="E42" t="s">
        <v>24</v>
      </c>
      <c r="F42" s="4">
        <v>150</v>
      </c>
      <c r="G42" s="4">
        <v>225</v>
      </c>
      <c r="H42" t="s">
        <v>21</v>
      </c>
      <c r="I42" t="s">
        <v>20</v>
      </c>
      <c r="J42" s="4">
        <v>114</v>
      </c>
      <c r="K42" t="s">
        <v>21</v>
      </c>
      <c r="L42" t="s">
        <v>25</v>
      </c>
      <c r="M42" s="4">
        <v>3</v>
      </c>
      <c r="N42" t="s">
        <v>27</v>
      </c>
      <c r="O42" s="4">
        <v>4</v>
      </c>
      <c r="P42" s="5">
        <v>1</v>
      </c>
    </row>
    <row r="43" spans="1:16" x14ac:dyDescent="0.3">
      <c r="A43" s="4">
        <v>42</v>
      </c>
      <c r="B43" s="4">
        <v>40</v>
      </c>
      <c r="C43" t="s">
        <v>16</v>
      </c>
      <c r="D43" t="s">
        <v>17</v>
      </c>
      <c r="E43" t="s">
        <v>18</v>
      </c>
      <c r="F43" s="4">
        <v>140</v>
      </c>
      <c r="G43" s="4">
        <v>199</v>
      </c>
      <c r="H43" t="s">
        <v>21</v>
      </c>
      <c r="I43" t="s">
        <v>26</v>
      </c>
      <c r="J43" s="4">
        <v>178</v>
      </c>
      <c r="K43" t="s">
        <v>19</v>
      </c>
      <c r="L43" t="s">
        <v>31</v>
      </c>
      <c r="M43" s="4">
        <v>0</v>
      </c>
      <c r="N43" t="s">
        <v>27</v>
      </c>
      <c r="O43" s="4">
        <v>0</v>
      </c>
      <c r="P43" s="5">
        <v>0.4</v>
      </c>
    </row>
    <row r="44" spans="1:16" x14ac:dyDescent="0.3">
      <c r="A44" s="4">
        <v>43</v>
      </c>
      <c r="B44" s="4">
        <v>71</v>
      </c>
      <c r="C44" t="s">
        <v>29</v>
      </c>
      <c r="D44" t="s">
        <v>17</v>
      </c>
      <c r="E44" t="s">
        <v>30</v>
      </c>
      <c r="F44" s="4">
        <v>160</v>
      </c>
      <c r="G44" s="4">
        <v>302</v>
      </c>
      <c r="H44" t="s">
        <v>21</v>
      </c>
      <c r="I44" t="s">
        <v>26</v>
      </c>
      <c r="J44" s="4">
        <v>162</v>
      </c>
      <c r="K44" t="s">
        <v>21</v>
      </c>
      <c r="L44" t="s">
        <v>31</v>
      </c>
      <c r="M44" s="4">
        <v>2</v>
      </c>
      <c r="N44" t="s">
        <v>26</v>
      </c>
      <c r="O44" s="4">
        <v>0</v>
      </c>
      <c r="P44" s="5">
        <v>0.4</v>
      </c>
    </row>
    <row r="45" spans="1:16" x14ac:dyDescent="0.3">
      <c r="A45" s="4">
        <v>44</v>
      </c>
      <c r="B45" s="4">
        <v>59</v>
      </c>
      <c r="C45" t="s">
        <v>16</v>
      </c>
      <c r="D45" t="s">
        <v>17</v>
      </c>
      <c r="E45" t="s">
        <v>28</v>
      </c>
      <c r="F45" s="4">
        <v>150</v>
      </c>
      <c r="G45" s="4">
        <v>212</v>
      </c>
      <c r="H45" t="s">
        <v>19</v>
      </c>
      <c r="I45" t="s">
        <v>26</v>
      </c>
      <c r="J45" s="4">
        <v>157</v>
      </c>
      <c r="K45" t="s">
        <v>21</v>
      </c>
      <c r="L45" t="s">
        <v>31</v>
      </c>
      <c r="M45" s="4">
        <v>0</v>
      </c>
      <c r="N45" t="s">
        <v>26</v>
      </c>
      <c r="O45" s="4">
        <v>0</v>
      </c>
      <c r="P45" s="5">
        <v>0.6</v>
      </c>
    </row>
    <row r="46" spans="1:16" x14ac:dyDescent="0.3">
      <c r="A46" s="4">
        <v>45</v>
      </c>
      <c r="B46" s="4">
        <v>61</v>
      </c>
      <c r="C46" t="s">
        <v>29</v>
      </c>
      <c r="D46" t="s">
        <v>17</v>
      </c>
      <c r="E46" t="s">
        <v>24</v>
      </c>
      <c r="F46" s="4">
        <v>130</v>
      </c>
      <c r="G46" s="4">
        <v>330</v>
      </c>
      <c r="H46" t="s">
        <v>21</v>
      </c>
      <c r="I46" t="s">
        <v>20</v>
      </c>
      <c r="J46" s="4">
        <v>169</v>
      </c>
      <c r="K46" t="s">
        <v>21</v>
      </c>
      <c r="L46" t="s">
        <v>31</v>
      </c>
      <c r="M46" s="4">
        <v>0</v>
      </c>
      <c r="N46" t="s">
        <v>26</v>
      </c>
      <c r="O46" s="4">
        <v>1</v>
      </c>
      <c r="P46" s="5">
        <v>0</v>
      </c>
    </row>
    <row r="47" spans="1:16" x14ac:dyDescent="0.3">
      <c r="A47" s="4">
        <v>46</v>
      </c>
      <c r="B47" s="4">
        <v>58</v>
      </c>
      <c r="C47" t="s">
        <v>16</v>
      </c>
      <c r="D47" t="s">
        <v>17</v>
      </c>
      <c r="E47" t="s">
        <v>28</v>
      </c>
      <c r="F47" s="4">
        <v>112</v>
      </c>
      <c r="G47" s="4">
        <v>230</v>
      </c>
      <c r="H47" t="s">
        <v>21</v>
      </c>
      <c r="I47" t="s">
        <v>20</v>
      </c>
      <c r="J47" s="4">
        <v>165</v>
      </c>
      <c r="K47" t="s">
        <v>21</v>
      </c>
      <c r="L47" t="s">
        <v>25</v>
      </c>
      <c r="M47" s="4">
        <v>1</v>
      </c>
      <c r="N47" t="s">
        <v>27</v>
      </c>
      <c r="O47" s="4">
        <v>4</v>
      </c>
      <c r="P47" s="5">
        <v>0.5</v>
      </c>
    </row>
    <row r="48" spans="1:16" x14ac:dyDescent="0.3">
      <c r="A48" s="4">
        <v>47</v>
      </c>
      <c r="B48" s="4">
        <v>51</v>
      </c>
      <c r="C48" t="s">
        <v>16</v>
      </c>
      <c r="D48" t="s">
        <v>17</v>
      </c>
      <c r="E48" t="s">
        <v>28</v>
      </c>
      <c r="F48" s="4">
        <v>110</v>
      </c>
      <c r="G48" s="4">
        <v>175</v>
      </c>
      <c r="H48" t="s">
        <v>21</v>
      </c>
      <c r="I48" t="s">
        <v>26</v>
      </c>
      <c r="J48" s="4">
        <v>123</v>
      </c>
      <c r="K48" t="s">
        <v>21</v>
      </c>
      <c r="L48" t="s">
        <v>31</v>
      </c>
      <c r="M48" s="4">
        <v>0</v>
      </c>
      <c r="N48" t="s">
        <v>26</v>
      </c>
      <c r="O48" s="4">
        <v>0</v>
      </c>
      <c r="P48" s="5">
        <v>0.6</v>
      </c>
    </row>
    <row r="49" spans="1:16" x14ac:dyDescent="0.3">
      <c r="A49" s="4">
        <v>48</v>
      </c>
      <c r="B49" s="4">
        <v>50</v>
      </c>
      <c r="C49" t="s">
        <v>16</v>
      </c>
      <c r="D49" t="s">
        <v>17</v>
      </c>
      <c r="E49" t="s">
        <v>24</v>
      </c>
      <c r="F49" s="4">
        <v>150</v>
      </c>
      <c r="G49" s="4">
        <v>243</v>
      </c>
      <c r="H49" t="s">
        <v>21</v>
      </c>
      <c r="I49" t="s">
        <v>20</v>
      </c>
      <c r="J49" s="4">
        <v>128</v>
      </c>
      <c r="K49" t="s">
        <v>21</v>
      </c>
      <c r="L49" t="s">
        <v>25</v>
      </c>
      <c r="M49" s="4">
        <v>0</v>
      </c>
      <c r="N49" t="s">
        <v>27</v>
      </c>
      <c r="O49" s="4">
        <v>4</v>
      </c>
      <c r="P49" s="5">
        <v>0.6</v>
      </c>
    </row>
    <row r="50" spans="1:16" x14ac:dyDescent="0.3">
      <c r="A50" s="4">
        <v>49</v>
      </c>
      <c r="B50" s="4">
        <v>65</v>
      </c>
      <c r="C50" t="s">
        <v>29</v>
      </c>
      <c r="D50" t="s">
        <v>17</v>
      </c>
      <c r="E50" t="s">
        <v>28</v>
      </c>
      <c r="F50" s="4">
        <v>140</v>
      </c>
      <c r="G50" s="4">
        <v>417</v>
      </c>
      <c r="H50" t="s">
        <v>19</v>
      </c>
      <c r="I50" t="s">
        <v>20</v>
      </c>
      <c r="J50" s="4">
        <v>157</v>
      </c>
      <c r="K50" t="s">
        <v>21</v>
      </c>
      <c r="L50" t="s">
        <v>31</v>
      </c>
      <c r="M50" s="4">
        <v>1</v>
      </c>
      <c r="N50" t="s">
        <v>26</v>
      </c>
      <c r="O50" s="4">
        <v>0</v>
      </c>
      <c r="P50" s="5">
        <v>0.8</v>
      </c>
    </row>
    <row r="51" spans="1:16" x14ac:dyDescent="0.3">
      <c r="A51" s="4">
        <v>50</v>
      </c>
      <c r="B51" s="4">
        <v>53</v>
      </c>
      <c r="C51" t="s">
        <v>16</v>
      </c>
      <c r="D51" t="s">
        <v>17</v>
      </c>
      <c r="E51" t="s">
        <v>28</v>
      </c>
      <c r="F51" s="4">
        <v>130</v>
      </c>
      <c r="G51" s="4">
        <v>197</v>
      </c>
      <c r="H51" t="s">
        <v>19</v>
      </c>
      <c r="I51" t="s">
        <v>20</v>
      </c>
      <c r="J51" s="4">
        <v>152</v>
      </c>
      <c r="K51" t="s">
        <v>21</v>
      </c>
      <c r="L51" t="s">
        <v>22</v>
      </c>
      <c r="M51" s="4">
        <v>0</v>
      </c>
      <c r="N51" t="s">
        <v>26</v>
      </c>
      <c r="O51" s="4">
        <v>0</v>
      </c>
      <c r="P51" s="5">
        <v>0.2</v>
      </c>
    </row>
    <row r="52" spans="1:16" x14ac:dyDescent="0.3">
      <c r="A52" s="4">
        <v>51</v>
      </c>
      <c r="B52" s="4">
        <v>41</v>
      </c>
      <c r="C52" t="s">
        <v>29</v>
      </c>
      <c r="D52" t="s">
        <v>17</v>
      </c>
      <c r="E52" t="s">
        <v>30</v>
      </c>
      <c r="F52" s="4">
        <v>105</v>
      </c>
      <c r="G52" s="4">
        <v>198</v>
      </c>
      <c r="H52" t="s">
        <v>21</v>
      </c>
      <c r="I52" t="s">
        <v>26</v>
      </c>
      <c r="J52" s="4">
        <v>168</v>
      </c>
      <c r="K52" t="s">
        <v>21</v>
      </c>
      <c r="L52" t="s">
        <v>31</v>
      </c>
      <c r="M52" s="4">
        <v>1</v>
      </c>
      <c r="N52" t="s">
        <v>26</v>
      </c>
      <c r="O52" s="4">
        <v>0</v>
      </c>
      <c r="P52" s="5">
        <v>0</v>
      </c>
    </row>
    <row r="53" spans="1:16" x14ac:dyDescent="0.3">
      <c r="A53" s="4">
        <v>52</v>
      </c>
      <c r="B53" s="4">
        <v>65</v>
      </c>
      <c r="C53" t="s">
        <v>16</v>
      </c>
      <c r="D53" t="s">
        <v>17</v>
      </c>
      <c r="E53" t="s">
        <v>24</v>
      </c>
      <c r="F53" s="4">
        <v>120</v>
      </c>
      <c r="G53" s="4">
        <v>177</v>
      </c>
      <c r="H53" t="s">
        <v>21</v>
      </c>
      <c r="I53" t="s">
        <v>26</v>
      </c>
      <c r="J53" s="4">
        <v>140</v>
      </c>
      <c r="K53" t="s">
        <v>21</v>
      </c>
      <c r="L53" t="s">
        <v>31</v>
      </c>
      <c r="M53" s="4">
        <v>0</v>
      </c>
      <c r="N53" t="s">
        <v>27</v>
      </c>
      <c r="O53" s="4">
        <v>0</v>
      </c>
      <c r="P53" s="5">
        <v>0.4</v>
      </c>
    </row>
    <row r="54" spans="1:16" x14ac:dyDescent="0.3">
      <c r="A54" s="4">
        <v>53</v>
      </c>
      <c r="B54" s="4">
        <v>44</v>
      </c>
      <c r="C54" t="s">
        <v>16</v>
      </c>
      <c r="D54" t="s">
        <v>17</v>
      </c>
      <c r="E54" t="s">
        <v>24</v>
      </c>
      <c r="F54" s="4">
        <v>112</v>
      </c>
      <c r="G54" s="4">
        <v>290</v>
      </c>
      <c r="H54" t="s">
        <v>21</v>
      </c>
      <c r="I54" t="s">
        <v>20</v>
      </c>
      <c r="J54" s="4">
        <v>153</v>
      </c>
      <c r="K54" t="s">
        <v>21</v>
      </c>
      <c r="L54" t="s">
        <v>31</v>
      </c>
      <c r="M54" s="4">
        <v>1</v>
      </c>
      <c r="N54" t="s">
        <v>26</v>
      </c>
      <c r="O54" s="4">
        <v>2</v>
      </c>
      <c r="P54" s="5">
        <v>0</v>
      </c>
    </row>
    <row r="55" spans="1:16" x14ac:dyDescent="0.3">
      <c r="A55" s="4">
        <v>54</v>
      </c>
      <c r="B55" s="4">
        <v>44</v>
      </c>
      <c r="C55" t="s">
        <v>16</v>
      </c>
      <c r="D55" t="s">
        <v>17</v>
      </c>
      <c r="E55" t="s">
        <v>30</v>
      </c>
      <c r="F55" s="4">
        <v>130</v>
      </c>
      <c r="G55" s="4">
        <v>219</v>
      </c>
      <c r="H55" t="s">
        <v>21</v>
      </c>
      <c r="I55" t="s">
        <v>20</v>
      </c>
      <c r="J55" s="4">
        <v>188</v>
      </c>
      <c r="K55" t="s">
        <v>21</v>
      </c>
      <c r="L55" t="s">
        <v>31</v>
      </c>
      <c r="M55" s="4">
        <v>0</v>
      </c>
      <c r="N55" t="s">
        <v>26</v>
      </c>
      <c r="O55" s="4">
        <v>0</v>
      </c>
      <c r="P55" s="5">
        <v>0</v>
      </c>
    </row>
    <row r="56" spans="1:16" x14ac:dyDescent="0.3">
      <c r="A56" s="4">
        <v>55</v>
      </c>
      <c r="B56" s="4">
        <v>60</v>
      </c>
      <c r="C56" t="s">
        <v>16</v>
      </c>
      <c r="D56" t="s">
        <v>17</v>
      </c>
      <c r="E56" t="s">
        <v>24</v>
      </c>
      <c r="F56" s="4">
        <v>130</v>
      </c>
      <c r="G56" s="4">
        <v>253</v>
      </c>
      <c r="H56" t="s">
        <v>21</v>
      </c>
      <c r="I56" t="s">
        <v>26</v>
      </c>
      <c r="J56" s="4">
        <v>144</v>
      </c>
      <c r="K56" t="s">
        <v>19</v>
      </c>
      <c r="L56" t="s">
        <v>31</v>
      </c>
      <c r="M56" s="4">
        <v>1</v>
      </c>
      <c r="N56" t="s">
        <v>27</v>
      </c>
      <c r="O56" s="4">
        <v>1</v>
      </c>
      <c r="P56" s="5">
        <v>0.4</v>
      </c>
    </row>
    <row r="57" spans="1:16" x14ac:dyDescent="0.3">
      <c r="A57" s="4">
        <v>56</v>
      </c>
      <c r="B57" s="4">
        <v>54</v>
      </c>
      <c r="C57" t="s">
        <v>16</v>
      </c>
      <c r="D57" t="s">
        <v>17</v>
      </c>
      <c r="E57" t="s">
        <v>24</v>
      </c>
      <c r="F57" s="4">
        <v>124</v>
      </c>
      <c r="G57" s="4">
        <v>266</v>
      </c>
      <c r="H57" t="s">
        <v>21</v>
      </c>
      <c r="I57" t="s">
        <v>20</v>
      </c>
      <c r="J57" s="4">
        <v>109</v>
      </c>
      <c r="K57" t="s">
        <v>19</v>
      </c>
      <c r="L57" t="s">
        <v>25</v>
      </c>
      <c r="M57" s="4">
        <v>1</v>
      </c>
      <c r="N57" t="s">
        <v>27</v>
      </c>
      <c r="O57" s="4">
        <v>1</v>
      </c>
      <c r="P57" s="5">
        <v>0.2</v>
      </c>
    </row>
    <row r="58" spans="1:16" x14ac:dyDescent="0.3">
      <c r="A58" s="4">
        <v>57</v>
      </c>
      <c r="B58" s="4">
        <v>50</v>
      </c>
      <c r="C58" t="s">
        <v>16</v>
      </c>
      <c r="D58" t="s">
        <v>17</v>
      </c>
      <c r="E58" t="s">
        <v>28</v>
      </c>
      <c r="F58" s="4">
        <v>140</v>
      </c>
      <c r="G58" s="4">
        <v>233</v>
      </c>
      <c r="H58" t="s">
        <v>21</v>
      </c>
      <c r="I58" t="s">
        <v>26</v>
      </c>
      <c r="J58" s="4">
        <v>163</v>
      </c>
      <c r="K58" t="s">
        <v>21</v>
      </c>
      <c r="L58" t="s">
        <v>25</v>
      </c>
      <c r="M58" s="4">
        <v>1</v>
      </c>
      <c r="N58" t="s">
        <v>27</v>
      </c>
      <c r="O58" s="4">
        <v>1</v>
      </c>
      <c r="P58" s="5">
        <v>0.6</v>
      </c>
    </row>
    <row r="59" spans="1:16" x14ac:dyDescent="0.3">
      <c r="A59" s="4">
        <v>58</v>
      </c>
      <c r="B59" s="4">
        <v>41</v>
      </c>
      <c r="C59" t="s">
        <v>16</v>
      </c>
      <c r="D59" t="s">
        <v>17</v>
      </c>
      <c r="E59" t="s">
        <v>24</v>
      </c>
      <c r="F59" s="4">
        <v>110</v>
      </c>
      <c r="G59" s="4">
        <v>172</v>
      </c>
      <c r="H59" t="s">
        <v>21</v>
      </c>
      <c r="I59" t="s">
        <v>20</v>
      </c>
      <c r="J59" s="4">
        <v>158</v>
      </c>
      <c r="K59" t="s">
        <v>21</v>
      </c>
      <c r="L59" t="s">
        <v>31</v>
      </c>
      <c r="M59" s="4">
        <v>0</v>
      </c>
      <c r="N59" t="s">
        <v>27</v>
      </c>
      <c r="O59" s="4">
        <v>1</v>
      </c>
      <c r="P59" s="5">
        <v>0</v>
      </c>
    </row>
    <row r="60" spans="1:16" x14ac:dyDescent="0.3">
      <c r="A60" s="4">
        <v>59</v>
      </c>
      <c r="B60" s="4">
        <v>54</v>
      </c>
      <c r="C60" t="s">
        <v>16</v>
      </c>
      <c r="D60" t="s">
        <v>17</v>
      </c>
      <c r="E60" t="s">
        <v>28</v>
      </c>
      <c r="F60" s="4">
        <v>125</v>
      </c>
      <c r="G60" s="4">
        <v>273</v>
      </c>
      <c r="H60" t="s">
        <v>21</v>
      </c>
      <c r="I60" t="s">
        <v>20</v>
      </c>
      <c r="J60" s="4">
        <v>152</v>
      </c>
      <c r="K60" t="s">
        <v>21</v>
      </c>
      <c r="L60" t="s">
        <v>22</v>
      </c>
      <c r="M60" s="4">
        <v>1</v>
      </c>
      <c r="N60" t="s">
        <v>26</v>
      </c>
      <c r="O60" s="4">
        <v>0</v>
      </c>
      <c r="P60" s="5">
        <v>0.5</v>
      </c>
    </row>
    <row r="61" spans="1:16" x14ac:dyDescent="0.3">
      <c r="A61" s="4">
        <v>60</v>
      </c>
      <c r="B61" s="4">
        <v>51</v>
      </c>
      <c r="C61" t="s">
        <v>16</v>
      </c>
      <c r="D61" t="s">
        <v>17</v>
      </c>
      <c r="E61" t="s">
        <v>18</v>
      </c>
      <c r="F61" s="4">
        <v>125</v>
      </c>
      <c r="G61" s="4">
        <v>213</v>
      </c>
      <c r="H61" t="s">
        <v>21</v>
      </c>
      <c r="I61" t="s">
        <v>20</v>
      </c>
      <c r="J61" s="4">
        <v>125</v>
      </c>
      <c r="K61" t="s">
        <v>19</v>
      </c>
      <c r="L61" t="s">
        <v>31</v>
      </c>
      <c r="M61" s="4">
        <v>1</v>
      </c>
      <c r="N61" t="s">
        <v>26</v>
      </c>
      <c r="O61" s="4">
        <v>0</v>
      </c>
      <c r="P61" s="5">
        <v>0.4</v>
      </c>
    </row>
    <row r="62" spans="1:16" x14ac:dyDescent="0.3">
      <c r="A62" s="4">
        <v>61</v>
      </c>
      <c r="B62" s="4">
        <v>51</v>
      </c>
      <c r="C62" t="s">
        <v>29</v>
      </c>
      <c r="D62" t="s">
        <v>17</v>
      </c>
      <c r="E62" t="s">
        <v>24</v>
      </c>
      <c r="F62" s="4">
        <v>130</v>
      </c>
      <c r="G62" s="4">
        <v>305</v>
      </c>
      <c r="H62" t="s">
        <v>21</v>
      </c>
      <c r="I62" t="s">
        <v>26</v>
      </c>
      <c r="J62" s="4">
        <v>142</v>
      </c>
      <c r="K62" t="s">
        <v>19</v>
      </c>
      <c r="L62" t="s">
        <v>25</v>
      </c>
      <c r="M62" s="4">
        <v>0</v>
      </c>
      <c r="N62" t="s">
        <v>27</v>
      </c>
      <c r="O62" s="4">
        <v>2</v>
      </c>
      <c r="P62" s="5">
        <v>0.2</v>
      </c>
    </row>
    <row r="63" spans="1:16" x14ac:dyDescent="0.3">
      <c r="A63" s="4">
        <v>62</v>
      </c>
      <c r="B63" s="4">
        <v>46</v>
      </c>
      <c r="C63" t="s">
        <v>29</v>
      </c>
      <c r="D63" t="s">
        <v>17</v>
      </c>
      <c r="E63" t="s">
        <v>28</v>
      </c>
      <c r="F63" s="4">
        <v>142</v>
      </c>
      <c r="G63" s="4">
        <v>177</v>
      </c>
      <c r="H63" t="s">
        <v>21</v>
      </c>
      <c r="I63" t="s">
        <v>20</v>
      </c>
      <c r="J63" s="4">
        <v>160</v>
      </c>
      <c r="K63" t="s">
        <v>19</v>
      </c>
      <c r="L63" t="s">
        <v>22</v>
      </c>
      <c r="M63" s="4">
        <v>0</v>
      </c>
      <c r="N63" t="s">
        <v>26</v>
      </c>
      <c r="O63" s="4">
        <v>0</v>
      </c>
      <c r="P63" s="5">
        <v>0.4</v>
      </c>
    </row>
    <row r="64" spans="1:16" x14ac:dyDescent="0.3">
      <c r="A64" s="4">
        <v>63</v>
      </c>
      <c r="B64" s="4">
        <v>58</v>
      </c>
      <c r="C64" t="s">
        <v>16</v>
      </c>
      <c r="D64" t="s">
        <v>17</v>
      </c>
      <c r="E64" t="s">
        <v>24</v>
      </c>
      <c r="F64" s="4">
        <v>128</v>
      </c>
      <c r="G64" s="4">
        <v>216</v>
      </c>
      <c r="H64" t="s">
        <v>21</v>
      </c>
      <c r="I64" t="s">
        <v>20</v>
      </c>
      <c r="J64" s="4">
        <v>131</v>
      </c>
      <c r="K64" t="s">
        <v>19</v>
      </c>
      <c r="L64" t="s">
        <v>25</v>
      </c>
      <c r="M64" s="4">
        <v>3</v>
      </c>
      <c r="N64" t="s">
        <v>27</v>
      </c>
      <c r="O64" s="4">
        <v>1</v>
      </c>
      <c r="P64" s="5">
        <v>0.2</v>
      </c>
    </row>
    <row r="65" spans="1:16" x14ac:dyDescent="0.3">
      <c r="A65" s="4">
        <v>64</v>
      </c>
      <c r="B65" s="4">
        <v>54</v>
      </c>
      <c r="C65" t="s">
        <v>29</v>
      </c>
      <c r="D65" t="s">
        <v>17</v>
      </c>
      <c r="E65" t="s">
        <v>28</v>
      </c>
      <c r="F65" s="4">
        <v>135</v>
      </c>
      <c r="G65" s="4">
        <v>304</v>
      </c>
      <c r="H65" t="s">
        <v>19</v>
      </c>
      <c r="I65" t="s">
        <v>26</v>
      </c>
      <c r="J65" s="4">
        <v>170</v>
      </c>
      <c r="K65" t="s">
        <v>21</v>
      </c>
      <c r="L65" t="s">
        <v>31</v>
      </c>
      <c r="M65" s="4">
        <v>0</v>
      </c>
      <c r="N65" t="s">
        <v>26</v>
      </c>
      <c r="O65" s="4">
        <v>0</v>
      </c>
      <c r="P65" s="5">
        <v>0</v>
      </c>
    </row>
    <row r="66" spans="1:16" x14ac:dyDescent="0.3">
      <c r="A66" s="4">
        <v>65</v>
      </c>
      <c r="B66" s="4">
        <v>54</v>
      </c>
      <c r="C66" t="s">
        <v>16</v>
      </c>
      <c r="D66" t="s">
        <v>17</v>
      </c>
      <c r="E66" t="s">
        <v>24</v>
      </c>
      <c r="F66" s="4">
        <v>120</v>
      </c>
      <c r="G66" s="4">
        <v>188</v>
      </c>
      <c r="H66" t="s">
        <v>21</v>
      </c>
      <c r="I66" t="s">
        <v>26</v>
      </c>
      <c r="J66" s="4">
        <v>113</v>
      </c>
      <c r="K66" t="s">
        <v>21</v>
      </c>
      <c r="L66" t="s">
        <v>25</v>
      </c>
      <c r="M66" s="4">
        <v>1</v>
      </c>
      <c r="N66" t="s">
        <v>27</v>
      </c>
      <c r="O66" s="4">
        <v>2</v>
      </c>
      <c r="P66" s="5">
        <v>0.4</v>
      </c>
    </row>
    <row r="67" spans="1:16" x14ac:dyDescent="0.3">
      <c r="A67" s="4">
        <v>66</v>
      </c>
      <c r="B67" s="4">
        <v>60</v>
      </c>
      <c r="C67" t="s">
        <v>16</v>
      </c>
      <c r="D67" t="s">
        <v>17</v>
      </c>
      <c r="E67" t="s">
        <v>24</v>
      </c>
      <c r="F67" s="4">
        <v>145</v>
      </c>
      <c r="G67" s="4">
        <v>282</v>
      </c>
      <c r="H67" t="s">
        <v>21</v>
      </c>
      <c r="I67" t="s">
        <v>20</v>
      </c>
      <c r="J67" s="4">
        <v>142</v>
      </c>
      <c r="K67" t="s">
        <v>19</v>
      </c>
      <c r="L67" t="s">
        <v>25</v>
      </c>
      <c r="M67" s="4">
        <v>2</v>
      </c>
      <c r="N67" t="s">
        <v>27</v>
      </c>
      <c r="O67" s="4">
        <v>2</v>
      </c>
      <c r="P67" s="5">
        <v>0.8</v>
      </c>
    </row>
    <row r="68" spans="1:16" x14ac:dyDescent="0.3">
      <c r="A68" s="4">
        <v>67</v>
      </c>
      <c r="B68" s="4">
        <v>60</v>
      </c>
      <c r="C68" t="s">
        <v>16</v>
      </c>
      <c r="D68" t="s">
        <v>17</v>
      </c>
      <c r="E68" t="s">
        <v>28</v>
      </c>
      <c r="F68" s="4">
        <v>140</v>
      </c>
      <c r="G68" s="4">
        <v>185</v>
      </c>
      <c r="H68" t="s">
        <v>21</v>
      </c>
      <c r="I68" t="s">
        <v>20</v>
      </c>
      <c r="J68" s="4">
        <v>155</v>
      </c>
      <c r="K68" t="s">
        <v>21</v>
      </c>
      <c r="L68" t="s">
        <v>25</v>
      </c>
      <c r="M68" s="4">
        <v>0</v>
      </c>
      <c r="N68" t="s">
        <v>26</v>
      </c>
      <c r="O68" s="4">
        <v>1</v>
      </c>
      <c r="P68" s="5">
        <v>3</v>
      </c>
    </row>
    <row r="69" spans="1:16" x14ac:dyDescent="0.3">
      <c r="A69" s="4">
        <v>68</v>
      </c>
      <c r="B69" s="4">
        <v>54</v>
      </c>
      <c r="C69" t="s">
        <v>16</v>
      </c>
      <c r="D69" t="s">
        <v>17</v>
      </c>
      <c r="E69" t="s">
        <v>28</v>
      </c>
      <c r="F69" s="4">
        <v>150</v>
      </c>
      <c r="G69" s="4">
        <v>232</v>
      </c>
      <c r="H69" t="s">
        <v>21</v>
      </c>
      <c r="I69" t="s">
        <v>20</v>
      </c>
      <c r="J69" s="4">
        <v>165</v>
      </c>
      <c r="K69" t="s">
        <v>21</v>
      </c>
      <c r="L69" t="s">
        <v>31</v>
      </c>
      <c r="M69" s="4">
        <v>0</v>
      </c>
      <c r="N69" t="s">
        <v>27</v>
      </c>
      <c r="O69" s="4">
        <v>0</v>
      </c>
      <c r="P69" s="5">
        <v>0.6</v>
      </c>
    </row>
    <row r="70" spans="1:16" x14ac:dyDescent="0.3">
      <c r="A70" s="4">
        <v>69</v>
      </c>
      <c r="B70" s="4">
        <v>59</v>
      </c>
      <c r="C70" t="s">
        <v>16</v>
      </c>
      <c r="D70" t="s">
        <v>17</v>
      </c>
      <c r="E70" t="s">
        <v>24</v>
      </c>
      <c r="F70" s="4">
        <v>170</v>
      </c>
      <c r="G70" s="4">
        <v>326</v>
      </c>
      <c r="H70" t="s">
        <v>21</v>
      </c>
      <c r="I70" t="s">
        <v>20</v>
      </c>
      <c r="J70" s="4">
        <v>140</v>
      </c>
      <c r="K70" t="s">
        <v>19</v>
      </c>
      <c r="L70" t="s">
        <v>22</v>
      </c>
      <c r="M70" s="4">
        <v>0</v>
      </c>
      <c r="N70" t="s">
        <v>27</v>
      </c>
      <c r="O70" s="4">
        <v>2</v>
      </c>
      <c r="P70" s="5">
        <v>0.4</v>
      </c>
    </row>
    <row r="71" spans="1:16" x14ac:dyDescent="0.3">
      <c r="A71" s="4">
        <v>70</v>
      </c>
      <c r="B71" s="4">
        <v>46</v>
      </c>
      <c r="C71" t="s">
        <v>16</v>
      </c>
      <c r="D71" t="s">
        <v>17</v>
      </c>
      <c r="E71" t="s">
        <v>28</v>
      </c>
      <c r="F71" s="4">
        <v>150</v>
      </c>
      <c r="G71" s="4">
        <v>231</v>
      </c>
      <c r="H71" t="s">
        <v>21</v>
      </c>
      <c r="I71" t="s">
        <v>26</v>
      </c>
      <c r="J71" s="4">
        <v>147</v>
      </c>
      <c r="K71" t="s">
        <v>21</v>
      </c>
      <c r="L71" t="s">
        <v>25</v>
      </c>
      <c r="M71" s="4">
        <v>0</v>
      </c>
      <c r="N71" t="s">
        <v>26</v>
      </c>
      <c r="O71" s="4">
        <v>1</v>
      </c>
      <c r="P71" s="5">
        <v>0.6</v>
      </c>
    </row>
    <row r="72" spans="1:16" x14ac:dyDescent="0.3">
      <c r="A72" s="4">
        <v>71</v>
      </c>
      <c r="B72" s="4">
        <v>65</v>
      </c>
      <c r="C72" t="s">
        <v>29</v>
      </c>
      <c r="D72" t="s">
        <v>17</v>
      </c>
      <c r="E72" t="s">
        <v>28</v>
      </c>
      <c r="F72" s="4">
        <v>155</v>
      </c>
      <c r="G72" s="4">
        <v>269</v>
      </c>
      <c r="H72" t="s">
        <v>21</v>
      </c>
      <c r="I72" t="s">
        <v>26</v>
      </c>
      <c r="J72" s="4">
        <v>148</v>
      </c>
      <c r="K72" t="s">
        <v>21</v>
      </c>
      <c r="L72" t="s">
        <v>31</v>
      </c>
      <c r="M72" s="4">
        <v>0</v>
      </c>
      <c r="N72" t="s">
        <v>26</v>
      </c>
      <c r="O72" s="4">
        <v>0</v>
      </c>
      <c r="P72" s="5">
        <v>0.8</v>
      </c>
    </row>
    <row r="73" spans="1:16" x14ac:dyDescent="0.3">
      <c r="A73" s="4">
        <v>72</v>
      </c>
      <c r="B73" s="4">
        <v>67</v>
      </c>
      <c r="C73" t="s">
        <v>16</v>
      </c>
      <c r="D73" t="s">
        <v>17</v>
      </c>
      <c r="E73" t="s">
        <v>24</v>
      </c>
      <c r="F73" s="4">
        <v>125</v>
      </c>
      <c r="G73" s="4">
        <v>254</v>
      </c>
      <c r="H73" t="s">
        <v>19</v>
      </c>
      <c r="I73" t="s">
        <v>26</v>
      </c>
      <c r="J73" s="4">
        <v>163</v>
      </c>
      <c r="K73" t="s">
        <v>21</v>
      </c>
      <c r="L73" t="s">
        <v>25</v>
      </c>
      <c r="M73" s="4">
        <v>2</v>
      </c>
      <c r="N73" t="s">
        <v>27</v>
      </c>
      <c r="O73" s="4">
        <v>3</v>
      </c>
      <c r="P73" s="5">
        <v>0.2</v>
      </c>
    </row>
    <row r="74" spans="1:16" x14ac:dyDescent="0.3">
      <c r="A74" s="4">
        <v>73</v>
      </c>
      <c r="B74" s="4">
        <v>62</v>
      </c>
      <c r="C74" t="s">
        <v>16</v>
      </c>
      <c r="D74" t="s">
        <v>17</v>
      </c>
      <c r="E74" t="s">
        <v>24</v>
      </c>
      <c r="F74" s="4">
        <v>120</v>
      </c>
      <c r="G74" s="4">
        <v>267</v>
      </c>
      <c r="H74" t="s">
        <v>21</v>
      </c>
      <c r="I74" t="s">
        <v>26</v>
      </c>
      <c r="J74" s="4">
        <v>99</v>
      </c>
      <c r="K74" t="s">
        <v>19</v>
      </c>
      <c r="L74" t="s">
        <v>25</v>
      </c>
      <c r="M74" s="4">
        <v>2</v>
      </c>
      <c r="N74" t="s">
        <v>27</v>
      </c>
      <c r="O74" s="4">
        <v>1</v>
      </c>
      <c r="P74" s="5">
        <v>0.8</v>
      </c>
    </row>
    <row r="75" spans="1:16" x14ac:dyDescent="0.3">
      <c r="A75" s="4">
        <v>74</v>
      </c>
      <c r="B75" s="4">
        <v>65</v>
      </c>
      <c r="C75" t="s">
        <v>16</v>
      </c>
      <c r="D75" t="s">
        <v>17</v>
      </c>
      <c r="E75" t="s">
        <v>24</v>
      </c>
      <c r="F75" s="4">
        <v>110</v>
      </c>
      <c r="G75" s="4">
        <v>248</v>
      </c>
      <c r="H75" t="s">
        <v>21</v>
      </c>
      <c r="I75" t="s">
        <v>20</v>
      </c>
      <c r="J75" s="4">
        <v>158</v>
      </c>
      <c r="K75" t="s">
        <v>21</v>
      </c>
      <c r="L75" t="s">
        <v>31</v>
      </c>
      <c r="M75" s="4">
        <v>2</v>
      </c>
      <c r="N75" t="s">
        <v>23</v>
      </c>
      <c r="O75" s="4">
        <v>1</v>
      </c>
      <c r="P75" s="5">
        <v>0.6</v>
      </c>
    </row>
    <row r="76" spans="1:16" x14ac:dyDescent="0.3">
      <c r="A76" s="4">
        <v>75</v>
      </c>
      <c r="B76" s="4">
        <v>44</v>
      </c>
      <c r="C76" t="s">
        <v>16</v>
      </c>
      <c r="D76" t="s">
        <v>17</v>
      </c>
      <c r="E76" t="s">
        <v>24</v>
      </c>
      <c r="F76" s="4">
        <v>110</v>
      </c>
      <c r="G76" s="4">
        <v>197</v>
      </c>
      <c r="H76" t="s">
        <v>21</v>
      </c>
      <c r="I76" t="s">
        <v>20</v>
      </c>
      <c r="J76" s="4">
        <v>177</v>
      </c>
      <c r="K76" t="s">
        <v>21</v>
      </c>
      <c r="L76" t="s">
        <v>31</v>
      </c>
      <c r="M76" s="4">
        <v>1</v>
      </c>
      <c r="N76" t="s">
        <v>26</v>
      </c>
      <c r="O76" s="4">
        <v>1</v>
      </c>
      <c r="P76" s="5">
        <v>0</v>
      </c>
    </row>
    <row r="77" spans="1:16" x14ac:dyDescent="0.3">
      <c r="A77" s="4">
        <v>76</v>
      </c>
      <c r="B77" s="4">
        <v>65</v>
      </c>
      <c r="C77" t="s">
        <v>29</v>
      </c>
      <c r="D77" t="s">
        <v>17</v>
      </c>
      <c r="E77" t="s">
        <v>28</v>
      </c>
      <c r="F77" s="4">
        <v>160</v>
      </c>
      <c r="G77" s="4">
        <v>360</v>
      </c>
      <c r="H77" t="s">
        <v>21</v>
      </c>
      <c r="I77" t="s">
        <v>20</v>
      </c>
      <c r="J77" s="4">
        <v>151</v>
      </c>
      <c r="K77" t="s">
        <v>21</v>
      </c>
      <c r="L77" t="s">
        <v>31</v>
      </c>
      <c r="M77" s="4">
        <v>0</v>
      </c>
      <c r="N77" t="s">
        <v>26</v>
      </c>
      <c r="O77" s="4">
        <v>0</v>
      </c>
      <c r="P77" s="5">
        <v>0.8</v>
      </c>
    </row>
    <row r="78" spans="1:16" x14ac:dyDescent="0.3">
      <c r="A78" s="4">
        <v>77</v>
      </c>
      <c r="B78" s="4">
        <v>60</v>
      </c>
      <c r="C78" t="s">
        <v>16</v>
      </c>
      <c r="D78" t="s">
        <v>17</v>
      </c>
      <c r="E78" t="s">
        <v>24</v>
      </c>
      <c r="F78" s="4">
        <v>125</v>
      </c>
      <c r="G78" s="4">
        <v>258</v>
      </c>
      <c r="H78" t="s">
        <v>21</v>
      </c>
      <c r="I78" t="s">
        <v>20</v>
      </c>
      <c r="J78" s="4">
        <v>141</v>
      </c>
      <c r="K78" t="s">
        <v>19</v>
      </c>
      <c r="L78" t="s">
        <v>25</v>
      </c>
      <c r="M78" s="4">
        <v>1</v>
      </c>
      <c r="N78" t="s">
        <v>27</v>
      </c>
      <c r="O78" s="4">
        <v>1</v>
      </c>
      <c r="P78" s="5">
        <v>0.8</v>
      </c>
    </row>
    <row r="79" spans="1:16" x14ac:dyDescent="0.3">
      <c r="A79" s="4">
        <v>78</v>
      </c>
      <c r="B79" s="4">
        <v>51</v>
      </c>
      <c r="C79" t="s">
        <v>29</v>
      </c>
      <c r="D79" t="s">
        <v>17</v>
      </c>
      <c r="E79" t="s">
        <v>28</v>
      </c>
      <c r="F79" s="4">
        <v>140</v>
      </c>
      <c r="G79" s="4">
        <v>308</v>
      </c>
      <c r="H79" t="s">
        <v>21</v>
      </c>
      <c r="I79" t="s">
        <v>20</v>
      </c>
      <c r="J79" s="4">
        <v>142</v>
      </c>
      <c r="K79" t="s">
        <v>21</v>
      </c>
      <c r="L79" t="s">
        <v>31</v>
      </c>
      <c r="M79" s="4">
        <v>1</v>
      </c>
      <c r="N79" t="s">
        <v>26</v>
      </c>
      <c r="O79" s="4">
        <v>0</v>
      </c>
      <c r="P79" s="5">
        <v>0.5</v>
      </c>
    </row>
    <row r="80" spans="1:16" x14ac:dyDescent="0.3">
      <c r="A80" s="4">
        <v>79</v>
      </c>
      <c r="B80" s="4">
        <v>48</v>
      </c>
      <c r="C80" t="s">
        <v>16</v>
      </c>
      <c r="D80" t="s">
        <v>17</v>
      </c>
      <c r="E80" t="s">
        <v>30</v>
      </c>
      <c r="F80" s="4">
        <v>130</v>
      </c>
      <c r="G80" s="4">
        <v>245</v>
      </c>
      <c r="H80" t="s">
        <v>21</v>
      </c>
      <c r="I80" t="s">
        <v>20</v>
      </c>
      <c r="J80" s="4">
        <v>180</v>
      </c>
      <c r="K80" t="s">
        <v>21</v>
      </c>
      <c r="L80" t="s">
        <v>25</v>
      </c>
      <c r="M80" s="4">
        <v>0</v>
      </c>
      <c r="N80" t="s">
        <v>26</v>
      </c>
      <c r="O80" s="4">
        <v>0</v>
      </c>
      <c r="P80" s="5">
        <v>0.2</v>
      </c>
    </row>
    <row r="81" spans="1:16" x14ac:dyDescent="0.3">
      <c r="A81" s="4">
        <v>80</v>
      </c>
      <c r="B81" s="4">
        <v>58</v>
      </c>
      <c r="C81" t="s">
        <v>16</v>
      </c>
      <c r="D81" t="s">
        <v>17</v>
      </c>
      <c r="E81" t="s">
        <v>24</v>
      </c>
      <c r="F81" s="4">
        <v>150</v>
      </c>
      <c r="G81" s="4">
        <v>270</v>
      </c>
      <c r="H81" t="s">
        <v>21</v>
      </c>
      <c r="I81" t="s">
        <v>20</v>
      </c>
      <c r="J81" s="4">
        <v>111</v>
      </c>
      <c r="K81" t="s">
        <v>19</v>
      </c>
      <c r="L81" t="s">
        <v>31</v>
      </c>
      <c r="M81" s="4">
        <v>0</v>
      </c>
      <c r="N81" t="s">
        <v>27</v>
      </c>
      <c r="O81" s="4">
        <v>3</v>
      </c>
      <c r="P81" s="5">
        <v>0.8</v>
      </c>
    </row>
    <row r="82" spans="1:16" x14ac:dyDescent="0.3">
      <c r="A82" s="4">
        <v>81</v>
      </c>
      <c r="B82" s="4">
        <v>45</v>
      </c>
      <c r="C82" t="s">
        <v>16</v>
      </c>
      <c r="D82" t="s">
        <v>17</v>
      </c>
      <c r="E82" t="s">
        <v>24</v>
      </c>
      <c r="F82" s="4">
        <v>104</v>
      </c>
      <c r="G82" s="4">
        <v>208</v>
      </c>
      <c r="H82" t="s">
        <v>21</v>
      </c>
      <c r="I82" t="s">
        <v>20</v>
      </c>
      <c r="J82" s="4">
        <v>148</v>
      </c>
      <c r="K82" t="s">
        <v>19</v>
      </c>
      <c r="L82" t="s">
        <v>25</v>
      </c>
      <c r="M82" s="4">
        <v>0</v>
      </c>
      <c r="N82" t="s">
        <v>26</v>
      </c>
      <c r="O82" s="4">
        <v>0</v>
      </c>
      <c r="P82" s="5">
        <v>3</v>
      </c>
    </row>
    <row r="83" spans="1:16" x14ac:dyDescent="0.3">
      <c r="A83" s="4">
        <v>82</v>
      </c>
      <c r="B83" s="4">
        <v>53</v>
      </c>
      <c r="C83" t="s">
        <v>29</v>
      </c>
      <c r="D83" t="s">
        <v>17</v>
      </c>
      <c r="E83" t="s">
        <v>24</v>
      </c>
      <c r="F83" s="4">
        <v>130</v>
      </c>
      <c r="G83" s="4">
        <v>264</v>
      </c>
      <c r="H83" t="s">
        <v>21</v>
      </c>
      <c r="I83" t="s">
        <v>20</v>
      </c>
      <c r="J83" s="4">
        <v>143</v>
      </c>
      <c r="K83" t="s">
        <v>21</v>
      </c>
      <c r="L83" t="s">
        <v>25</v>
      </c>
      <c r="M83" s="4">
        <v>0</v>
      </c>
      <c r="N83" t="s">
        <v>26</v>
      </c>
      <c r="O83" s="4">
        <v>0</v>
      </c>
      <c r="P83" s="5">
        <v>0.4</v>
      </c>
    </row>
    <row r="84" spans="1:16" x14ac:dyDescent="0.3">
      <c r="A84" s="4">
        <v>83</v>
      </c>
      <c r="B84" s="4">
        <v>39</v>
      </c>
      <c r="C84" t="s">
        <v>16</v>
      </c>
      <c r="D84" t="s">
        <v>17</v>
      </c>
      <c r="E84" t="s">
        <v>28</v>
      </c>
      <c r="F84" s="4">
        <v>140</v>
      </c>
      <c r="G84" s="4">
        <v>321</v>
      </c>
      <c r="H84" t="s">
        <v>21</v>
      </c>
      <c r="I84" t="s">
        <v>20</v>
      </c>
      <c r="J84" s="4">
        <v>182</v>
      </c>
      <c r="K84" t="s">
        <v>21</v>
      </c>
      <c r="L84" t="s">
        <v>31</v>
      </c>
      <c r="M84" s="4">
        <v>0</v>
      </c>
      <c r="N84" t="s">
        <v>26</v>
      </c>
      <c r="O84" s="4">
        <v>0</v>
      </c>
      <c r="P84" s="5">
        <v>0</v>
      </c>
    </row>
    <row r="85" spans="1:16" x14ac:dyDescent="0.3">
      <c r="A85" s="4">
        <v>84</v>
      </c>
      <c r="B85" s="4">
        <v>68</v>
      </c>
      <c r="C85" t="s">
        <v>16</v>
      </c>
      <c r="D85" t="s">
        <v>17</v>
      </c>
      <c r="E85" t="s">
        <v>28</v>
      </c>
      <c r="F85" s="4">
        <v>180</v>
      </c>
      <c r="G85" s="4">
        <v>274</v>
      </c>
      <c r="H85" t="s">
        <v>19</v>
      </c>
      <c r="I85" t="s">
        <v>20</v>
      </c>
      <c r="J85" s="4">
        <v>150</v>
      </c>
      <c r="K85" t="s">
        <v>19</v>
      </c>
      <c r="L85" t="s">
        <v>25</v>
      </c>
      <c r="M85" s="4">
        <v>0</v>
      </c>
      <c r="N85" t="s">
        <v>27</v>
      </c>
      <c r="O85" s="4">
        <v>3</v>
      </c>
      <c r="P85" s="5">
        <v>0.6</v>
      </c>
    </row>
    <row r="86" spans="1:16" x14ac:dyDescent="0.3">
      <c r="A86" s="4">
        <v>85</v>
      </c>
      <c r="B86" s="4">
        <v>52</v>
      </c>
      <c r="C86" t="s">
        <v>16</v>
      </c>
      <c r="D86" t="s">
        <v>17</v>
      </c>
      <c r="E86" t="s">
        <v>30</v>
      </c>
      <c r="F86" s="4">
        <v>120</v>
      </c>
      <c r="G86" s="4">
        <v>325</v>
      </c>
      <c r="H86" t="s">
        <v>21</v>
      </c>
      <c r="I86" t="s">
        <v>26</v>
      </c>
      <c r="J86" s="4">
        <v>172</v>
      </c>
      <c r="K86" t="s">
        <v>21</v>
      </c>
      <c r="L86" t="s">
        <v>31</v>
      </c>
      <c r="M86" s="4">
        <v>0</v>
      </c>
      <c r="N86" t="s">
        <v>26</v>
      </c>
      <c r="O86" s="4">
        <v>0</v>
      </c>
      <c r="P86" s="5">
        <v>0.2</v>
      </c>
    </row>
    <row r="87" spans="1:16" x14ac:dyDescent="0.3">
      <c r="A87" s="4">
        <v>86</v>
      </c>
      <c r="B87" s="4">
        <v>44</v>
      </c>
      <c r="C87" t="s">
        <v>16</v>
      </c>
      <c r="D87" t="s">
        <v>17</v>
      </c>
      <c r="E87" t="s">
        <v>28</v>
      </c>
      <c r="F87" s="4">
        <v>140</v>
      </c>
      <c r="G87" s="4">
        <v>235</v>
      </c>
      <c r="H87" t="s">
        <v>21</v>
      </c>
      <c r="I87" t="s">
        <v>20</v>
      </c>
      <c r="J87" s="4">
        <v>180</v>
      </c>
      <c r="K87" t="s">
        <v>21</v>
      </c>
      <c r="L87" t="s">
        <v>31</v>
      </c>
      <c r="M87" s="4">
        <v>0</v>
      </c>
      <c r="N87" t="s">
        <v>26</v>
      </c>
      <c r="O87" s="4">
        <v>0</v>
      </c>
      <c r="P87" s="5">
        <v>0</v>
      </c>
    </row>
    <row r="88" spans="1:16" x14ac:dyDescent="0.3">
      <c r="A88" s="4">
        <v>87</v>
      </c>
      <c r="B88" s="4">
        <v>47</v>
      </c>
      <c r="C88" t="s">
        <v>16</v>
      </c>
      <c r="D88" t="s">
        <v>17</v>
      </c>
      <c r="E88" t="s">
        <v>28</v>
      </c>
      <c r="F88" s="4">
        <v>138</v>
      </c>
      <c r="G88" s="4">
        <v>257</v>
      </c>
      <c r="H88" t="s">
        <v>21</v>
      </c>
      <c r="I88" t="s">
        <v>20</v>
      </c>
      <c r="J88" s="4">
        <v>156</v>
      </c>
      <c r="K88" t="s">
        <v>21</v>
      </c>
      <c r="L88" t="s">
        <v>31</v>
      </c>
      <c r="M88" s="4">
        <v>0</v>
      </c>
      <c r="N88" t="s">
        <v>26</v>
      </c>
      <c r="O88" s="4">
        <v>0</v>
      </c>
      <c r="P88" s="5">
        <v>0</v>
      </c>
    </row>
    <row r="89" spans="1:16" x14ac:dyDescent="0.3">
      <c r="A89" s="4">
        <v>88</v>
      </c>
      <c r="B89" s="4">
        <v>53</v>
      </c>
      <c r="C89" t="s">
        <v>29</v>
      </c>
      <c r="D89" t="s">
        <v>17</v>
      </c>
      <c r="E89" t="s">
        <v>28</v>
      </c>
      <c r="F89" s="4">
        <v>128</v>
      </c>
      <c r="G89" s="4">
        <v>216</v>
      </c>
      <c r="H89" t="s">
        <v>21</v>
      </c>
      <c r="I89" t="s">
        <v>20</v>
      </c>
      <c r="J89" s="4">
        <v>115</v>
      </c>
      <c r="K89" t="s">
        <v>21</v>
      </c>
      <c r="L89" t="s">
        <v>31</v>
      </c>
      <c r="M89" s="4">
        <v>0</v>
      </c>
      <c r="N89" t="s">
        <v>32</v>
      </c>
      <c r="O89" s="4">
        <v>0</v>
      </c>
      <c r="P89" s="5">
        <v>0</v>
      </c>
    </row>
    <row r="90" spans="1:16" x14ac:dyDescent="0.3">
      <c r="A90" s="4">
        <v>89</v>
      </c>
      <c r="B90" s="4">
        <v>53</v>
      </c>
      <c r="C90" t="s">
        <v>29</v>
      </c>
      <c r="D90" t="s">
        <v>17</v>
      </c>
      <c r="E90" t="s">
        <v>24</v>
      </c>
      <c r="F90" s="4">
        <v>138</v>
      </c>
      <c r="G90" s="4">
        <v>234</v>
      </c>
      <c r="H90" t="s">
        <v>21</v>
      </c>
      <c r="I90" t="s">
        <v>20</v>
      </c>
      <c r="J90" s="4">
        <v>160</v>
      </c>
      <c r="K90" t="s">
        <v>21</v>
      </c>
      <c r="L90" t="s">
        <v>31</v>
      </c>
      <c r="M90" s="4">
        <v>0</v>
      </c>
      <c r="N90" t="s">
        <v>26</v>
      </c>
      <c r="O90" s="4">
        <v>0</v>
      </c>
      <c r="P90" s="5">
        <v>0</v>
      </c>
    </row>
    <row r="91" spans="1:16" x14ac:dyDescent="0.3">
      <c r="A91" s="4">
        <v>90</v>
      </c>
      <c r="B91" s="4">
        <v>51</v>
      </c>
      <c r="C91" t="s">
        <v>29</v>
      </c>
      <c r="D91" t="s">
        <v>17</v>
      </c>
      <c r="E91" t="s">
        <v>28</v>
      </c>
      <c r="F91" s="4">
        <v>130</v>
      </c>
      <c r="G91" s="4">
        <v>256</v>
      </c>
      <c r="H91" t="s">
        <v>21</v>
      </c>
      <c r="I91" t="s">
        <v>20</v>
      </c>
      <c r="J91" s="4">
        <v>149</v>
      </c>
      <c r="K91" t="s">
        <v>21</v>
      </c>
      <c r="L91" t="s">
        <v>31</v>
      </c>
      <c r="M91" s="4">
        <v>0</v>
      </c>
      <c r="N91" t="s">
        <v>26</v>
      </c>
      <c r="O91" s="4">
        <v>0</v>
      </c>
      <c r="P91" s="5">
        <v>0.5</v>
      </c>
    </row>
    <row r="92" spans="1:16" x14ac:dyDescent="0.3">
      <c r="A92" s="4">
        <v>91</v>
      </c>
      <c r="B92" s="4">
        <v>66</v>
      </c>
      <c r="C92" t="s">
        <v>16</v>
      </c>
      <c r="D92" t="s">
        <v>17</v>
      </c>
      <c r="E92" t="s">
        <v>24</v>
      </c>
      <c r="F92" s="4">
        <v>120</v>
      </c>
      <c r="G92" s="4">
        <v>302</v>
      </c>
      <c r="H92" t="s">
        <v>21</v>
      </c>
      <c r="I92" t="s">
        <v>20</v>
      </c>
      <c r="J92" s="4">
        <v>151</v>
      </c>
      <c r="K92" t="s">
        <v>21</v>
      </c>
      <c r="L92" t="s">
        <v>25</v>
      </c>
      <c r="M92" s="4">
        <v>0</v>
      </c>
      <c r="N92" t="s">
        <v>26</v>
      </c>
      <c r="O92" s="4">
        <v>0</v>
      </c>
      <c r="P92" s="5">
        <v>0.4</v>
      </c>
    </row>
    <row r="93" spans="1:16" x14ac:dyDescent="0.3">
      <c r="A93" s="4">
        <v>92</v>
      </c>
      <c r="B93" s="4">
        <v>62</v>
      </c>
      <c r="C93" t="s">
        <v>29</v>
      </c>
      <c r="D93" t="s">
        <v>17</v>
      </c>
      <c r="E93" t="s">
        <v>24</v>
      </c>
      <c r="F93" s="4">
        <v>160</v>
      </c>
      <c r="G93" s="4">
        <v>164</v>
      </c>
      <c r="H93" t="s">
        <v>21</v>
      </c>
      <c r="I93" t="s">
        <v>20</v>
      </c>
      <c r="J93" s="4">
        <v>145</v>
      </c>
      <c r="K93" t="s">
        <v>21</v>
      </c>
      <c r="L93" t="s">
        <v>22</v>
      </c>
      <c r="M93" s="4">
        <v>3</v>
      </c>
      <c r="N93" t="s">
        <v>27</v>
      </c>
      <c r="O93" s="4">
        <v>3</v>
      </c>
      <c r="P93" s="5">
        <v>0.2</v>
      </c>
    </row>
    <row r="94" spans="1:16" x14ac:dyDescent="0.3">
      <c r="A94" s="4">
        <v>93</v>
      </c>
      <c r="B94" s="4">
        <v>62</v>
      </c>
      <c r="C94" t="s">
        <v>16</v>
      </c>
      <c r="D94" t="s">
        <v>17</v>
      </c>
      <c r="E94" t="s">
        <v>28</v>
      </c>
      <c r="F94" s="4">
        <v>130</v>
      </c>
      <c r="G94" s="4">
        <v>231</v>
      </c>
      <c r="H94" t="s">
        <v>21</v>
      </c>
      <c r="I94" t="s">
        <v>26</v>
      </c>
      <c r="J94" s="4">
        <v>146</v>
      </c>
      <c r="K94" t="s">
        <v>21</v>
      </c>
      <c r="L94" t="s">
        <v>25</v>
      </c>
      <c r="M94" s="4">
        <v>3</v>
      </c>
      <c r="N94" t="s">
        <v>27</v>
      </c>
      <c r="O94" s="4">
        <v>0</v>
      </c>
      <c r="P94" s="5">
        <v>0.8</v>
      </c>
    </row>
    <row r="95" spans="1:16" x14ac:dyDescent="0.3">
      <c r="A95" s="4">
        <v>94</v>
      </c>
      <c r="B95" s="4">
        <v>44</v>
      </c>
      <c r="C95" t="s">
        <v>29</v>
      </c>
      <c r="D95" t="s">
        <v>17</v>
      </c>
      <c r="E95" t="s">
        <v>28</v>
      </c>
      <c r="F95" s="4">
        <v>108</v>
      </c>
      <c r="G95" s="4">
        <v>141</v>
      </c>
      <c r="H95" t="s">
        <v>21</v>
      </c>
      <c r="I95" t="s">
        <v>26</v>
      </c>
      <c r="J95" s="4">
        <v>175</v>
      </c>
      <c r="K95" t="s">
        <v>21</v>
      </c>
      <c r="L95" t="s">
        <v>25</v>
      </c>
      <c r="M95" s="4">
        <v>0</v>
      </c>
      <c r="N95" t="s">
        <v>26</v>
      </c>
      <c r="O95" s="4">
        <v>0</v>
      </c>
      <c r="P95" s="5">
        <v>0.6</v>
      </c>
    </row>
    <row r="96" spans="1:16" x14ac:dyDescent="0.3">
      <c r="A96" s="4">
        <v>95</v>
      </c>
      <c r="B96" s="4">
        <v>63</v>
      </c>
      <c r="C96" t="s">
        <v>29</v>
      </c>
      <c r="D96" t="s">
        <v>17</v>
      </c>
      <c r="E96" t="s">
        <v>28</v>
      </c>
      <c r="F96" s="4">
        <v>135</v>
      </c>
      <c r="G96" s="4">
        <v>252</v>
      </c>
      <c r="H96" t="s">
        <v>21</v>
      </c>
      <c r="I96" t="s">
        <v>20</v>
      </c>
      <c r="J96" s="4">
        <v>172</v>
      </c>
      <c r="K96" t="s">
        <v>21</v>
      </c>
      <c r="L96" t="s">
        <v>31</v>
      </c>
      <c r="M96" s="4">
        <v>0</v>
      </c>
      <c r="N96" t="s">
        <v>26</v>
      </c>
      <c r="O96" s="4">
        <v>0</v>
      </c>
      <c r="P96" s="5">
        <v>0</v>
      </c>
    </row>
    <row r="97" spans="1:16" x14ac:dyDescent="0.3">
      <c r="A97" s="4">
        <v>96</v>
      </c>
      <c r="B97" s="4">
        <v>52</v>
      </c>
      <c r="C97" t="s">
        <v>16</v>
      </c>
      <c r="D97" t="s">
        <v>17</v>
      </c>
      <c r="E97" t="s">
        <v>24</v>
      </c>
      <c r="F97" s="4">
        <v>128</v>
      </c>
      <c r="G97" s="4">
        <v>255</v>
      </c>
      <c r="H97" t="s">
        <v>21</v>
      </c>
      <c r="I97" t="s">
        <v>26</v>
      </c>
      <c r="J97" s="4">
        <v>161</v>
      </c>
      <c r="K97" t="s">
        <v>19</v>
      </c>
      <c r="L97" t="s">
        <v>31</v>
      </c>
      <c r="M97" s="4">
        <v>1</v>
      </c>
      <c r="N97" t="s">
        <v>27</v>
      </c>
      <c r="O97" s="4">
        <v>1</v>
      </c>
      <c r="P97" s="5">
        <v>0</v>
      </c>
    </row>
    <row r="98" spans="1:16" x14ac:dyDescent="0.3">
      <c r="A98" s="4">
        <v>97</v>
      </c>
      <c r="B98" s="4">
        <v>59</v>
      </c>
      <c r="C98" t="s">
        <v>16</v>
      </c>
      <c r="D98" t="s">
        <v>17</v>
      </c>
      <c r="E98" t="s">
        <v>24</v>
      </c>
      <c r="F98" s="4">
        <v>110</v>
      </c>
      <c r="G98" s="4">
        <v>239</v>
      </c>
      <c r="H98" t="s">
        <v>21</v>
      </c>
      <c r="I98" t="s">
        <v>20</v>
      </c>
      <c r="J98" s="4">
        <v>142</v>
      </c>
      <c r="K98" t="s">
        <v>19</v>
      </c>
      <c r="L98" t="s">
        <v>25</v>
      </c>
      <c r="M98" s="4">
        <v>1</v>
      </c>
      <c r="N98" t="s">
        <v>27</v>
      </c>
      <c r="O98" s="4">
        <v>2</v>
      </c>
      <c r="P98" s="5">
        <v>0.2</v>
      </c>
    </row>
    <row r="99" spans="1:16" x14ac:dyDescent="0.3">
      <c r="A99" s="4">
        <v>98</v>
      </c>
      <c r="B99" s="4">
        <v>60</v>
      </c>
      <c r="C99" t="s">
        <v>29</v>
      </c>
      <c r="D99" t="s">
        <v>17</v>
      </c>
      <c r="E99" t="s">
        <v>24</v>
      </c>
      <c r="F99" s="4">
        <v>150</v>
      </c>
      <c r="G99" s="4">
        <v>258</v>
      </c>
      <c r="H99" t="s">
        <v>21</v>
      </c>
      <c r="I99" t="s">
        <v>20</v>
      </c>
      <c r="J99" s="4">
        <v>157</v>
      </c>
      <c r="K99" t="s">
        <v>21</v>
      </c>
      <c r="L99" t="s">
        <v>25</v>
      </c>
      <c r="M99" s="4">
        <v>2</v>
      </c>
      <c r="N99" t="s">
        <v>27</v>
      </c>
      <c r="O99" s="4">
        <v>3</v>
      </c>
      <c r="P99" s="5">
        <v>0.6</v>
      </c>
    </row>
    <row r="100" spans="1:16" x14ac:dyDescent="0.3">
      <c r="A100" s="4">
        <v>99</v>
      </c>
      <c r="B100" s="4">
        <v>52</v>
      </c>
      <c r="C100" t="s">
        <v>16</v>
      </c>
      <c r="D100" t="s">
        <v>17</v>
      </c>
      <c r="E100" t="s">
        <v>30</v>
      </c>
      <c r="F100" s="4">
        <v>134</v>
      </c>
      <c r="G100" s="4">
        <v>201</v>
      </c>
      <c r="H100" t="s">
        <v>21</v>
      </c>
      <c r="I100" t="s">
        <v>26</v>
      </c>
      <c r="J100" s="4">
        <v>158</v>
      </c>
      <c r="K100" t="s">
        <v>21</v>
      </c>
      <c r="L100" t="s">
        <v>31</v>
      </c>
      <c r="M100" s="4">
        <v>1</v>
      </c>
      <c r="N100" t="s">
        <v>26</v>
      </c>
      <c r="O100" s="4">
        <v>0</v>
      </c>
      <c r="P100" s="5">
        <v>0.8</v>
      </c>
    </row>
    <row r="101" spans="1:16" x14ac:dyDescent="0.3">
      <c r="A101" s="4">
        <v>100</v>
      </c>
      <c r="B101" s="4">
        <v>48</v>
      </c>
      <c r="C101" t="s">
        <v>16</v>
      </c>
      <c r="D101" t="s">
        <v>17</v>
      </c>
      <c r="E101" t="s">
        <v>24</v>
      </c>
      <c r="F101" s="4">
        <v>122</v>
      </c>
      <c r="G101" s="4">
        <v>222</v>
      </c>
      <c r="H101" t="s">
        <v>21</v>
      </c>
      <c r="I101" t="s">
        <v>20</v>
      </c>
      <c r="J101" s="4">
        <v>186</v>
      </c>
      <c r="K101" t="s">
        <v>21</v>
      </c>
      <c r="L101" t="s">
        <v>31</v>
      </c>
      <c r="M101" s="4">
        <v>0</v>
      </c>
      <c r="N101" t="s">
        <v>26</v>
      </c>
      <c r="O101" s="4">
        <v>0</v>
      </c>
      <c r="P101" s="5">
        <v>0</v>
      </c>
    </row>
    <row r="102" spans="1:16" x14ac:dyDescent="0.3">
      <c r="A102" s="4">
        <v>101</v>
      </c>
      <c r="B102" s="4">
        <v>45</v>
      </c>
      <c r="C102" t="s">
        <v>16</v>
      </c>
      <c r="D102" t="s">
        <v>17</v>
      </c>
      <c r="E102" t="s">
        <v>24</v>
      </c>
      <c r="F102" s="4">
        <v>115</v>
      </c>
      <c r="G102" s="4">
        <v>260</v>
      </c>
      <c r="H102" t="s">
        <v>21</v>
      </c>
      <c r="I102" t="s">
        <v>20</v>
      </c>
      <c r="J102" s="4">
        <v>185</v>
      </c>
      <c r="K102" t="s">
        <v>21</v>
      </c>
      <c r="L102" t="s">
        <v>31</v>
      </c>
      <c r="M102" s="4">
        <v>0</v>
      </c>
      <c r="N102" t="s">
        <v>26</v>
      </c>
      <c r="O102" s="4">
        <v>0</v>
      </c>
      <c r="P102" s="5">
        <v>0</v>
      </c>
    </row>
    <row r="103" spans="1:16" x14ac:dyDescent="0.3">
      <c r="A103" s="4">
        <v>102</v>
      </c>
      <c r="B103" s="4">
        <v>34</v>
      </c>
      <c r="C103" t="s">
        <v>16</v>
      </c>
      <c r="D103" t="s">
        <v>17</v>
      </c>
      <c r="E103" t="s">
        <v>18</v>
      </c>
      <c r="F103" s="4">
        <v>118</v>
      </c>
      <c r="G103" s="4">
        <v>182</v>
      </c>
      <c r="H103" t="s">
        <v>21</v>
      </c>
      <c r="I103" t="s">
        <v>20</v>
      </c>
      <c r="J103" s="4">
        <v>174</v>
      </c>
      <c r="K103" t="s">
        <v>21</v>
      </c>
      <c r="L103" t="s">
        <v>31</v>
      </c>
      <c r="M103" s="4">
        <v>0</v>
      </c>
      <c r="N103" t="s">
        <v>26</v>
      </c>
      <c r="O103" s="4">
        <v>0</v>
      </c>
      <c r="P103" s="5">
        <v>0</v>
      </c>
    </row>
    <row r="104" spans="1:16" x14ac:dyDescent="0.3">
      <c r="A104" s="4">
        <v>103</v>
      </c>
      <c r="B104" s="4">
        <v>57</v>
      </c>
      <c r="C104" t="s">
        <v>29</v>
      </c>
      <c r="D104" t="s">
        <v>17</v>
      </c>
      <c r="E104" t="s">
        <v>24</v>
      </c>
      <c r="F104" s="4">
        <v>128</v>
      </c>
      <c r="G104" s="4">
        <v>303</v>
      </c>
      <c r="H104" t="s">
        <v>21</v>
      </c>
      <c r="I104" t="s">
        <v>20</v>
      </c>
      <c r="J104" s="4">
        <v>159</v>
      </c>
      <c r="K104" t="s">
        <v>21</v>
      </c>
      <c r="L104" t="s">
        <v>31</v>
      </c>
      <c r="M104" s="4">
        <v>1</v>
      </c>
      <c r="N104" t="s">
        <v>26</v>
      </c>
      <c r="O104" s="4">
        <v>0</v>
      </c>
      <c r="P104" s="5">
        <v>0</v>
      </c>
    </row>
    <row r="105" spans="1:16" x14ac:dyDescent="0.3">
      <c r="A105" s="4">
        <v>104</v>
      </c>
      <c r="B105" s="4">
        <v>71</v>
      </c>
      <c r="C105" t="s">
        <v>29</v>
      </c>
      <c r="D105" t="s">
        <v>17</v>
      </c>
      <c r="E105" t="s">
        <v>28</v>
      </c>
      <c r="F105" s="4">
        <v>110</v>
      </c>
      <c r="G105" s="4">
        <v>265</v>
      </c>
      <c r="H105" t="s">
        <v>19</v>
      </c>
      <c r="I105" t="s">
        <v>20</v>
      </c>
      <c r="J105" s="4">
        <v>130</v>
      </c>
      <c r="K105" t="s">
        <v>21</v>
      </c>
      <c r="L105" t="s">
        <v>31</v>
      </c>
      <c r="M105" s="4">
        <v>1</v>
      </c>
      <c r="N105" t="s">
        <v>26</v>
      </c>
      <c r="O105" s="4">
        <v>0</v>
      </c>
      <c r="P105" s="5">
        <v>0</v>
      </c>
    </row>
    <row r="106" spans="1:16" x14ac:dyDescent="0.3">
      <c r="A106" s="4">
        <v>105</v>
      </c>
      <c r="B106" s="4">
        <v>49</v>
      </c>
      <c r="C106" t="s">
        <v>16</v>
      </c>
      <c r="D106" t="s">
        <v>17</v>
      </c>
      <c r="E106" t="s">
        <v>28</v>
      </c>
      <c r="F106" s="4">
        <v>120</v>
      </c>
      <c r="G106" s="4">
        <v>188</v>
      </c>
      <c r="H106" t="s">
        <v>21</v>
      </c>
      <c r="I106" t="s">
        <v>26</v>
      </c>
      <c r="J106" s="4">
        <v>139</v>
      </c>
      <c r="K106" t="s">
        <v>21</v>
      </c>
      <c r="L106" t="s">
        <v>25</v>
      </c>
      <c r="M106" s="4">
        <v>3</v>
      </c>
      <c r="N106" t="s">
        <v>27</v>
      </c>
      <c r="O106" s="4">
        <v>3</v>
      </c>
      <c r="P106" s="5">
        <v>2</v>
      </c>
    </row>
    <row r="107" spans="1:16" x14ac:dyDescent="0.3">
      <c r="A107" s="4">
        <v>106</v>
      </c>
      <c r="B107" s="4">
        <v>54</v>
      </c>
      <c r="C107" t="s">
        <v>16</v>
      </c>
      <c r="D107" t="s">
        <v>17</v>
      </c>
      <c r="E107" t="s">
        <v>30</v>
      </c>
      <c r="F107" s="4">
        <v>108</v>
      </c>
      <c r="G107" s="4">
        <v>309</v>
      </c>
      <c r="H107" t="s">
        <v>21</v>
      </c>
      <c r="I107" t="s">
        <v>26</v>
      </c>
      <c r="J107" s="4">
        <v>156</v>
      </c>
      <c r="K107" t="s">
        <v>21</v>
      </c>
      <c r="L107" t="s">
        <v>31</v>
      </c>
      <c r="M107" s="4">
        <v>0</v>
      </c>
      <c r="N107" t="s">
        <v>27</v>
      </c>
      <c r="O107" s="4">
        <v>0</v>
      </c>
      <c r="P107" s="5">
        <v>0</v>
      </c>
    </row>
    <row r="108" spans="1:16" x14ac:dyDescent="0.3">
      <c r="A108" s="4">
        <v>107</v>
      </c>
      <c r="B108" s="4">
        <v>59</v>
      </c>
      <c r="C108" t="s">
        <v>16</v>
      </c>
      <c r="D108" t="s">
        <v>17</v>
      </c>
      <c r="E108" t="s">
        <v>24</v>
      </c>
      <c r="F108" s="4">
        <v>140</v>
      </c>
      <c r="G108" s="4">
        <v>177</v>
      </c>
      <c r="H108" t="s">
        <v>21</v>
      </c>
      <c r="I108" t="s">
        <v>26</v>
      </c>
      <c r="J108" s="4">
        <v>162</v>
      </c>
      <c r="K108" t="s">
        <v>19</v>
      </c>
      <c r="L108" t="s">
        <v>31</v>
      </c>
      <c r="M108" s="4">
        <v>1</v>
      </c>
      <c r="N108" t="s">
        <v>27</v>
      </c>
      <c r="O108" s="4">
        <v>2</v>
      </c>
      <c r="P108" s="5">
        <v>0</v>
      </c>
    </row>
    <row r="109" spans="1:16" x14ac:dyDescent="0.3">
      <c r="A109" s="4">
        <v>108</v>
      </c>
      <c r="B109" s="4">
        <v>57</v>
      </c>
      <c r="C109" t="s">
        <v>16</v>
      </c>
      <c r="D109" t="s">
        <v>17</v>
      </c>
      <c r="E109" t="s">
        <v>28</v>
      </c>
      <c r="F109" s="4">
        <v>128</v>
      </c>
      <c r="G109" s="4">
        <v>229</v>
      </c>
      <c r="H109" t="s">
        <v>21</v>
      </c>
      <c r="I109" t="s">
        <v>20</v>
      </c>
      <c r="J109" s="4">
        <v>150</v>
      </c>
      <c r="K109" t="s">
        <v>21</v>
      </c>
      <c r="L109" t="s">
        <v>25</v>
      </c>
      <c r="M109" s="4">
        <v>1</v>
      </c>
      <c r="N109" t="s">
        <v>27</v>
      </c>
      <c r="O109" s="4">
        <v>1</v>
      </c>
      <c r="P109" s="5">
        <v>0.4</v>
      </c>
    </row>
    <row r="110" spans="1:16" x14ac:dyDescent="0.3">
      <c r="A110" s="4">
        <v>109</v>
      </c>
      <c r="B110" s="4">
        <v>61</v>
      </c>
      <c r="C110" t="s">
        <v>16</v>
      </c>
      <c r="D110" t="s">
        <v>17</v>
      </c>
      <c r="E110" t="s">
        <v>24</v>
      </c>
      <c r="F110" s="4">
        <v>120</v>
      </c>
      <c r="G110" s="4">
        <v>260</v>
      </c>
      <c r="H110" t="s">
        <v>21</v>
      </c>
      <c r="I110" t="s">
        <v>26</v>
      </c>
      <c r="J110" s="4">
        <v>140</v>
      </c>
      <c r="K110" t="s">
        <v>19</v>
      </c>
      <c r="L110" t="s">
        <v>25</v>
      </c>
      <c r="M110" s="4">
        <v>1</v>
      </c>
      <c r="N110" t="s">
        <v>27</v>
      </c>
      <c r="O110" s="4">
        <v>2</v>
      </c>
      <c r="P110" s="5">
        <v>0.6</v>
      </c>
    </row>
    <row r="111" spans="1:16" x14ac:dyDescent="0.3">
      <c r="A111" s="4">
        <v>110</v>
      </c>
      <c r="B111" s="4">
        <v>39</v>
      </c>
      <c r="C111" t="s">
        <v>16</v>
      </c>
      <c r="D111" t="s">
        <v>17</v>
      </c>
      <c r="E111" t="s">
        <v>24</v>
      </c>
      <c r="F111" s="4">
        <v>118</v>
      </c>
      <c r="G111" s="4">
        <v>219</v>
      </c>
      <c r="H111" t="s">
        <v>21</v>
      </c>
      <c r="I111" t="s">
        <v>26</v>
      </c>
      <c r="J111" s="4">
        <v>140</v>
      </c>
      <c r="K111" t="s">
        <v>21</v>
      </c>
      <c r="L111" t="s">
        <v>25</v>
      </c>
      <c r="M111" s="4">
        <v>0</v>
      </c>
      <c r="N111" t="s">
        <v>27</v>
      </c>
      <c r="O111" s="4">
        <v>3</v>
      </c>
      <c r="P111" s="5">
        <v>0.2</v>
      </c>
    </row>
    <row r="112" spans="1:16" x14ac:dyDescent="0.3">
      <c r="A112" s="4">
        <v>111</v>
      </c>
      <c r="B112" s="4">
        <v>61</v>
      </c>
      <c r="C112" t="s">
        <v>29</v>
      </c>
      <c r="D112" t="s">
        <v>17</v>
      </c>
      <c r="E112" t="s">
        <v>24</v>
      </c>
      <c r="F112" s="4">
        <v>145</v>
      </c>
      <c r="G112" s="4">
        <v>307</v>
      </c>
      <c r="H112" t="s">
        <v>21</v>
      </c>
      <c r="I112" t="s">
        <v>20</v>
      </c>
      <c r="J112" s="4">
        <v>146</v>
      </c>
      <c r="K112" t="s">
        <v>19</v>
      </c>
      <c r="L112" t="s">
        <v>25</v>
      </c>
      <c r="M112" s="4">
        <v>0</v>
      </c>
      <c r="N112" t="s">
        <v>27</v>
      </c>
      <c r="O112" s="4">
        <v>1</v>
      </c>
      <c r="P112" s="5">
        <v>1</v>
      </c>
    </row>
    <row r="113" spans="1:16" x14ac:dyDescent="0.3">
      <c r="A113" s="4">
        <v>112</v>
      </c>
      <c r="B113" s="4">
        <v>56</v>
      </c>
      <c r="C113" t="s">
        <v>16</v>
      </c>
      <c r="D113" t="s">
        <v>17</v>
      </c>
      <c r="E113" t="s">
        <v>24</v>
      </c>
      <c r="F113" s="4">
        <v>125</v>
      </c>
      <c r="G113" s="4">
        <v>249</v>
      </c>
      <c r="H113" t="s">
        <v>19</v>
      </c>
      <c r="I113" t="s">
        <v>20</v>
      </c>
      <c r="J113" s="4">
        <v>144</v>
      </c>
      <c r="K113" t="s">
        <v>19</v>
      </c>
      <c r="L113" t="s">
        <v>25</v>
      </c>
      <c r="M113" s="4">
        <v>1</v>
      </c>
      <c r="N113" t="s">
        <v>26</v>
      </c>
      <c r="O113" s="4">
        <v>1</v>
      </c>
      <c r="P113" s="5">
        <v>0.2</v>
      </c>
    </row>
    <row r="114" spans="1:16" x14ac:dyDescent="0.3">
      <c r="A114" s="4">
        <v>113</v>
      </c>
      <c r="B114" s="4">
        <v>52</v>
      </c>
      <c r="C114" t="s">
        <v>16</v>
      </c>
      <c r="D114" t="s">
        <v>17</v>
      </c>
      <c r="E114" t="s">
        <v>18</v>
      </c>
      <c r="F114" s="4">
        <v>118</v>
      </c>
      <c r="G114" s="4">
        <v>186</v>
      </c>
      <c r="H114" t="s">
        <v>21</v>
      </c>
      <c r="I114" t="s">
        <v>20</v>
      </c>
      <c r="J114" s="4">
        <v>190</v>
      </c>
      <c r="K114" t="s">
        <v>21</v>
      </c>
      <c r="L114" t="s">
        <v>25</v>
      </c>
      <c r="M114" s="4">
        <v>0</v>
      </c>
      <c r="N114" t="s">
        <v>23</v>
      </c>
      <c r="O114" s="4">
        <v>0</v>
      </c>
      <c r="P114" s="5">
        <v>0</v>
      </c>
    </row>
    <row r="115" spans="1:16" x14ac:dyDescent="0.3">
      <c r="A115" s="4">
        <v>114</v>
      </c>
      <c r="B115" s="4">
        <v>43</v>
      </c>
      <c r="C115" t="s">
        <v>29</v>
      </c>
      <c r="D115" t="s">
        <v>17</v>
      </c>
      <c r="E115" t="s">
        <v>24</v>
      </c>
      <c r="F115" s="4">
        <v>132</v>
      </c>
      <c r="G115" s="4">
        <v>341</v>
      </c>
      <c r="H115" t="s">
        <v>19</v>
      </c>
      <c r="I115" t="s">
        <v>20</v>
      </c>
      <c r="J115" s="4">
        <v>136</v>
      </c>
      <c r="K115" t="s">
        <v>19</v>
      </c>
      <c r="L115" t="s">
        <v>25</v>
      </c>
      <c r="M115" s="4">
        <v>0</v>
      </c>
      <c r="N115" t="s">
        <v>27</v>
      </c>
      <c r="O115" s="4">
        <v>2</v>
      </c>
      <c r="P115" s="5">
        <v>3</v>
      </c>
    </row>
    <row r="116" spans="1:16" x14ac:dyDescent="0.3">
      <c r="A116" s="4">
        <v>115</v>
      </c>
      <c r="B116" s="4">
        <v>62</v>
      </c>
      <c r="C116" t="s">
        <v>29</v>
      </c>
      <c r="D116" t="s">
        <v>17</v>
      </c>
      <c r="E116" t="s">
        <v>28</v>
      </c>
      <c r="F116" s="4">
        <v>130</v>
      </c>
      <c r="G116" s="4">
        <v>263</v>
      </c>
      <c r="H116" t="s">
        <v>21</v>
      </c>
      <c r="I116" t="s">
        <v>26</v>
      </c>
      <c r="J116" s="4">
        <v>97</v>
      </c>
      <c r="K116" t="s">
        <v>21</v>
      </c>
      <c r="L116" t="s">
        <v>25</v>
      </c>
      <c r="M116" s="4">
        <v>1</v>
      </c>
      <c r="N116" t="s">
        <v>27</v>
      </c>
      <c r="O116" s="4">
        <v>2</v>
      </c>
      <c r="P116" s="5">
        <v>0.2</v>
      </c>
    </row>
    <row r="117" spans="1:16" x14ac:dyDescent="0.3">
      <c r="A117" s="4">
        <v>116</v>
      </c>
      <c r="B117" s="4">
        <v>41</v>
      </c>
      <c r="C117" t="s">
        <v>16</v>
      </c>
      <c r="D117" t="s">
        <v>17</v>
      </c>
      <c r="E117" t="s">
        <v>30</v>
      </c>
      <c r="F117" s="4">
        <v>135</v>
      </c>
      <c r="G117" s="4">
        <v>203</v>
      </c>
      <c r="H117" t="s">
        <v>21</v>
      </c>
      <c r="I117" t="s">
        <v>26</v>
      </c>
      <c r="J117" s="4">
        <v>132</v>
      </c>
      <c r="K117" t="s">
        <v>21</v>
      </c>
      <c r="L117" t="s">
        <v>25</v>
      </c>
      <c r="M117" s="4">
        <v>0</v>
      </c>
      <c r="N117" t="s">
        <v>23</v>
      </c>
      <c r="O117" s="4">
        <v>0</v>
      </c>
      <c r="P117" s="5">
        <v>0</v>
      </c>
    </row>
    <row r="118" spans="1:16" x14ac:dyDescent="0.3">
      <c r="A118" s="4">
        <v>117</v>
      </c>
      <c r="B118" s="4">
        <v>58</v>
      </c>
      <c r="C118" t="s">
        <v>16</v>
      </c>
      <c r="D118" t="s">
        <v>17</v>
      </c>
      <c r="E118" t="s">
        <v>28</v>
      </c>
      <c r="F118" s="4">
        <v>140</v>
      </c>
      <c r="G118" s="4">
        <v>211</v>
      </c>
      <c r="H118" t="s">
        <v>19</v>
      </c>
      <c r="I118" t="s">
        <v>20</v>
      </c>
      <c r="J118" s="4">
        <v>165</v>
      </c>
      <c r="K118" t="s">
        <v>21</v>
      </c>
      <c r="L118" t="s">
        <v>31</v>
      </c>
      <c r="M118" s="4">
        <v>0</v>
      </c>
      <c r="N118" t="s">
        <v>26</v>
      </c>
      <c r="O118" s="4">
        <v>0</v>
      </c>
      <c r="P118" s="5">
        <v>0</v>
      </c>
    </row>
    <row r="119" spans="1:16" x14ac:dyDescent="0.3">
      <c r="A119" s="4">
        <v>118</v>
      </c>
      <c r="B119" s="4">
        <v>35</v>
      </c>
      <c r="C119" t="s">
        <v>29</v>
      </c>
      <c r="D119" t="s">
        <v>17</v>
      </c>
      <c r="E119" t="s">
        <v>24</v>
      </c>
      <c r="F119" s="4">
        <v>138</v>
      </c>
      <c r="G119" s="4">
        <v>183</v>
      </c>
      <c r="H119" t="s">
        <v>21</v>
      </c>
      <c r="I119" t="s">
        <v>26</v>
      </c>
      <c r="J119" s="4">
        <v>182</v>
      </c>
      <c r="K119" t="s">
        <v>21</v>
      </c>
      <c r="L119" t="s">
        <v>31</v>
      </c>
      <c r="M119" s="4">
        <v>0</v>
      </c>
      <c r="N119" t="s">
        <v>26</v>
      </c>
      <c r="O119" s="4">
        <v>0</v>
      </c>
      <c r="P119" s="5">
        <v>0.4</v>
      </c>
    </row>
    <row r="120" spans="1:16" x14ac:dyDescent="0.3">
      <c r="A120" s="4">
        <v>119</v>
      </c>
      <c r="B120" s="4">
        <v>63</v>
      </c>
      <c r="C120" t="s">
        <v>16</v>
      </c>
      <c r="D120" t="s">
        <v>17</v>
      </c>
      <c r="E120" t="s">
        <v>24</v>
      </c>
      <c r="F120" s="4">
        <v>130</v>
      </c>
      <c r="G120" s="4">
        <v>330</v>
      </c>
      <c r="H120" t="s">
        <v>19</v>
      </c>
      <c r="I120" t="s">
        <v>20</v>
      </c>
      <c r="J120" s="4">
        <v>132</v>
      </c>
      <c r="K120" t="s">
        <v>19</v>
      </c>
      <c r="L120" t="s">
        <v>31</v>
      </c>
      <c r="M120" s="4">
        <v>3</v>
      </c>
      <c r="N120" t="s">
        <v>27</v>
      </c>
      <c r="O120" s="4">
        <v>3</v>
      </c>
      <c r="P120" s="5">
        <v>0.8</v>
      </c>
    </row>
    <row r="121" spans="1:16" x14ac:dyDescent="0.3">
      <c r="A121" s="4">
        <v>120</v>
      </c>
      <c r="B121" s="4">
        <v>65</v>
      </c>
      <c r="C121" t="s">
        <v>16</v>
      </c>
      <c r="D121" t="s">
        <v>17</v>
      </c>
      <c r="E121" t="s">
        <v>24</v>
      </c>
      <c r="F121" s="4">
        <v>135</v>
      </c>
      <c r="G121" s="4">
        <v>254</v>
      </c>
      <c r="H121" t="s">
        <v>21</v>
      </c>
      <c r="I121" t="s">
        <v>20</v>
      </c>
      <c r="J121" s="4">
        <v>127</v>
      </c>
      <c r="K121" t="s">
        <v>21</v>
      </c>
      <c r="L121" t="s">
        <v>25</v>
      </c>
      <c r="M121" s="4">
        <v>1</v>
      </c>
      <c r="N121" t="s">
        <v>27</v>
      </c>
      <c r="O121" s="4">
        <v>2</v>
      </c>
      <c r="P121" s="5">
        <v>0.8</v>
      </c>
    </row>
    <row r="122" spans="1:16" x14ac:dyDescent="0.3">
      <c r="A122" s="4">
        <v>121</v>
      </c>
      <c r="B122" s="4">
        <v>48</v>
      </c>
      <c r="C122" t="s">
        <v>16</v>
      </c>
      <c r="D122" t="s">
        <v>17</v>
      </c>
      <c r="E122" t="s">
        <v>24</v>
      </c>
      <c r="F122" s="4">
        <v>130</v>
      </c>
      <c r="G122" s="4">
        <v>256</v>
      </c>
      <c r="H122" t="s">
        <v>19</v>
      </c>
      <c r="I122" t="s">
        <v>20</v>
      </c>
      <c r="J122" s="4">
        <v>150</v>
      </c>
      <c r="K122" t="s">
        <v>19</v>
      </c>
      <c r="L122" t="s">
        <v>31</v>
      </c>
      <c r="M122" s="4">
        <v>2</v>
      </c>
      <c r="N122" t="s">
        <v>27</v>
      </c>
      <c r="O122" s="4">
        <v>3</v>
      </c>
      <c r="P122" s="5">
        <v>0</v>
      </c>
    </row>
    <row r="123" spans="1:16" x14ac:dyDescent="0.3">
      <c r="A123" s="4">
        <v>122</v>
      </c>
      <c r="B123" s="4">
        <v>63</v>
      </c>
      <c r="C123" t="s">
        <v>29</v>
      </c>
      <c r="D123" t="s">
        <v>17</v>
      </c>
      <c r="E123" t="s">
        <v>24</v>
      </c>
      <c r="F123" s="4">
        <v>150</v>
      </c>
      <c r="G123" s="4">
        <v>407</v>
      </c>
      <c r="H123" t="s">
        <v>21</v>
      </c>
      <c r="I123" t="s">
        <v>20</v>
      </c>
      <c r="J123" s="4">
        <v>154</v>
      </c>
      <c r="K123" t="s">
        <v>21</v>
      </c>
      <c r="L123" t="s">
        <v>25</v>
      </c>
      <c r="M123" s="4">
        <v>3</v>
      </c>
      <c r="N123" t="s">
        <v>27</v>
      </c>
      <c r="O123" s="4">
        <v>4</v>
      </c>
      <c r="P123" s="5">
        <v>4</v>
      </c>
    </row>
    <row r="124" spans="1:16" x14ac:dyDescent="0.3">
      <c r="A124" s="4">
        <v>123</v>
      </c>
      <c r="B124" s="4">
        <v>51</v>
      </c>
      <c r="C124" t="s">
        <v>16</v>
      </c>
      <c r="D124" t="s">
        <v>17</v>
      </c>
      <c r="E124" t="s">
        <v>28</v>
      </c>
      <c r="F124" s="4">
        <v>100</v>
      </c>
      <c r="G124" s="4">
        <v>222</v>
      </c>
      <c r="H124" t="s">
        <v>21</v>
      </c>
      <c r="I124" t="s">
        <v>26</v>
      </c>
      <c r="J124" s="4">
        <v>143</v>
      </c>
      <c r="K124" t="s">
        <v>19</v>
      </c>
      <c r="L124" t="s">
        <v>25</v>
      </c>
      <c r="M124" s="4">
        <v>0</v>
      </c>
      <c r="N124" t="s">
        <v>26</v>
      </c>
      <c r="O124" s="4">
        <v>0</v>
      </c>
      <c r="P124" s="5">
        <v>0.2</v>
      </c>
    </row>
    <row r="125" spans="1:16" x14ac:dyDescent="0.3">
      <c r="A125" s="4">
        <v>124</v>
      </c>
      <c r="B125" s="4">
        <v>55</v>
      </c>
      <c r="C125" t="s">
        <v>16</v>
      </c>
      <c r="D125" t="s">
        <v>17</v>
      </c>
      <c r="E125" t="s">
        <v>24</v>
      </c>
      <c r="F125" s="4">
        <v>140</v>
      </c>
      <c r="G125" s="4">
        <v>217</v>
      </c>
      <c r="H125" t="s">
        <v>21</v>
      </c>
      <c r="I125" t="s">
        <v>26</v>
      </c>
      <c r="J125" s="4">
        <v>111</v>
      </c>
      <c r="K125" t="s">
        <v>19</v>
      </c>
      <c r="L125" t="s">
        <v>22</v>
      </c>
      <c r="M125" s="4">
        <v>0</v>
      </c>
      <c r="N125" t="s">
        <v>27</v>
      </c>
      <c r="O125" s="4">
        <v>3</v>
      </c>
      <c r="P125" s="5">
        <v>0.6</v>
      </c>
    </row>
    <row r="126" spans="1:16" x14ac:dyDescent="0.3">
      <c r="A126" s="4">
        <v>125</v>
      </c>
      <c r="B126" s="4">
        <v>65</v>
      </c>
      <c r="C126" t="s">
        <v>16</v>
      </c>
      <c r="D126" t="s">
        <v>17</v>
      </c>
      <c r="E126" t="s">
        <v>18</v>
      </c>
      <c r="F126" s="4">
        <v>138</v>
      </c>
      <c r="G126" s="4">
        <v>282</v>
      </c>
      <c r="H126" t="s">
        <v>19</v>
      </c>
      <c r="I126" t="s">
        <v>20</v>
      </c>
      <c r="J126" s="4">
        <v>174</v>
      </c>
      <c r="K126" t="s">
        <v>21</v>
      </c>
      <c r="L126" t="s">
        <v>25</v>
      </c>
      <c r="M126" s="4">
        <v>1</v>
      </c>
      <c r="N126" t="s">
        <v>26</v>
      </c>
      <c r="O126" s="4">
        <v>1</v>
      </c>
      <c r="P126" s="5">
        <v>0.4</v>
      </c>
    </row>
    <row r="127" spans="1:16" x14ac:dyDescent="0.3">
      <c r="A127" s="4">
        <v>126</v>
      </c>
      <c r="B127" s="4">
        <v>45</v>
      </c>
      <c r="C127" t="s">
        <v>29</v>
      </c>
      <c r="D127" t="s">
        <v>17</v>
      </c>
      <c r="E127" t="s">
        <v>30</v>
      </c>
      <c r="F127" s="4">
        <v>130</v>
      </c>
      <c r="G127" s="4">
        <v>234</v>
      </c>
      <c r="H127" t="s">
        <v>21</v>
      </c>
      <c r="I127" t="s">
        <v>20</v>
      </c>
      <c r="J127" s="4">
        <v>175</v>
      </c>
      <c r="K127" t="s">
        <v>21</v>
      </c>
      <c r="L127" t="s">
        <v>25</v>
      </c>
      <c r="M127" s="4">
        <v>0</v>
      </c>
      <c r="N127" t="s">
        <v>26</v>
      </c>
      <c r="O127" s="4">
        <v>0</v>
      </c>
      <c r="P127" s="5">
        <v>0.6</v>
      </c>
    </row>
    <row r="128" spans="1:16" x14ac:dyDescent="0.3">
      <c r="A128" s="4">
        <v>127</v>
      </c>
      <c r="B128" s="4">
        <v>56</v>
      </c>
      <c r="C128" t="s">
        <v>29</v>
      </c>
      <c r="D128" t="s">
        <v>17</v>
      </c>
      <c r="E128" t="s">
        <v>24</v>
      </c>
      <c r="F128" s="4">
        <v>200</v>
      </c>
      <c r="G128" s="4">
        <v>288</v>
      </c>
      <c r="H128" t="s">
        <v>19</v>
      </c>
      <c r="I128" t="s">
        <v>20</v>
      </c>
      <c r="J128" s="4">
        <v>133</v>
      </c>
      <c r="K128" t="s">
        <v>19</v>
      </c>
      <c r="L128" t="s">
        <v>22</v>
      </c>
      <c r="M128" s="4">
        <v>2</v>
      </c>
      <c r="N128" t="s">
        <v>27</v>
      </c>
      <c r="O128" s="4">
        <v>3</v>
      </c>
      <c r="P128" s="5">
        <v>4</v>
      </c>
    </row>
    <row r="129" spans="1:16" x14ac:dyDescent="0.3">
      <c r="A129" s="4">
        <v>128</v>
      </c>
      <c r="B129" s="4">
        <v>54</v>
      </c>
      <c r="C129" t="s">
        <v>16</v>
      </c>
      <c r="D129" t="s">
        <v>17</v>
      </c>
      <c r="E129" t="s">
        <v>24</v>
      </c>
      <c r="F129" s="4">
        <v>110</v>
      </c>
      <c r="G129" s="4">
        <v>239</v>
      </c>
      <c r="H129" t="s">
        <v>21</v>
      </c>
      <c r="I129" t="s">
        <v>26</v>
      </c>
      <c r="J129" s="4">
        <v>126</v>
      </c>
      <c r="K129" t="s">
        <v>19</v>
      </c>
      <c r="L129" t="s">
        <v>25</v>
      </c>
      <c r="M129" s="4">
        <v>1</v>
      </c>
      <c r="N129" t="s">
        <v>27</v>
      </c>
      <c r="O129" s="4">
        <v>3</v>
      </c>
      <c r="P129" s="5">
        <v>0.8</v>
      </c>
    </row>
    <row r="130" spans="1:16" x14ac:dyDescent="0.3">
      <c r="A130" s="4">
        <v>129</v>
      </c>
      <c r="B130" s="4">
        <v>44</v>
      </c>
      <c r="C130" t="s">
        <v>16</v>
      </c>
      <c r="D130" t="s">
        <v>17</v>
      </c>
      <c r="E130" t="s">
        <v>30</v>
      </c>
      <c r="F130" s="4">
        <v>120</v>
      </c>
      <c r="G130" s="4">
        <v>220</v>
      </c>
      <c r="H130" t="s">
        <v>21</v>
      </c>
      <c r="I130" t="s">
        <v>26</v>
      </c>
      <c r="J130" s="4">
        <v>170</v>
      </c>
      <c r="K130" t="s">
        <v>21</v>
      </c>
      <c r="L130" t="s">
        <v>31</v>
      </c>
      <c r="M130" s="4">
        <v>0</v>
      </c>
      <c r="N130" t="s">
        <v>26</v>
      </c>
      <c r="O130" s="4">
        <v>0</v>
      </c>
      <c r="P130" s="5">
        <v>0</v>
      </c>
    </row>
    <row r="131" spans="1:16" x14ac:dyDescent="0.3">
      <c r="A131" s="4">
        <v>130</v>
      </c>
      <c r="B131" s="4">
        <v>62</v>
      </c>
      <c r="C131" t="s">
        <v>29</v>
      </c>
      <c r="D131" t="s">
        <v>17</v>
      </c>
      <c r="E131" t="s">
        <v>24</v>
      </c>
      <c r="F131" s="4">
        <v>124</v>
      </c>
      <c r="G131" s="4">
        <v>209</v>
      </c>
      <c r="H131" t="s">
        <v>21</v>
      </c>
      <c r="I131" t="s">
        <v>26</v>
      </c>
      <c r="J131" s="4">
        <v>163</v>
      </c>
      <c r="K131" t="s">
        <v>21</v>
      </c>
      <c r="L131" t="s">
        <v>31</v>
      </c>
      <c r="M131" s="4">
        <v>0</v>
      </c>
      <c r="N131" t="s">
        <v>26</v>
      </c>
      <c r="O131" s="4">
        <v>0</v>
      </c>
      <c r="P131" s="5">
        <v>0</v>
      </c>
    </row>
    <row r="132" spans="1:16" x14ac:dyDescent="0.3">
      <c r="A132" s="4">
        <v>131</v>
      </c>
      <c r="B132" s="4">
        <v>54</v>
      </c>
      <c r="C132" t="s">
        <v>16</v>
      </c>
      <c r="D132" t="s">
        <v>17</v>
      </c>
      <c r="E132" t="s">
        <v>28</v>
      </c>
      <c r="F132" s="4">
        <v>120</v>
      </c>
      <c r="G132" s="4">
        <v>258</v>
      </c>
      <c r="H132" t="s">
        <v>21</v>
      </c>
      <c r="I132" t="s">
        <v>20</v>
      </c>
      <c r="J132" s="4">
        <v>147</v>
      </c>
      <c r="K132" t="s">
        <v>21</v>
      </c>
      <c r="L132" t="s">
        <v>25</v>
      </c>
      <c r="M132" s="4">
        <v>0</v>
      </c>
      <c r="N132" t="s">
        <v>27</v>
      </c>
      <c r="O132" s="4">
        <v>0</v>
      </c>
      <c r="P132" s="5">
        <v>0.4</v>
      </c>
    </row>
    <row r="133" spans="1:16" x14ac:dyDescent="0.3">
      <c r="A133" s="4">
        <v>132</v>
      </c>
      <c r="B133" s="4">
        <v>51</v>
      </c>
      <c r="C133" t="s">
        <v>16</v>
      </c>
      <c r="D133" t="s">
        <v>17</v>
      </c>
      <c r="E133" t="s">
        <v>28</v>
      </c>
      <c r="F133" s="4">
        <v>94</v>
      </c>
      <c r="G133" s="4">
        <v>227</v>
      </c>
      <c r="H133" t="s">
        <v>21</v>
      </c>
      <c r="I133" t="s">
        <v>26</v>
      </c>
      <c r="J133" s="4">
        <v>154</v>
      </c>
      <c r="K133" t="s">
        <v>19</v>
      </c>
      <c r="L133" t="s">
        <v>31</v>
      </c>
      <c r="M133" s="4">
        <v>1</v>
      </c>
      <c r="N133" t="s">
        <v>27</v>
      </c>
      <c r="O133" s="4">
        <v>0</v>
      </c>
      <c r="P133" s="5">
        <v>0</v>
      </c>
    </row>
    <row r="134" spans="1:16" x14ac:dyDescent="0.3">
      <c r="A134" s="4">
        <v>133</v>
      </c>
      <c r="B134" s="4">
        <v>29</v>
      </c>
      <c r="C134" t="s">
        <v>16</v>
      </c>
      <c r="D134" t="s">
        <v>17</v>
      </c>
      <c r="E134" t="s">
        <v>30</v>
      </c>
      <c r="F134" s="4">
        <v>130</v>
      </c>
      <c r="G134" s="4">
        <v>204</v>
      </c>
      <c r="H134" t="s">
        <v>21</v>
      </c>
      <c r="I134" t="s">
        <v>20</v>
      </c>
      <c r="J134" s="4">
        <v>202</v>
      </c>
      <c r="K134" t="s">
        <v>21</v>
      </c>
      <c r="L134" t="s">
        <v>31</v>
      </c>
      <c r="M134" s="4">
        <v>0</v>
      </c>
      <c r="N134" t="s">
        <v>26</v>
      </c>
      <c r="O134" s="4">
        <v>0</v>
      </c>
      <c r="P134" s="5">
        <v>0</v>
      </c>
    </row>
    <row r="135" spans="1:16" x14ac:dyDescent="0.3">
      <c r="A135" s="4">
        <v>134</v>
      </c>
      <c r="B135" s="4">
        <v>51</v>
      </c>
      <c r="C135" t="s">
        <v>16</v>
      </c>
      <c r="D135" t="s">
        <v>17</v>
      </c>
      <c r="E135" t="s">
        <v>24</v>
      </c>
      <c r="F135" s="4">
        <v>140</v>
      </c>
      <c r="G135" s="4">
        <v>261</v>
      </c>
      <c r="H135" t="s">
        <v>21</v>
      </c>
      <c r="I135" t="s">
        <v>20</v>
      </c>
      <c r="J135" s="4">
        <v>186</v>
      </c>
      <c r="K135" t="s">
        <v>19</v>
      </c>
      <c r="L135" t="s">
        <v>31</v>
      </c>
      <c r="M135" s="4">
        <v>0</v>
      </c>
      <c r="N135" t="s">
        <v>26</v>
      </c>
      <c r="O135" s="4">
        <v>0</v>
      </c>
      <c r="P135" s="5">
        <v>0</v>
      </c>
    </row>
    <row r="136" spans="1:16" x14ac:dyDescent="0.3">
      <c r="A136" s="4">
        <v>135</v>
      </c>
      <c r="B136" s="4">
        <v>43</v>
      </c>
      <c r="C136" t="s">
        <v>29</v>
      </c>
      <c r="D136" t="s">
        <v>17</v>
      </c>
      <c r="E136" t="s">
        <v>28</v>
      </c>
      <c r="F136" s="4">
        <v>122</v>
      </c>
      <c r="G136" s="4">
        <v>213</v>
      </c>
      <c r="H136" t="s">
        <v>21</v>
      </c>
      <c r="I136" t="s">
        <v>26</v>
      </c>
      <c r="J136" s="4">
        <v>165</v>
      </c>
      <c r="K136" t="s">
        <v>21</v>
      </c>
      <c r="L136" t="s">
        <v>25</v>
      </c>
      <c r="M136" s="4">
        <v>0</v>
      </c>
      <c r="N136" t="s">
        <v>26</v>
      </c>
      <c r="O136" s="4">
        <v>0</v>
      </c>
      <c r="P136" s="5">
        <v>0.2</v>
      </c>
    </row>
    <row r="137" spans="1:16" x14ac:dyDescent="0.3">
      <c r="A137" s="4">
        <v>136</v>
      </c>
      <c r="B137" s="4">
        <v>55</v>
      </c>
      <c r="C137" t="s">
        <v>29</v>
      </c>
      <c r="D137" t="s">
        <v>17</v>
      </c>
      <c r="E137" t="s">
        <v>30</v>
      </c>
      <c r="F137" s="4">
        <v>135</v>
      </c>
      <c r="G137" s="4">
        <v>250</v>
      </c>
      <c r="H137" t="s">
        <v>21</v>
      </c>
      <c r="I137" t="s">
        <v>20</v>
      </c>
      <c r="J137" s="4">
        <v>161</v>
      </c>
      <c r="K137" t="s">
        <v>21</v>
      </c>
      <c r="L137" t="s">
        <v>25</v>
      </c>
      <c r="M137" s="4">
        <v>0</v>
      </c>
      <c r="N137" t="s">
        <v>26</v>
      </c>
      <c r="O137" s="4">
        <v>0</v>
      </c>
      <c r="P137" s="5">
        <v>0.4</v>
      </c>
    </row>
    <row r="138" spans="1:16" x14ac:dyDescent="0.3">
      <c r="A138" s="4">
        <v>137</v>
      </c>
      <c r="B138" s="4">
        <v>70</v>
      </c>
      <c r="C138" t="s">
        <v>16</v>
      </c>
      <c r="D138" t="s">
        <v>17</v>
      </c>
      <c r="E138" t="s">
        <v>24</v>
      </c>
      <c r="F138" s="4">
        <v>145</v>
      </c>
      <c r="G138" s="4">
        <v>174</v>
      </c>
      <c r="H138" t="s">
        <v>21</v>
      </c>
      <c r="I138" t="s">
        <v>26</v>
      </c>
      <c r="J138" s="4">
        <v>125</v>
      </c>
      <c r="K138" t="s">
        <v>19</v>
      </c>
      <c r="L138" t="s">
        <v>22</v>
      </c>
      <c r="M138" s="4">
        <v>0</v>
      </c>
      <c r="N138" t="s">
        <v>27</v>
      </c>
      <c r="O138" s="4">
        <v>4</v>
      </c>
      <c r="P138" s="5">
        <v>0.6</v>
      </c>
    </row>
    <row r="139" spans="1:16" x14ac:dyDescent="0.3">
      <c r="A139" s="4">
        <v>138</v>
      </c>
      <c r="B139" s="4">
        <v>62</v>
      </c>
      <c r="C139" t="s">
        <v>16</v>
      </c>
      <c r="D139" t="s">
        <v>17</v>
      </c>
      <c r="E139" t="s">
        <v>30</v>
      </c>
      <c r="F139" s="4">
        <v>120</v>
      </c>
      <c r="G139" s="4">
        <v>281</v>
      </c>
      <c r="H139" t="s">
        <v>21</v>
      </c>
      <c r="I139" t="s">
        <v>20</v>
      </c>
      <c r="J139" s="4">
        <v>103</v>
      </c>
      <c r="K139" t="s">
        <v>21</v>
      </c>
      <c r="L139" t="s">
        <v>25</v>
      </c>
      <c r="M139" s="4">
        <v>1</v>
      </c>
      <c r="N139" t="s">
        <v>27</v>
      </c>
      <c r="O139" s="4">
        <v>3</v>
      </c>
      <c r="P139" s="5">
        <v>0.4</v>
      </c>
    </row>
    <row r="140" spans="1:16" x14ac:dyDescent="0.3">
      <c r="A140" s="4">
        <v>139</v>
      </c>
      <c r="B140" s="4">
        <v>35</v>
      </c>
      <c r="C140" t="s">
        <v>16</v>
      </c>
      <c r="D140" t="s">
        <v>17</v>
      </c>
      <c r="E140" t="s">
        <v>24</v>
      </c>
      <c r="F140" s="4">
        <v>120</v>
      </c>
      <c r="G140" s="4">
        <v>198</v>
      </c>
      <c r="H140" t="s">
        <v>21</v>
      </c>
      <c r="I140" t="s">
        <v>26</v>
      </c>
      <c r="J140" s="4">
        <v>130</v>
      </c>
      <c r="K140" t="s">
        <v>19</v>
      </c>
      <c r="L140" t="s">
        <v>25</v>
      </c>
      <c r="M140" s="4">
        <v>0</v>
      </c>
      <c r="N140" t="s">
        <v>27</v>
      </c>
      <c r="O140" s="4">
        <v>1</v>
      </c>
      <c r="P140" s="5">
        <v>0.6</v>
      </c>
    </row>
    <row r="141" spans="1:16" x14ac:dyDescent="0.3">
      <c r="A141" s="4">
        <v>140</v>
      </c>
      <c r="B141" s="4">
        <v>51</v>
      </c>
      <c r="C141" t="s">
        <v>16</v>
      </c>
      <c r="D141" t="s">
        <v>17</v>
      </c>
      <c r="E141" t="s">
        <v>28</v>
      </c>
      <c r="F141" s="4">
        <v>125</v>
      </c>
      <c r="G141" s="4">
        <v>245</v>
      </c>
      <c r="H141" t="s">
        <v>19</v>
      </c>
      <c r="I141" t="s">
        <v>20</v>
      </c>
      <c r="J141" s="4">
        <v>166</v>
      </c>
      <c r="K141" t="s">
        <v>21</v>
      </c>
      <c r="L141" t="s">
        <v>25</v>
      </c>
      <c r="M141" s="4">
        <v>0</v>
      </c>
      <c r="N141" t="s">
        <v>26</v>
      </c>
      <c r="O141" s="4">
        <v>0</v>
      </c>
      <c r="P141" s="5">
        <v>0.4</v>
      </c>
    </row>
    <row r="142" spans="1:16" x14ac:dyDescent="0.3">
      <c r="A142" s="4">
        <v>141</v>
      </c>
      <c r="B142" s="4">
        <v>59</v>
      </c>
      <c r="C142" t="s">
        <v>16</v>
      </c>
      <c r="D142" t="s">
        <v>17</v>
      </c>
      <c r="E142" t="s">
        <v>30</v>
      </c>
      <c r="F142" s="4">
        <v>140</v>
      </c>
      <c r="G142" s="4">
        <v>221</v>
      </c>
      <c r="H142" t="s">
        <v>21</v>
      </c>
      <c r="I142" t="s">
        <v>26</v>
      </c>
      <c r="J142" s="4">
        <v>164</v>
      </c>
      <c r="K142" t="s">
        <v>19</v>
      </c>
      <c r="L142" t="s">
        <v>31</v>
      </c>
      <c r="M142" s="4">
        <v>0</v>
      </c>
      <c r="N142" t="s">
        <v>26</v>
      </c>
      <c r="O142" s="4">
        <v>0</v>
      </c>
      <c r="P142" s="5">
        <v>0</v>
      </c>
    </row>
    <row r="143" spans="1:16" x14ac:dyDescent="0.3">
      <c r="A143" s="4">
        <v>142</v>
      </c>
      <c r="B143" s="4">
        <v>59</v>
      </c>
      <c r="C143" t="s">
        <v>16</v>
      </c>
      <c r="D143" t="s">
        <v>17</v>
      </c>
      <c r="E143" t="s">
        <v>18</v>
      </c>
      <c r="F143" s="4">
        <v>170</v>
      </c>
      <c r="G143" s="4">
        <v>288</v>
      </c>
      <c r="H143" t="s">
        <v>21</v>
      </c>
      <c r="I143" t="s">
        <v>20</v>
      </c>
      <c r="J143" s="4">
        <v>159</v>
      </c>
      <c r="K143" t="s">
        <v>21</v>
      </c>
      <c r="L143" t="s">
        <v>25</v>
      </c>
      <c r="M143" s="4">
        <v>0</v>
      </c>
      <c r="N143" t="s">
        <v>27</v>
      </c>
      <c r="O143" s="4">
        <v>1</v>
      </c>
      <c r="P143" s="5">
        <v>0.2</v>
      </c>
    </row>
    <row r="144" spans="1:16" x14ac:dyDescent="0.3">
      <c r="A144" s="4">
        <v>143</v>
      </c>
      <c r="B144" s="4">
        <v>52</v>
      </c>
      <c r="C144" t="s">
        <v>16</v>
      </c>
      <c r="D144" t="s">
        <v>17</v>
      </c>
      <c r="E144" t="s">
        <v>30</v>
      </c>
      <c r="F144" s="4">
        <v>128</v>
      </c>
      <c r="G144" s="4">
        <v>205</v>
      </c>
      <c r="H144" t="s">
        <v>19</v>
      </c>
      <c r="I144" t="s">
        <v>26</v>
      </c>
      <c r="J144" s="4">
        <v>184</v>
      </c>
      <c r="K144" t="s">
        <v>21</v>
      </c>
      <c r="L144" t="s">
        <v>31</v>
      </c>
      <c r="M144" s="4">
        <v>0</v>
      </c>
      <c r="N144" t="s">
        <v>26</v>
      </c>
      <c r="O144" s="4">
        <v>0</v>
      </c>
      <c r="P144" s="5">
        <v>0</v>
      </c>
    </row>
    <row r="145" spans="1:16" x14ac:dyDescent="0.3">
      <c r="A145" s="4">
        <v>144</v>
      </c>
      <c r="B145" s="4">
        <v>64</v>
      </c>
      <c r="C145" t="s">
        <v>16</v>
      </c>
      <c r="D145" t="s">
        <v>17</v>
      </c>
      <c r="E145" t="s">
        <v>28</v>
      </c>
      <c r="F145" s="4">
        <v>125</v>
      </c>
      <c r="G145" s="4">
        <v>309</v>
      </c>
      <c r="H145" t="s">
        <v>21</v>
      </c>
      <c r="I145" t="s">
        <v>26</v>
      </c>
      <c r="J145" s="4">
        <v>131</v>
      </c>
      <c r="K145" t="s">
        <v>19</v>
      </c>
      <c r="L145" t="s">
        <v>25</v>
      </c>
      <c r="M145" s="4">
        <v>0</v>
      </c>
      <c r="N145" t="s">
        <v>27</v>
      </c>
      <c r="O145" s="4">
        <v>1</v>
      </c>
      <c r="P145" s="5">
        <v>0.8</v>
      </c>
    </row>
    <row r="146" spans="1:16" x14ac:dyDescent="0.3">
      <c r="A146" s="4">
        <v>145</v>
      </c>
      <c r="B146" s="4">
        <v>58</v>
      </c>
      <c r="C146" t="s">
        <v>16</v>
      </c>
      <c r="D146" t="s">
        <v>17</v>
      </c>
      <c r="E146" t="s">
        <v>28</v>
      </c>
      <c r="F146" s="4">
        <v>105</v>
      </c>
      <c r="G146" s="4">
        <v>240</v>
      </c>
      <c r="H146" t="s">
        <v>21</v>
      </c>
      <c r="I146" t="s">
        <v>20</v>
      </c>
      <c r="J146" s="4">
        <v>154</v>
      </c>
      <c r="K146" t="s">
        <v>19</v>
      </c>
      <c r="L146" t="s">
        <v>25</v>
      </c>
      <c r="M146" s="4">
        <v>0</v>
      </c>
      <c r="N146" t="s">
        <v>27</v>
      </c>
      <c r="O146" s="4">
        <v>0</v>
      </c>
      <c r="P146" s="5">
        <v>0.6</v>
      </c>
    </row>
    <row r="147" spans="1:16" x14ac:dyDescent="0.3">
      <c r="A147" s="4">
        <v>146</v>
      </c>
      <c r="B147" s="4">
        <v>47</v>
      </c>
      <c r="C147" t="s">
        <v>16</v>
      </c>
      <c r="D147" t="s">
        <v>17</v>
      </c>
      <c r="E147" t="s">
        <v>28</v>
      </c>
      <c r="F147" s="4">
        <v>108</v>
      </c>
      <c r="G147" s="4">
        <v>243</v>
      </c>
      <c r="H147" t="s">
        <v>21</v>
      </c>
      <c r="I147" t="s">
        <v>26</v>
      </c>
      <c r="J147" s="4">
        <v>152</v>
      </c>
      <c r="K147" t="s">
        <v>21</v>
      </c>
      <c r="L147" t="s">
        <v>31</v>
      </c>
      <c r="M147" s="4">
        <v>0</v>
      </c>
      <c r="N147" t="s">
        <v>26</v>
      </c>
      <c r="O147" s="4">
        <v>1</v>
      </c>
      <c r="P147" s="5">
        <v>0</v>
      </c>
    </row>
    <row r="148" spans="1:16" x14ac:dyDescent="0.3">
      <c r="A148" s="4">
        <v>147</v>
      </c>
      <c r="B148" s="4">
        <v>57</v>
      </c>
      <c r="C148" t="s">
        <v>16</v>
      </c>
      <c r="D148" t="s">
        <v>17</v>
      </c>
      <c r="E148" t="s">
        <v>24</v>
      </c>
      <c r="F148" s="4">
        <v>165</v>
      </c>
      <c r="G148" s="4">
        <v>289</v>
      </c>
      <c r="H148" t="s">
        <v>19</v>
      </c>
      <c r="I148" t="s">
        <v>20</v>
      </c>
      <c r="J148" s="4">
        <v>124</v>
      </c>
      <c r="K148" t="s">
        <v>21</v>
      </c>
      <c r="L148" t="s">
        <v>25</v>
      </c>
      <c r="M148" s="4">
        <v>3</v>
      </c>
      <c r="N148" t="s">
        <v>27</v>
      </c>
      <c r="O148" s="4">
        <v>4</v>
      </c>
      <c r="P148" s="5">
        <v>1</v>
      </c>
    </row>
    <row r="149" spans="1:16" x14ac:dyDescent="0.3">
      <c r="A149" s="4">
        <v>148</v>
      </c>
      <c r="B149" s="4">
        <v>41</v>
      </c>
      <c r="C149" t="s">
        <v>16</v>
      </c>
      <c r="D149" t="s">
        <v>17</v>
      </c>
      <c r="E149" t="s">
        <v>28</v>
      </c>
      <c r="F149" s="4">
        <v>112</v>
      </c>
      <c r="G149" s="4">
        <v>250</v>
      </c>
      <c r="H149" t="s">
        <v>21</v>
      </c>
      <c r="I149" t="s">
        <v>26</v>
      </c>
      <c r="J149" s="4">
        <v>179</v>
      </c>
      <c r="K149" t="s">
        <v>21</v>
      </c>
      <c r="L149" t="s">
        <v>31</v>
      </c>
      <c r="M149" s="4">
        <v>0</v>
      </c>
      <c r="N149" t="s">
        <v>26</v>
      </c>
      <c r="O149" s="4">
        <v>0</v>
      </c>
      <c r="P149" s="5">
        <v>0</v>
      </c>
    </row>
    <row r="150" spans="1:16" x14ac:dyDescent="0.3">
      <c r="A150" s="4">
        <v>149</v>
      </c>
      <c r="B150" s="4">
        <v>45</v>
      </c>
      <c r="C150" t="s">
        <v>16</v>
      </c>
      <c r="D150" t="s">
        <v>17</v>
      </c>
      <c r="E150" t="s">
        <v>30</v>
      </c>
      <c r="F150" s="4">
        <v>128</v>
      </c>
      <c r="G150" s="4">
        <v>308</v>
      </c>
      <c r="H150" t="s">
        <v>21</v>
      </c>
      <c r="I150" t="s">
        <v>20</v>
      </c>
      <c r="J150" s="4">
        <v>170</v>
      </c>
      <c r="K150" t="s">
        <v>21</v>
      </c>
      <c r="L150" t="s">
        <v>31</v>
      </c>
      <c r="M150" s="4">
        <v>0</v>
      </c>
      <c r="N150" t="s">
        <v>26</v>
      </c>
      <c r="O150" s="4">
        <v>0</v>
      </c>
      <c r="P150" s="5">
        <v>0</v>
      </c>
    </row>
    <row r="151" spans="1:16" x14ac:dyDescent="0.3">
      <c r="A151" s="4">
        <v>150</v>
      </c>
      <c r="B151" s="4">
        <v>60</v>
      </c>
      <c r="C151" t="s">
        <v>29</v>
      </c>
      <c r="D151" t="s">
        <v>17</v>
      </c>
      <c r="E151" t="s">
        <v>28</v>
      </c>
      <c r="F151" s="4">
        <v>102</v>
      </c>
      <c r="G151" s="4">
        <v>318</v>
      </c>
      <c r="H151" t="s">
        <v>21</v>
      </c>
      <c r="I151" t="s">
        <v>26</v>
      </c>
      <c r="J151" s="4">
        <v>160</v>
      </c>
      <c r="K151" t="s">
        <v>21</v>
      </c>
      <c r="L151" t="s">
        <v>31</v>
      </c>
      <c r="M151" s="4">
        <v>1</v>
      </c>
      <c r="N151" t="s">
        <v>26</v>
      </c>
      <c r="O151" s="4">
        <v>0</v>
      </c>
      <c r="P151" s="5">
        <v>0</v>
      </c>
    </row>
    <row r="152" spans="1:16" x14ac:dyDescent="0.3">
      <c r="A152" s="4">
        <v>151</v>
      </c>
      <c r="B152" s="4">
        <v>52</v>
      </c>
      <c r="C152" t="s">
        <v>16</v>
      </c>
      <c r="D152" t="s">
        <v>17</v>
      </c>
      <c r="E152" t="s">
        <v>18</v>
      </c>
      <c r="F152" s="4">
        <v>152</v>
      </c>
      <c r="G152" s="4">
        <v>298</v>
      </c>
      <c r="H152" t="s">
        <v>19</v>
      </c>
      <c r="I152" t="s">
        <v>26</v>
      </c>
      <c r="J152" s="4">
        <v>178</v>
      </c>
      <c r="K152" t="s">
        <v>21</v>
      </c>
      <c r="L152" t="s">
        <v>25</v>
      </c>
      <c r="M152" s="4">
        <v>0</v>
      </c>
      <c r="N152" t="s">
        <v>27</v>
      </c>
      <c r="O152" s="4">
        <v>0</v>
      </c>
      <c r="P152" s="5">
        <v>0.2</v>
      </c>
    </row>
    <row r="153" spans="1:16" x14ac:dyDescent="0.3">
      <c r="A153" s="4">
        <v>152</v>
      </c>
      <c r="B153" s="4">
        <v>42</v>
      </c>
      <c r="C153" t="s">
        <v>29</v>
      </c>
      <c r="D153" t="s">
        <v>17</v>
      </c>
      <c r="E153" t="s">
        <v>24</v>
      </c>
      <c r="F153" s="4">
        <v>102</v>
      </c>
      <c r="G153" s="4">
        <v>265</v>
      </c>
      <c r="H153" t="s">
        <v>21</v>
      </c>
      <c r="I153" t="s">
        <v>20</v>
      </c>
      <c r="J153" s="4">
        <v>122</v>
      </c>
      <c r="K153" t="s">
        <v>21</v>
      </c>
      <c r="L153" t="s">
        <v>25</v>
      </c>
      <c r="M153" s="4">
        <v>0</v>
      </c>
      <c r="N153" t="s">
        <v>26</v>
      </c>
      <c r="O153" s="4">
        <v>0</v>
      </c>
      <c r="P153" s="5">
        <v>0.6</v>
      </c>
    </row>
    <row r="154" spans="1:16" x14ac:dyDescent="0.3">
      <c r="A154" s="4">
        <v>153</v>
      </c>
      <c r="B154" s="4">
        <v>67</v>
      </c>
      <c r="C154" t="s">
        <v>29</v>
      </c>
      <c r="D154" t="s">
        <v>17</v>
      </c>
      <c r="E154" t="s">
        <v>28</v>
      </c>
      <c r="F154" s="4">
        <v>115</v>
      </c>
      <c r="G154" s="4">
        <v>564</v>
      </c>
      <c r="H154" t="s">
        <v>21</v>
      </c>
      <c r="I154" t="s">
        <v>20</v>
      </c>
      <c r="J154" s="4">
        <v>160</v>
      </c>
      <c r="K154" t="s">
        <v>21</v>
      </c>
      <c r="L154" t="s">
        <v>25</v>
      </c>
      <c r="M154" s="4">
        <v>0</v>
      </c>
      <c r="N154" t="s">
        <v>27</v>
      </c>
      <c r="O154" s="4">
        <v>0</v>
      </c>
      <c r="P154" s="5">
        <v>0.6</v>
      </c>
    </row>
    <row r="155" spans="1:16" x14ac:dyDescent="0.3">
      <c r="A155" s="4">
        <v>154</v>
      </c>
      <c r="B155" s="4">
        <v>55</v>
      </c>
      <c r="C155" t="s">
        <v>16</v>
      </c>
      <c r="D155" t="s">
        <v>17</v>
      </c>
      <c r="E155" t="s">
        <v>24</v>
      </c>
      <c r="F155" s="4">
        <v>160</v>
      </c>
      <c r="G155" s="4">
        <v>289</v>
      </c>
      <c r="H155" t="s">
        <v>21</v>
      </c>
      <c r="I155" t="s">
        <v>20</v>
      </c>
      <c r="J155" s="4">
        <v>145</v>
      </c>
      <c r="K155" t="s">
        <v>19</v>
      </c>
      <c r="L155" t="s">
        <v>25</v>
      </c>
      <c r="M155" s="4">
        <v>1</v>
      </c>
      <c r="N155" t="s">
        <v>27</v>
      </c>
      <c r="O155" s="4">
        <v>4</v>
      </c>
      <c r="P155" s="5">
        <v>0.8</v>
      </c>
    </row>
    <row r="156" spans="1:16" x14ac:dyDescent="0.3">
      <c r="A156" s="4">
        <v>155</v>
      </c>
      <c r="B156" s="4">
        <v>64</v>
      </c>
      <c r="C156" t="s">
        <v>16</v>
      </c>
      <c r="D156" t="s">
        <v>17</v>
      </c>
      <c r="E156" t="s">
        <v>24</v>
      </c>
      <c r="F156" s="4">
        <v>120</v>
      </c>
      <c r="G156" s="4">
        <v>246</v>
      </c>
      <c r="H156" t="s">
        <v>21</v>
      </c>
      <c r="I156" t="s">
        <v>20</v>
      </c>
      <c r="J156" s="4">
        <v>96</v>
      </c>
      <c r="K156" t="s">
        <v>19</v>
      </c>
      <c r="L156" t="s">
        <v>22</v>
      </c>
      <c r="M156" s="4">
        <v>1</v>
      </c>
      <c r="N156" t="s">
        <v>26</v>
      </c>
      <c r="O156" s="4">
        <v>3</v>
      </c>
      <c r="P156" s="5">
        <v>0.2</v>
      </c>
    </row>
    <row r="157" spans="1:16" x14ac:dyDescent="0.3">
      <c r="A157" s="4">
        <v>156</v>
      </c>
      <c r="B157" s="4">
        <v>70</v>
      </c>
      <c r="C157" t="s">
        <v>16</v>
      </c>
      <c r="D157" t="s">
        <v>17</v>
      </c>
      <c r="E157" t="s">
        <v>24</v>
      </c>
      <c r="F157" s="4">
        <v>130</v>
      </c>
      <c r="G157" s="4">
        <v>322</v>
      </c>
      <c r="H157" t="s">
        <v>21</v>
      </c>
      <c r="I157" t="s">
        <v>20</v>
      </c>
      <c r="J157" s="4">
        <v>109</v>
      </c>
      <c r="K157" t="s">
        <v>21</v>
      </c>
      <c r="L157" t="s">
        <v>25</v>
      </c>
      <c r="M157" s="4">
        <v>3</v>
      </c>
      <c r="N157" t="s">
        <v>26</v>
      </c>
      <c r="O157" s="4">
        <v>1</v>
      </c>
      <c r="P157" s="5">
        <v>0.4</v>
      </c>
    </row>
    <row r="158" spans="1:16" x14ac:dyDescent="0.3">
      <c r="A158" s="4">
        <v>157</v>
      </c>
      <c r="B158" s="4">
        <v>51</v>
      </c>
      <c r="C158" t="s">
        <v>16</v>
      </c>
      <c r="D158" t="s">
        <v>17</v>
      </c>
      <c r="E158" t="s">
        <v>24</v>
      </c>
      <c r="F158" s="4">
        <v>140</v>
      </c>
      <c r="G158" s="4">
        <v>299</v>
      </c>
      <c r="H158" t="s">
        <v>21</v>
      </c>
      <c r="I158" t="s">
        <v>26</v>
      </c>
      <c r="J158" s="4">
        <v>173</v>
      </c>
      <c r="K158" t="s">
        <v>19</v>
      </c>
      <c r="L158" t="s">
        <v>31</v>
      </c>
      <c r="M158" s="4">
        <v>0</v>
      </c>
      <c r="N158" t="s">
        <v>27</v>
      </c>
      <c r="O158" s="4">
        <v>1</v>
      </c>
      <c r="P158" s="5">
        <v>0.6</v>
      </c>
    </row>
    <row r="159" spans="1:16" x14ac:dyDescent="0.3">
      <c r="A159" s="4">
        <v>158</v>
      </c>
      <c r="B159" s="4">
        <v>58</v>
      </c>
      <c r="C159" t="s">
        <v>16</v>
      </c>
      <c r="D159" t="s">
        <v>17</v>
      </c>
      <c r="E159" t="s">
        <v>24</v>
      </c>
      <c r="F159" s="4">
        <v>125</v>
      </c>
      <c r="G159" s="4">
        <v>300</v>
      </c>
      <c r="H159" t="s">
        <v>21</v>
      </c>
      <c r="I159" t="s">
        <v>20</v>
      </c>
      <c r="J159" s="4">
        <v>171</v>
      </c>
      <c r="K159" t="s">
        <v>21</v>
      </c>
      <c r="L159" t="s">
        <v>31</v>
      </c>
      <c r="M159" s="4">
        <v>2</v>
      </c>
      <c r="N159" t="s">
        <v>27</v>
      </c>
      <c r="O159" s="4">
        <v>1</v>
      </c>
      <c r="P159" s="5">
        <v>0</v>
      </c>
    </row>
    <row r="160" spans="1:16" x14ac:dyDescent="0.3">
      <c r="A160" s="4">
        <v>159</v>
      </c>
      <c r="B160" s="4">
        <v>60</v>
      </c>
      <c r="C160" t="s">
        <v>16</v>
      </c>
      <c r="D160" t="s">
        <v>17</v>
      </c>
      <c r="E160" t="s">
        <v>24</v>
      </c>
      <c r="F160" s="4">
        <v>140</v>
      </c>
      <c r="G160" s="4">
        <v>293</v>
      </c>
      <c r="H160" t="s">
        <v>21</v>
      </c>
      <c r="I160" t="s">
        <v>20</v>
      </c>
      <c r="J160" s="4">
        <v>170</v>
      </c>
      <c r="K160" t="s">
        <v>21</v>
      </c>
      <c r="L160" t="s">
        <v>25</v>
      </c>
      <c r="M160" s="4">
        <v>2</v>
      </c>
      <c r="N160" t="s">
        <v>27</v>
      </c>
      <c r="O160" s="4">
        <v>2</v>
      </c>
      <c r="P160" s="5">
        <v>0.2</v>
      </c>
    </row>
    <row r="161" spans="1:16" x14ac:dyDescent="0.3">
      <c r="A161" s="4">
        <v>160</v>
      </c>
      <c r="B161" s="4">
        <v>68</v>
      </c>
      <c r="C161" t="s">
        <v>16</v>
      </c>
      <c r="D161" t="s">
        <v>17</v>
      </c>
      <c r="E161" t="s">
        <v>28</v>
      </c>
      <c r="F161" s="4">
        <v>118</v>
      </c>
      <c r="G161" s="4">
        <v>277</v>
      </c>
      <c r="H161" t="s">
        <v>21</v>
      </c>
      <c r="I161" t="s">
        <v>26</v>
      </c>
      <c r="J161" s="4">
        <v>151</v>
      </c>
      <c r="K161" t="s">
        <v>21</v>
      </c>
      <c r="L161" t="s">
        <v>31</v>
      </c>
      <c r="M161" s="4">
        <v>1</v>
      </c>
      <c r="N161" t="s">
        <v>27</v>
      </c>
      <c r="O161" s="4">
        <v>0</v>
      </c>
      <c r="P161" s="5">
        <v>1</v>
      </c>
    </row>
    <row r="162" spans="1:16" x14ac:dyDescent="0.3">
      <c r="A162" s="4">
        <v>161</v>
      </c>
      <c r="B162" s="4">
        <v>46</v>
      </c>
      <c r="C162" t="s">
        <v>16</v>
      </c>
      <c r="D162" t="s">
        <v>17</v>
      </c>
      <c r="E162" t="s">
        <v>30</v>
      </c>
      <c r="F162" s="4">
        <v>101</v>
      </c>
      <c r="G162" s="4">
        <v>197</v>
      </c>
      <c r="H162" t="s">
        <v>19</v>
      </c>
      <c r="I162" t="s">
        <v>26</v>
      </c>
      <c r="J162" s="4">
        <v>156</v>
      </c>
      <c r="K162" t="s">
        <v>21</v>
      </c>
      <c r="L162" t="s">
        <v>31</v>
      </c>
      <c r="M162" s="4">
        <v>0</v>
      </c>
      <c r="N162" t="s">
        <v>27</v>
      </c>
      <c r="O162" s="4">
        <v>0</v>
      </c>
      <c r="P162" s="5">
        <v>0</v>
      </c>
    </row>
    <row r="163" spans="1:16" x14ac:dyDescent="0.3">
      <c r="A163" s="4">
        <v>162</v>
      </c>
      <c r="B163" s="4">
        <v>77</v>
      </c>
      <c r="C163" t="s">
        <v>16</v>
      </c>
      <c r="D163" t="s">
        <v>17</v>
      </c>
      <c r="E163" t="s">
        <v>24</v>
      </c>
      <c r="F163" s="4">
        <v>125</v>
      </c>
      <c r="G163" s="4">
        <v>304</v>
      </c>
      <c r="H163" t="s">
        <v>21</v>
      </c>
      <c r="I163" t="s">
        <v>20</v>
      </c>
      <c r="J163" s="4">
        <v>162</v>
      </c>
      <c r="K163" t="s">
        <v>19</v>
      </c>
      <c r="L163" t="s">
        <v>31</v>
      </c>
      <c r="M163" s="4">
        <v>3</v>
      </c>
      <c r="N163" t="s">
        <v>26</v>
      </c>
      <c r="O163" s="4">
        <v>4</v>
      </c>
      <c r="P163" s="5">
        <v>0</v>
      </c>
    </row>
    <row r="164" spans="1:16" x14ac:dyDescent="0.3">
      <c r="A164" s="4">
        <v>163</v>
      </c>
      <c r="B164" s="4">
        <v>54</v>
      </c>
      <c r="C164" t="s">
        <v>29</v>
      </c>
      <c r="D164" t="s">
        <v>17</v>
      </c>
      <c r="E164" t="s">
        <v>28</v>
      </c>
      <c r="F164" s="4">
        <v>110</v>
      </c>
      <c r="G164" s="4">
        <v>214</v>
      </c>
      <c r="H164" t="s">
        <v>21</v>
      </c>
      <c r="I164" t="s">
        <v>26</v>
      </c>
      <c r="J164" s="4">
        <v>158</v>
      </c>
      <c r="K164" t="s">
        <v>21</v>
      </c>
      <c r="L164" t="s">
        <v>25</v>
      </c>
      <c r="M164" s="4">
        <v>0</v>
      </c>
      <c r="N164" t="s">
        <v>26</v>
      </c>
      <c r="O164" s="4">
        <v>0</v>
      </c>
      <c r="P164" s="5">
        <v>0.6</v>
      </c>
    </row>
    <row r="165" spans="1:16" x14ac:dyDescent="0.3">
      <c r="A165" s="4">
        <v>164</v>
      </c>
      <c r="B165" s="4">
        <v>58</v>
      </c>
      <c r="C165" t="s">
        <v>29</v>
      </c>
      <c r="D165" t="s">
        <v>17</v>
      </c>
      <c r="E165" t="s">
        <v>24</v>
      </c>
      <c r="F165" s="4">
        <v>100</v>
      </c>
      <c r="G165" s="4">
        <v>248</v>
      </c>
      <c r="H165" t="s">
        <v>21</v>
      </c>
      <c r="I165" t="s">
        <v>20</v>
      </c>
      <c r="J165" s="4">
        <v>122</v>
      </c>
      <c r="K165" t="s">
        <v>21</v>
      </c>
      <c r="L165" t="s">
        <v>25</v>
      </c>
      <c r="M165" s="4">
        <v>0</v>
      </c>
      <c r="N165" t="s">
        <v>26</v>
      </c>
      <c r="O165" s="4">
        <v>0</v>
      </c>
      <c r="P165" s="5">
        <v>1</v>
      </c>
    </row>
    <row r="166" spans="1:16" x14ac:dyDescent="0.3">
      <c r="A166" s="4">
        <v>165</v>
      </c>
      <c r="B166" s="4">
        <v>48</v>
      </c>
      <c r="C166" t="s">
        <v>16</v>
      </c>
      <c r="D166" t="s">
        <v>17</v>
      </c>
      <c r="E166" t="s">
        <v>28</v>
      </c>
      <c r="F166" s="4">
        <v>124</v>
      </c>
      <c r="G166" s="4">
        <v>255</v>
      </c>
      <c r="H166" t="s">
        <v>19</v>
      </c>
      <c r="I166" t="s">
        <v>26</v>
      </c>
      <c r="J166" s="4">
        <v>175</v>
      </c>
      <c r="K166" t="s">
        <v>21</v>
      </c>
      <c r="L166" t="s">
        <v>31</v>
      </c>
      <c r="M166" s="4">
        <v>2</v>
      </c>
      <c r="N166" t="s">
        <v>26</v>
      </c>
      <c r="O166" s="4">
        <v>0</v>
      </c>
      <c r="P166" s="5">
        <v>0</v>
      </c>
    </row>
    <row r="167" spans="1:16" x14ac:dyDescent="0.3">
      <c r="A167" s="4">
        <v>166</v>
      </c>
      <c r="B167" s="4">
        <v>57</v>
      </c>
      <c r="C167" t="s">
        <v>16</v>
      </c>
      <c r="D167" t="s">
        <v>17</v>
      </c>
      <c r="E167" t="s">
        <v>24</v>
      </c>
      <c r="F167" s="4">
        <v>132</v>
      </c>
      <c r="G167" s="4">
        <v>207</v>
      </c>
      <c r="H167" t="s">
        <v>21</v>
      </c>
      <c r="I167" t="s">
        <v>26</v>
      </c>
      <c r="J167" s="4">
        <v>168</v>
      </c>
      <c r="K167" t="s">
        <v>19</v>
      </c>
      <c r="L167" t="s">
        <v>31</v>
      </c>
      <c r="M167" s="4">
        <v>0</v>
      </c>
      <c r="N167" t="s">
        <v>27</v>
      </c>
      <c r="O167" s="4">
        <v>0</v>
      </c>
      <c r="P167" s="5">
        <v>0</v>
      </c>
    </row>
    <row r="168" spans="1:16" x14ac:dyDescent="0.3">
      <c r="A168" s="4">
        <v>167</v>
      </c>
      <c r="B168" s="4">
        <v>52</v>
      </c>
      <c r="C168" t="s">
        <v>16</v>
      </c>
      <c r="D168" t="s">
        <v>17</v>
      </c>
      <c r="E168" t="s">
        <v>28</v>
      </c>
      <c r="F168" s="4">
        <v>138</v>
      </c>
      <c r="G168" s="4">
        <v>223</v>
      </c>
      <c r="H168" t="s">
        <v>21</v>
      </c>
      <c r="I168" t="s">
        <v>26</v>
      </c>
      <c r="J168" s="4">
        <v>169</v>
      </c>
      <c r="K168" t="s">
        <v>21</v>
      </c>
      <c r="L168" t="s">
        <v>31</v>
      </c>
      <c r="N168" t="s">
        <v>26</v>
      </c>
      <c r="O168" s="4">
        <v>0</v>
      </c>
      <c r="P168" s="5">
        <v>0</v>
      </c>
    </row>
    <row r="169" spans="1:16" x14ac:dyDescent="0.3">
      <c r="A169" s="4">
        <v>168</v>
      </c>
      <c r="B169" s="4">
        <v>54</v>
      </c>
      <c r="C169" t="s">
        <v>29</v>
      </c>
      <c r="D169" t="s">
        <v>17</v>
      </c>
      <c r="E169" t="s">
        <v>30</v>
      </c>
      <c r="F169" s="4">
        <v>132</v>
      </c>
      <c r="G169" s="4">
        <v>288</v>
      </c>
      <c r="H169" t="s">
        <v>19</v>
      </c>
      <c r="I169" t="s">
        <v>20</v>
      </c>
      <c r="J169" s="4">
        <v>159</v>
      </c>
      <c r="K169" t="s">
        <v>19</v>
      </c>
      <c r="L169" t="s">
        <v>31</v>
      </c>
      <c r="M169" s="4">
        <v>1</v>
      </c>
      <c r="N169" t="s">
        <v>26</v>
      </c>
      <c r="O169" s="4">
        <v>0</v>
      </c>
      <c r="P169" s="5">
        <v>0</v>
      </c>
    </row>
    <row r="170" spans="1:16" x14ac:dyDescent="0.3">
      <c r="A170" s="4">
        <v>169</v>
      </c>
      <c r="B170" s="4">
        <v>35</v>
      </c>
      <c r="C170" t="s">
        <v>16</v>
      </c>
      <c r="D170" t="s">
        <v>17</v>
      </c>
      <c r="E170" t="s">
        <v>24</v>
      </c>
      <c r="F170" s="4">
        <v>126</v>
      </c>
      <c r="G170" s="4">
        <v>282</v>
      </c>
      <c r="H170" t="s">
        <v>21</v>
      </c>
      <c r="I170" t="s">
        <v>20</v>
      </c>
      <c r="J170" s="4">
        <v>156</v>
      </c>
      <c r="K170" t="s">
        <v>19</v>
      </c>
      <c r="L170" t="s">
        <v>31</v>
      </c>
      <c r="M170" s="4">
        <v>0</v>
      </c>
      <c r="N170" t="s">
        <v>27</v>
      </c>
      <c r="O170" s="4">
        <v>1</v>
      </c>
      <c r="P170" s="5">
        <v>0</v>
      </c>
    </row>
    <row r="171" spans="1:16" x14ac:dyDescent="0.3">
      <c r="A171" s="4">
        <v>170</v>
      </c>
      <c r="B171" s="4">
        <v>45</v>
      </c>
      <c r="C171" t="s">
        <v>29</v>
      </c>
      <c r="D171" t="s">
        <v>17</v>
      </c>
      <c r="E171" t="s">
        <v>30</v>
      </c>
      <c r="F171" s="4">
        <v>112</v>
      </c>
      <c r="G171" s="4">
        <v>160</v>
      </c>
      <c r="H171" t="s">
        <v>21</v>
      </c>
      <c r="I171" t="s">
        <v>26</v>
      </c>
      <c r="J171" s="4">
        <v>138</v>
      </c>
      <c r="K171" t="s">
        <v>21</v>
      </c>
      <c r="L171" t="s">
        <v>25</v>
      </c>
      <c r="M171" s="4">
        <v>0</v>
      </c>
      <c r="N171" t="s">
        <v>26</v>
      </c>
      <c r="O171" s="4">
        <v>0</v>
      </c>
      <c r="P171" s="5">
        <v>0</v>
      </c>
    </row>
    <row r="172" spans="1:16" x14ac:dyDescent="0.3">
      <c r="A172" s="4">
        <v>171</v>
      </c>
      <c r="B172" s="4">
        <v>70</v>
      </c>
      <c r="C172" t="s">
        <v>16</v>
      </c>
      <c r="D172" t="s">
        <v>17</v>
      </c>
      <c r="E172" t="s">
        <v>28</v>
      </c>
      <c r="F172" s="4">
        <v>160</v>
      </c>
      <c r="G172" s="4">
        <v>269</v>
      </c>
      <c r="H172" t="s">
        <v>21</v>
      </c>
      <c r="I172" t="s">
        <v>26</v>
      </c>
      <c r="J172" s="4">
        <v>112</v>
      </c>
      <c r="K172" t="s">
        <v>19</v>
      </c>
      <c r="L172" t="s">
        <v>25</v>
      </c>
      <c r="M172" s="4">
        <v>1</v>
      </c>
      <c r="N172" t="s">
        <v>27</v>
      </c>
      <c r="O172" s="4">
        <v>3</v>
      </c>
      <c r="P172" s="5">
        <v>0.9</v>
      </c>
    </row>
    <row r="173" spans="1:16" x14ac:dyDescent="0.3">
      <c r="A173" s="4">
        <v>172</v>
      </c>
      <c r="B173" s="4">
        <v>53</v>
      </c>
      <c r="C173" t="s">
        <v>16</v>
      </c>
      <c r="D173" t="s">
        <v>17</v>
      </c>
      <c r="E173" t="s">
        <v>24</v>
      </c>
      <c r="F173" s="4">
        <v>142</v>
      </c>
      <c r="G173" s="4">
        <v>226</v>
      </c>
      <c r="H173" t="s">
        <v>21</v>
      </c>
      <c r="I173" t="s">
        <v>20</v>
      </c>
      <c r="J173" s="4">
        <v>111</v>
      </c>
      <c r="K173" t="s">
        <v>19</v>
      </c>
      <c r="L173" t="s">
        <v>31</v>
      </c>
      <c r="M173" s="4">
        <v>0</v>
      </c>
      <c r="N173" t="s">
        <v>27</v>
      </c>
      <c r="O173" s="4">
        <v>0</v>
      </c>
      <c r="P173" s="5">
        <v>0</v>
      </c>
    </row>
    <row r="174" spans="1:16" x14ac:dyDescent="0.3">
      <c r="A174" s="4">
        <v>173</v>
      </c>
      <c r="B174" s="4">
        <v>59</v>
      </c>
      <c r="C174" t="s">
        <v>29</v>
      </c>
      <c r="D174" t="s">
        <v>17</v>
      </c>
      <c r="E174" t="s">
        <v>24</v>
      </c>
      <c r="F174" s="4">
        <v>174</v>
      </c>
      <c r="G174" s="4">
        <v>249</v>
      </c>
      <c r="H174" t="s">
        <v>21</v>
      </c>
      <c r="I174" t="s">
        <v>26</v>
      </c>
      <c r="J174" s="4">
        <v>143</v>
      </c>
      <c r="K174" t="s">
        <v>19</v>
      </c>
      <c r="L174" t="s">
        <v>25</v>
      </c>
      <c r="M174" s="4">
        <v>0</v>
      </c>
      <c r="N174" t="s">
        <v>26</v>
      </c>
      <c r="O174" s="4">
        <v>1</v>
      </c>
      <c r="P174" s="5">
        <v>0</v>
      </c>
    </row>
    <row r="175" spans="1:16" x14ac:dyDescent="0.3">
      <c r="A175" s="4">
        <v>174</v>
      </c>
      <c r="B175" s="4">
        <v>62</v>
      </c>
      <c r="C175" t="s">
        <v>29</v>
      </c>
      <c r="D175" t="s">
        <v>17</v>
      </c>
      <c r="E175" t="s">
        <v>24</v>
      </c>
      <c r="F175" s="4">
        <v>140</v>
      </c>
      <c r="G175" s="4">
        <v>394</v>
      </c>
      <c r="H175" t="s">
        <v>21</v>
      </c>
      <c r="I175" t="s">
        <v>20</v>
      </c>
      <c r="J175" s="4">
        <v>157</v>
      </c>
      <c r="K175" t="s">
        <v>21</v>
      </c>
      <c r="L175" t="s">
        <v>25</v>
      </c>
      <c r="M175" s="4">
        <v>0</v>
      </c>
      <c r="N175" t="s">
        <v>26</v>
      </c>
      <c r="O175" s="4">
        <v>0</v>
      </c>
      <c r="P175" s="5">
        <v>0.2</v>
      </c>
    </row>
    <row r="176" spans="1:16" x14ac:dyDescent="0.3">
      <c r="A176" s="4">
        <v>175</v>
      </c>
      <c r="B176" s="4">
        <v>64</v>
      </c>
      <c r="C176" t="s">
        <v>16</v>
      </c>
      <c r="D176" t="s">
        <v>17</v>
      </c>
      <c r="E176" t="s">
        <v>24</v>
      </c>
      <c r="F176" s="4">
        <v>145</v>
      </c>
      <c r="G176" s="4">
        <v>212</v>
      </c>
      <c r="H176" t="s">
        <v>21</v>
      </c>
      <c r="I176" t="s">
        <v>20</v>
      </c>
      <c r="J176" s="4">
        <v>132</v>
      </c>
      <c r="K176" t="s">
        <v>21</v>
      </c>
      <c r="L176" t="s">
        <v>25</v>
      </c>
      <c r="M176" s="4">
        <v>2</v>
      </c>
      <c r="N176" t="s">
        <v>23</v>
      </c>
      <c r="O176" s="4">
        <v>4</v>
      </c>
      <c r="P176" s="5">
        <v>2</v>
      </c>
    </row>
    <row r="177" spans="1:16" x14ac:dyDescent="0.3">
      <c r="A177" s="4">
        <v>176</v>
      </c>
      <c r="B177" s="4">
        <v>57</v>
      </c>
      <c r="C177" t="s">
        <v>16</v>
      </c>
      <c r="D177" t="s">
        <v>17</v>
      </c>
      <c r="E177" t="s">
        <v>24</v>
      </c>
      <c r="F177" s="4">
        <v>152</v>
      </c>
      <c r="G177" s="4">
        <v>274</v>
      </c>
      <c r="H177" t="s">
        <v>21</v>
      </c>
      <c r="I177" t="s">
        <v>26</v>
      </c>
      <c r="J177" s="4">
        <v>88</v>
      </c>
      <c r="K177" t="s">
        <v>19</v>
      </c>
      <c r="L177" t="s">
        <v>25</v>
      </c>
      <c r="M177" s="4">
        <v>1</v>
      </c>
      <c r="N177" t="s">
        <v>27</v>
      </c>
      <c r="O177" s="4">
        <v>1</v>
      </c>
      <c r="P177" s="5">
        <v>0.2</v>
      </c>
    </row>
    <row r="178" spans="1:16" x14ac:dyDescent="0.3">
      <c r="A178" s="4">
        <v>177</v>
      </c>
      <c r="B178" s="4">
        <v>52</v>
      </c>
      <c r="C178" t="s">
        <v>16</v>
      </c>
      <c r="D178" t="s">
        <v>17</v>
      </c>
      <c r="E178" t="s">
        <v>24</v>
      </c>
      <c r="F178" s="4">
        <v>108</v>
      </c>
      <c r="G178" s="4">
        <v>233</v>
      </c>
      <c r="H178" t="s">
        <v>19</v>
      </c>
      <c r="I178" t="s">
        <v>26</v>
      </c>
      <c r="J178" s="4">
        <v>147</v>
      </c>
      <c r="K178" t="s">
        <v>21</v>
      </c>
      <c r="L178" t="s">
        <v>31</v>
      </c>
      <c r="M178" s="4">
        <v>3</v>
      </c>
      <c r="N178" t="s">
        <v>27</v>
      </c>
      <c r="O178" s="4">
        <v>0</v>
      </c>
      <c r="P178" s="5">
        <v>0.1</v>
      </c>
    </row>
    <row r="179" spans="1:16" x14ac:dyDescent="0.3">
      <c r="A179" s="4">
        <v>178</v>
      </c>
      <c r="B179" s="4">
        <v>56</v>
      </c>
      <c r="C179" t="s">
        <v>16</v>
      </c>
      <c r="D179" t="s">
        <v>17</v>
      </c>
      <c r="E179" t="s">
        <v>24</v>
      </c>
      <c r="F179" s="4">
        <v>132</v>
      </c>
      <c r="G179" s="4">
        <v>184</v>
      </c>
      <c r="H179" t="s">
        <v>21</v>
      </c>
      <c r="I179" t="s">
        <v>20</v>
      </c>
      <c r="J179" s="4">
        <v>105</v>
      </c>
      <c r="K179" t="s">
        <v>19</v>
      </c>
      <c r="L179" t="s">
        <v>25</v>
      </c>
      <c r="M179" s="4">
        <v>1</v>
      </c>
      <c r="N179" t="s">
        <v>23</v>
      </c>
      <c r="O179" s="4">
        <v>1</v>
      </c>
      <c r="P179" s="5">
        <v>0.1</v>
      </c>
    </row>
    <row r="180" spans="1:16" x14ac:dyDescent="0.3">
      <c r="A180" s="4">
        <v>179</v>
      </c>
      <c r="B180" s="4">
        <v>43</v>
      </c>
      <c r="C180" t="s">
        <v>16</v>
      </c>
      <c r="D180" t="s">
        <v>17</v>
      </c>
      <c r="E180" t="s">
        <v>28</v>
      </c>
      <c r="F180" s="4">
        <v>130</v>
      </c>
      <c r="G180" s="4">
        <v>315</v>
      </c>
      <c r="H180" t="s">
        <v>21</v>
      </c>
      <c r="I180" t="s">
        <v>26</v>
      </c>
      <c r="J180" s="4">
        <v>162</v>
      </c>
      <c r="K180" t="s">
        <v>21</v>
      </c>
      <c r="L180" t="s">
        <v>31</v>
      </c>
      <c r="M180" s="4">
        <v>1</v>
      </c>
      <c r="N180" t="s">
        <v>26</v>
      </c>
      <c r="O180" s="4">
        <v>0</v>
      </c>
      <c r="P180" s="5">
        <v>0.9</v>
      </c>
    </row>
    <row r="181" spans="1:16" x14ac:dyDescent="0.3">
      <c r="A181" s="4">
        <v>180</v>
      </c>
      <c r="B181" s="4">
        <v>53</v>
      </c>
      <c r="C181" t="s">
        <v>16</v>
      </c>
      <c r="D181" t="s">
        <v>17</v>
      </c>
      <c r="E181" t="s">
        <v>28</v>
      </c>
      <c r="F181" s="4">
        <v>130</v>
      </c>
      <c r="G181" s="4">
        <v>246</v>
      </c>
      <c r="H181" t="s">
        <v>19</v>
      </c>
      <c r="I181" t="s">
        <v>20</v>
      </c>
      <c r="J181" s="4">
        <v>173</v>
      </c>
      <c r="K181" t="s">
        <v>21</v>
      </c>
      <c r="L181" t="s">
        <v>31</v>
      </c>
      <c r="M181" s="4">
        <v>3</v>
      </c>
      <c r="N181" t="s">
        <v>26</v>
      </c>
      <c r="O181" s="4">
        <v>0</v>
      </c>
      <c r="P181" s="5">
        <v>0</v>
      </c>
    </row>
    <row r="182" spans="1:16" x14ac:dyDescent="0.3">
      <c r="A182" s="4">
        <v>181</v>
      </c>
      <c r="B182" s="4">
        <v>48</v>
      </c>
      <c r="C182" t="s">
        <v>16</v>
      </c>
      <c r="D182" t="s">
        <v>17</v>
      </c>
      <c r="E182" t="s">
        <v>24</v>
      </c>
      <c r="F182" s="4">
        <v>124</v>
      </c>
      <c r="G182" s="4">
        <v>274</v>
      </c>
      <c r="H182" t="s">
        <v>21</v>
      </c>
      <c r="I182" t="s">
        <v>20</v>
      </c>
      <c r="J182" s="4">
        <v>166</v>
      </c>
      <c r="K182" t="s">
        <v>21</v>
      </c>
      <c r="L182" t="s">
        <v>25</v>
      </c>
      <c r="M182" s="4">
        <v>0</v>
      </c>
      <c r="N182" t="s">
        <v>27</v>
      </c>
      <c r="O182" s="4">
        <v>3</v>
      </c>
      <c r="P182" s="5">
        <v>0.5</v>
      </c>
    </row>
    <row r="183" spans="1:16" x14ac:dyDescent="0.3">
      <c r="A183" s="4">
        <v>182</v>
      </c>
      <c r="B183" s="4">
        <v>56</v>
      </c>
      <c r="C183" t="s">
        <v>29</v>
      </c>
      <c r="D183" t="s">
        <v>17</v>
      </c>
      <c r="E183" t="s">
        <v>24</v>
      </c>
      <c r="F183" s="4">
        <v>134</v>
      </c>
      <c r="G183" s="4">
        <v>409</v>
      </c>
      <c r="H183" t="s">
        <v>21</v>
      </c>
      <c r="I183" t="s">
        <v>20</v>
      </c>
      <c r="J183" s="4">
        <v>150</v>
      </c>
      <c r="K183" t="s">
        <v>19</v>
      </c>
      <c r="L183" t="s">
        <v>25</v>
      </c>
      <c r="M183" s="4">
        <v>2</v>
      </c>
      <c r="N183" t="s">
        <v>27</v>
      </c>
      <c r="O183" s="4">
        <v>2</v>
      </c>
      <c r="P183" s="5">
        <v>0.9</v>
      </c>
    </row>
    <row r="184" spans="1:16" x14ac:dyDescent="0.3">
      <c r="A184" s="4">
        <v>183</v>
      </c>
      <c r="B184" s="4">
        <v>42</v>
      </c>
      <c r="C184" t="s">
        <v>16</v>
      </c>
      <c r="D184" t="s">
        <v>17</v>
      </c>
      <c r="E184" t="s">
        <v>18</v>
      </c>
      <c r="F184" s="4">
        <v>148</v>
      </c>
      <c r="G184" s="4">
        <v>244</v>
      </c>
      <c r="H184" t="s">
        <v>21</v>
      </c>
      <c r="I184" t="s">
        <v>20</v>
      </c>
      <c r="J184" s="4">
        <v>178</v>
      </c>
      <c r="K184" t="s">
        <v>21</v>
      </c>
      <c r="L184" t="s">
        <v>31</v>
      </c>
      <c r="M184" s="4">
        <v>2</v>
      </c>
      <c r="N184" t="s">
        <v>26</v>
      </c>
      <c r="O184" s="4">
        <v>0</v>
      </c>
      <c r="P184" s="5">
        <v>0.8</v>
      </c>
    </row>
    <row r="185" spans="1:16" x14ac:dyDescent="0.3">
      <c r="A185" s="4">
        <v>184</v>
      </c>
      <c r="B185" s="4">
        <v>59</v>
      </c>
      <c r="C185" t="s">
        <v>16</v>
      </c>
      <c r="D185" t="s">
        <v>17</v>
      </c>
      <c r="E185" t="s">
        <v>18</v>
      </c>
      <c r="F185" s="4">
        <v>178</v>
      </c>
      <c r="G185" s="4">
        <v>270</v>
      </c>
      <c r="H185" t="s">
        <v>21</v>
      </c>
      <c r="I185" t="s">
        <v>20</v>
      </c>
      <c r="J185" s="4">
        <v>145</v>
      </c>
      <c r="K185" t="s">
        <v>21</v>
      </c>
      <c r="L185" t="s">
        <v>22</v>
      </c>
      <c r="M185" s="4">
        <v>0</v>
      </c>
      <c r="N185" t="s">
        <v>27</v>
      </c>
      <c r="O185" s="4">
        <v>0</v>
      </c>
      <c r="P185" s="5">
        <v>0.2</v>
      </c>
    </row>
    <row r="186" spans="1:16" x14ac:dyDescent="0.3">
      <c r="A186" s="4">
        <v>185</v>
      </c>
      <c r="B186" s="4">
        <v>60</v>
      </c>
      <c r="C186" t="s">
        <v>29</v>
      </c>
      <c r="D186" t="s">
        <v>17</v>
      </c>
      <c r="E186" t="s">
        <v>24</v>
      </c>
      <c r="F186" s="4">
        <v>158</v>
      </c>
      <c r="G186" s="4">
        <v>305</v>
      </c>
      <c r="H186" t="s">
        <v>21</v>
      </c>
      <c r="I186" t="s">
        <v>20</v>
      </c>
      <c r="J186" s="4">
        <v>161</v>
      </c>
      <c r="K186" t="s">
        <v>21</v>
      </c>
      <c r="L186" t="s">
        <v>31</v>
      </c>
      <c r="M186" s="4">
        <v>0</v>
      </c>
      <c r="N186" t="s">
        <v>26</v>
      </c>
      <c r="O186" s="4">
        <v>1</v>
      </c>
      <c r="P186" s="5">
        <v>0</v>
      </c>
    </row>
    <row r="187" spans="1:16" x14ac:dyDescent="0.3">
      <c r="A187" s="4">
        <v>186</v>
      </c>
      <c r="B187" s="4">
        <v>63</v>
      </c>
      <c r="C187" t="s">
        <v>29</v>
      </c>
      <c r="D187" t="s">
        <v>17</v>
      </c>
      <c r="E187" t="s">
        <v>30</v>
      </c>
      <c r="F187" s="4">
        <v>140</v>
      </c>
      <c r="G187" s="4">
        <v>195</v>
      </c>
      <c r="H187" t="s">
        <v>21</v>
      </c>
      <c r="I187" t="s">
        <v>26</v>
      </c>
      <c r="J187" s="4">
        <v>179</v>
      </c>
      <c r="K187" t="s">
        <v>21</v>
      </c>
      <c r="L187" t="s">
        <v>31</v>
      </c>
      <c r="M187" s="4">
        <v>2</v>
      </c>
      <c r="N187" t="s">
        <v>26</v>
      </c>
      <c r="O187" s="4">
        <v>0</v>
      </c>
      <c r="P187" s="5">
        <v>0</v>
      </c>
    </row>
    <row r="188" spans="1:16" x14ac:dyDescent="0.3">
      <c r="A188" s="4">
        <v>187</v>
      </c>
      <c r="B188" s="4">
        <v>42</v>
      </c>
      <c r="C188" t="s">
        <v>16</v>
      </c>
      <c r="D188" t="s">
        <v>17</v>
      </c>
      <c r="E188" t="s">
        <v>28</v>
      </c>
      <c r="F188" s="4">
        <v>120</v>
      </c>
      <c r="G188" s="4">
        <v>240</v>
      </c>
      <c r="H188" t="s">
        <v>19</v>
      </c>
      <c r="I188" t="s">
        <v>26</v>
      </c>
      <c r="J188" s="4">
        <v>194</v>
      </c>
      <c r="K188" t="s">
        <v>21</v>
      </c>
      <c r="L188" t="s">
        <v>22</v>
      </c>
      <c r="M188" s="4">
        <v>0</v>
      </c>
      <c r="N188" t="s">
        <v>27</v>
      </c>
      <c r="O188" s="4">
        <v>0</v>
      </c>
      <c r="P188" s="5">
        <v>0.8</v>
      </c>
    </row>
    <row r="189" spans="1:16" x14ac:dyDescent="0.3">
      <c r="A189" s="4">
        <v>188</v>
      </c>
      <c r="B189" s="4">
        <v>66</v>
      </c>
      <c r="C189" t="s">
        <v>16</v>
      </c>
      <c r="D189" t="s">
        <v>17</v>
      </c>
      <c r="E189" t="s">
        <v>30</v>
      </c>
      <c r="F189" s="4">
        <v>160</v>
      </c>
      <c r="G189" s="4">
        <v>246</v>
      </c>
      <c r="H189" t="s">
        <v>21</v>
      </c>
      <c r="I189" t="s">
        <v>26</v>
      </c>
      <c r="J189" s="4">
        <v>120</v>
      </c>
      <c r="K189" t="s">
        <v>19</v>
      </c>
      <c r="L189" t="s">
        <v>25</v>
      </c>
      <c r="M189" s="4">
        <v>3</v>
      </c>
      <c r="N189" t="s">
        <v>23</v>
      </c>
      <c r="O189" s="4">
        <v>2</v>
      </c>
      <c r="P189" s="5">
        <v>0</v>
      </c>
    </row>
    <row r="190" spans="1:16" x14ac:dyDescent="0.3">
      <c r="A190" s="4">
        <v>189</v>
      </c>
      <c r="B190" s="4">
        <v>54</v>
      </c>
      <c r="C190" t="s">
        <v>16</v>
      </c>
      <c r="D190" t="s">
        <v>17</v>
      </c>
      <c r="E190" t="s">
        <v>30</v>
      </c>
      <c r="F190" s="4">
        <v>192</v>
      </c>
      <c r="G190" s="4">
        <v>283</v>
      </c>
      <c r="H190" t="s">
        <v>21</v>
      </c>
      <c r="I190" t="s">
        <v>20</v>
      </c>
      <c r="J190" s="4">
        <v>195</v>
      </c>
      <c r="K190" t="s">
        <v>21</v>
      </c>
      <c r="L190" t="s">
        <v>31</v>
      </c>
      <c r="M190" s="4">
        <v>1</v>
      </c>
      <c r="N190" t="s">
        <v>27</v>
      </c>
      <c r="O190" s="4">
        <v>1</v>
      </c>
      <c r="P190" s="5">
        <v>0</v>
      </c>
    </row>
    <row r="191" spans="1:16" x14ac:dyDescent="0.3">
      <c r="A191" s="4">
        <v>190</v>
      </c>
      <c r="B191" s="4">
        <v>69</v>
      </c>
      <c r="C191" t="s">
        <v>16</v>
      </c>
      <c r="D191" t="s">
        <v>17</v>
      </c>
      <c r="E191" t="s">
        <v>28</v>
      </c>
      <c r="F191" s="4">
        <v>140</v>
      </c>
      <c r="G191" s="4">
        <v>254</v>
      </c>
      <c r="H191" t="s">
        <v>21</v>
      </c>
      <c r="I191" t="s">
        <v>20</v>
      </c>
      <c r="J191" s="4">
        <v>146</v>
      </c>
      <c r="K191" t="s">
        <v>21</v>
      </c>
      <c r="L191" t="s">
        <v>25</v>
      </c>
      <c r="M191" s="4">
        <v>3</v>
      </c>
      <c r="N191" t="s">
        <v>27</v>
      </c>
      <c r="O191" s="4">
        <v>2</v>
      </c>
      <c r="P191" s="5">
        <v>2</v>
      </c>
    </row>
    <row r="192" spans="1:16" x14ac:dyDescent="0.3">
      <c r="A192" s="4">
        <v>191</v>
      </c>
      <c r="B192" s="4">
        <v>50</v>
      </c>
      <c r="C192" t="s">
        <v>16</v>
      </c>
      <c r="D192" t="s">
        <v>17</v>
      </c>
      <c r="E192" t="s">
        <v>28</v>
      </c>
      <c r="F192" s="4">
        <v>129</v>
      </c>
      <c r="G192" s="4">
        <v>196</v>
      </c>
      <c r="H192" t="s">
        <v>21</v>
      </c>
      <c r="I192" t="s">
        <v>26</v>
      </c>
      <c r="J192" s="4">
        <v>163</v>
      </c>
      <c r="K192" t="s">
        <v>21</v>
      </c>
      <c r="L192" t="s">
        <v>31</v>
      </c>
      <c r="M192" s="4">
        <v>0</v>
      </c>
      <c r="N192" t="s">
        <v>26</v>
      </c>
      <c r="O192" s="4">
        <v>0</v>
      </c>
      <c r="P192" s="5">
        <v>0</v>
      </c>
    </row>
    <row r="193" spans="1:16" x14ac:dyDescent="0.3">
      <c r="A193" s="4">
        <v>192</v>
      </c>
      <c r="B193" s="4">
        <v>51</v>
      </c>
      <c r="C193" t="s">
        <v>16</v>
      </c>
      <c r="D193" t="s">
        <v>17</v>
      </c>
      <c r="E193" t="s">
        <v>24</v>
      </c>
      <c r="F193" s="4">
        <v>140</v>
      </c>
      <c r="G193" s="4">
        <v>298</v>
      </c>
      <c r="H193" t="s">
        <v>21</v>
      </c>
      <c r="I193" t="s">
        <v>26</v>
      </c>
      <c r="J193" s="4">
        <v>122</v>
      </c>
      <c r="K193" t="s">
        <v>19</v>
      </c>
      <c r="L193" t="s">
        <v>25</v>
      </c>
      <c r="M193" s="4">
        <v>3</v>
      </c>
      <c r="N193" t="s">
        <v>27</v>
      </c>
      <c r="O193" s="4">
        <v>3</v>
      </c>
      <c r="P193" s="5">
        <v>0.2</v>
      </c>
    </row>
    <row r="194" spans="1:16" x14ac:dyDescent="0.3">
      <c r="A194" s="4">
        <v>193</v>
      </c>
      <c r="B194" s="4">
        <v>43</v>
      </c>
      <c r="C194" t="s">
        <v>16</v>
      </c>
      <c r="D194" t="s">
        <v>17</v>
      </c>
      <c r="E194" t="s">
        <v>24</v>
      </c>
      <c r="F194" s="4">
        <v>132</v>
      </c>
      <c r="G194" s="4">
        <v>247</v>
      </c>
      <c r="H194" t="s">
        <v>19</v>
      </c>
      <c r="I194" t="s">
        <v>20</v>
      </c>
      <c r="J194" s="4">
        <v>143</v>
      </c>
      <c r="K194" t="s">
        <v>19</v>
      </c>
      <c r="L194" t="s">
        <v>25</v>
      </c>
      <c r="N194" t="s">
        <v>27</v>
      </c>
      <c r="O194" s="4">
        <v>1</v>
      </c>
      <c r="P194" s="5">
        <v>0.1</v>
      </c>
    </row>
    <row r="195" spans="1:16" x14ac:dyDescent="0.3">
      <c r="A195" s="4">
        <v>194</v>
      </c>
      <c r="B195" s="4">
        <v>62</v>
      </c>
      <c r="C195" t="s">
        <v>29</v>
      </c>
      <c r="D195" t="s">
        <v>17</v>
      </c>
      <c r="E195" t="s">
        <v>24</v>
      </c>
      <c r="F195" s="4">
        <v>138</v>
      </c>
      <c r="G195" s="4">
        <v>294</v>
      </c>
      <c r="H195" t="s">
        <v>19</v>
      </c>
      <c r="I195" t="s">
        <v>26</v>
      </c>
      <c r="J195" s="4">
        <v>106</v>
      </c>
      <c r="K195" t="s">
        <v>21</v>
      </c>
      <c r="L195" t="s">
        <v>25</v>
      </c>
      <c r="M195" s="4">
        <v>3</v>
      </c>
      <c r="N195" t="s">
        <v>26</v>
      </c>
      <c r="O195" s="4">
        <v>2</v>
      </c>
      <c r="P195" s="5">
        <v>0.9</v>
      </c>
    </row>
    <row r="196" spans="1:16" x14ac:dyDescent="0.3">
      <c r="A196" s="4">
        <v>195</v>
      </c>
      <c r="B196" s="4">
        <v>68</v>
      </c>
      <c r="C196" t="s">
        <v>29</v>
      </c>
      <c r="D196" t="s">
        <v>17</v>
      </c>
      <c r="E196" t="s">
        <v>28</v>
      </c>
      <c r="F196" s="4">
        <v>120</v>
      </c>
      <c r="G196" s="4">
        <v>211</v>
      </c>
      <c r="H196" t="s">
        <v>21</v>
      </c>
      <c r="I196" t="s">
        <v>20</v>
      </c>
      <c r="J196" s="4">
        <v>115</v>
      </c>
      <c r="K196" t="s">
        <v>21</v>
      </c>
      <c r="L196" t="s">
        <v>25</v>
      </c>
      <c r="M196" s="4">
        <v>0</v>
      </c>
      <c r="N196" t="s">
        <v>26</v>
      </c>
      <c r="O196" s="4">
        <v>0</v>
      </c>
      <c r="P196" s="5">
        <v>0.5</v>
      </c>
    </row>
    <row r="197" spans="1:16" x14ac:dyDescent="0.3">
      <c r="A197" s="4">
        <v>196</v>
      </c>
      <c r="B197" s="4">
        <v>67</v>
      </c>
      <c r="C197" t="s">
        <v>16</v>
      </c>
      <c r="D197" t="s">
        <v>17</v>
      </c>
      <c r="E197" t="s">
        <v>24</v>
      </c>
      <c r="F197" s="4">
        <v>100</v>
      </c>
      <c r="G197" s="4">
        <v>299</v>
      </c>
      <c r="H197" t="s">
        <v>21</v>
      </c>
      <c r="I197" t="s">
        <v>20</v>
      </c>
      <c r="J197" s="4">
        <v>125</v>
      </c>
      <c r="K197" t="s">
        <v>19</v>
      </c>
      <c r="L197" t="s">
        <v>25</v>
      </c>
      <c r="M197" s="4">
        <v>2</v>
      </c>
      <c r="N197" t="s">
        <v>26</v>
      </c>
      <c r="O197" s="4">
        <v>3</v>
      </c>
      <c r="P197" s="5">
        <v>0.9</v>
      </c>
    </row>
    <row r="198" spans="1:16" x14ac:dyDescent="0.3">
      <c r="A198" s="4">
        <v>197</v>
      </c>
      <c r="B198" s="4">
        <v>69</v>
      </c>
      <c r="C198" t="s">
        <v>16</v>
      </c>
      <c r="D198" t="s">
        <v>17</v>
      </c>
      <c r="E198" t="s">
        <v>18</v>
      </c>
      <c r="F198" s="4">
        <v>160</v>
      </c>
      <c r="G198" s="4">
        <v>234</v>
      </c>
      <c r="H198" t="s">
        <v>19</v>
      </c>
      <c r="I198" t="s">
        <v>20</v>
      </c>
      <c r="J198" s="4">
        <v>131</v>
      </c>
      <c r="K198" t="s">
        <v>21</v>
      </c>
      <c r="L198" t="s">
        <v>25</v>
      </c>
      <c r="M198" s="4">
        <v>1</v>
      </c>
      <c r="N198" t="s">
        <v>26</v>
      </c>
      <c r="O198" s="4">
        <v>0</v>
      </c>
      <c r="P198" s="5">
        <v>0.1</v>
      </c>
    </row>
    <row r="199" spans="1:16" x14ac:dyDescent="0.3">
      <c r="A199" s="4">
        <v>198</v>
      </c>
      <c r="B199" s="4">
        <v>45</v>
      </c>
      <c r="C199" t="s">
        <v>29</v>
      </c>
      <c r="D199" t="s">
        <v>17</v>
      </c>
      <c r="E199" t="s">
        <v>24</v>
      </c>
      <c r="F199" s="4">
        <v>138</v>
      </c>
      <c r="G199" s="4">
        <v>236</v>
      </c>
      <c r="H199" t="s">
        <v>21</v>
      </c>
      <c r="I199" t="s">
        <v>20</v>
      </c>
      <c r="J199" s="4">
        <v>152</v>
      </c>
      <c r="K199" t="s">
        <v>19</v>
      </c>
      <c r="L199" t="s">
        <v>25</v>
      </c>
      <c r="M199" s="4">
        <v>0</v>
      </c>
      <c r="N199" t="s">
        <v>26</v>
      </c>
      <c r="O199" s="4">
        <v>0</v>
      </c>
      <c r="P199" s="5">
        <v>0.2</v>
      </c>
    </row>
    <row r="200" spans="1:16" x14ac:dyDescent="0.3">
      <c r="A200" s="4">
        <v>199</v>
      </c>
      <c r="B200" s="4">
        <v>50</v>
      </c>
      <c r="C200" t="s">
        <v>29</v>
      </c>
      <c r="D200" t="s">
        <v>17</v>
      </c>
      <c r="E200" t="s">
        <v>30</v>
      </c>
      <c r="F200" s="4">
        <v>120</v>
      </c>
      <c r="G200" s="4">
        <v>244</v>
      </c>
      <c r="H200" t="s">
        <v>21</v>
      </c>
      <c r="I200" t="s">
        <v>26</v>
      </c>
      <c r="J200" s="4">
        <v>162</v>
      </c>
      <c r="K200" t="s">
        <v>21</v>
      </c>
      <c r="L200" t="s">
        <v>31</v>
      </c>
      <c r="M200" s="4">
        <v>0</v>
      </c>
      <c r="N200" t="s">
        <v>26</v>
      </c>
      <c r="O200" s="4">
        <v>0</v>
      </c>
      <c r="P200" s="5">
        <v>0.1</v>
      </c>
    </row>
    <row r="201" spans="1:16" x14ac:dyDescent="0.3">
      <c r="A201" s="4">
        <v>200</v>
      </c>
      <c r="B201" s="4">
        <v>59</v>
      </c>
      <c r="C201" t="s">
        <v>16</v>
      </c>
      <c r="D201" t="s">
        <v>17</v>
      </c>
      <c r="E201" t="s">
        <v>18</v>
      </c>
      <c r="F201" s="4">
        <v>160</v>
      </c>
      <c r="G201" s="4">
        <v>273</v>
      </c>
      <c r="H201" t="s">
        <v>21</v>
      </c>
      <c r="I201" t="s">
        <v>20</v>
      </c>
      <c r="J201" s="4">
        <v>125</v>
      </c>
      <c r="K201" t="s">
        <v>21</v>
      </c>
      <c r="L201" t="s">
        <v>31</v>
      </c>
      <c r="M201" s="4">
        <v>0</v>
      </c>
      <c r="N201" t="s">
        <v>26</v>
      </c>
      <c r="O201" s="4">
        <v>1</v>
      </c>
      <c r="P201" s="5">
        <v>0</v>
      </c>
    </row>
    <row r="202" spans="1:16" x14ac:dyDescent="0.3">
      <c r="A202" s="4">
        <v>201</v>
      </c>
      <c r="B202" s="4">
        <v>50</v>
      </c>
      <c r="C202" t="s">
        <v>29</v>
      </c>
      <c r="D202" t="s">
        <v>17</v>
      </c>
      <c r="E202" t="s">
        <v>24</v>
      </c>
      <c r="F202" s="4">
        <v>110</v>
      </c>
      <c r="G202" s="4">
        <v>254</v>
      </c>
      <c r="H202" t="s">
        <v>21</v>
      </c>
      <c r="I202" t="s">
        <v>20</v>
      </c>
      <c r="J202" s="4">
        <v>159</v>
      </c>
      <c r="K202" t="s">
        <v>21</v>
      </c>
      <c r="L202" t="s">
        <v>31</v>
      </c>
      <c r="M202" s="4">
        <v>0</v>
      </c>
      <c r="N202" t="s">
        <v>26</v>
      </c>
      <c r="O202" s="4">
        <v>0</v>
      </c>
      <c r="P202" s="5">
        <v>0</v>
      </c>
    </row>
    <row r="203" spans="1:16" x14ac:dyDescent="0.3">
      <c r="A203" s="4">
        <v>202</v>
      </c>
      <c r="B203" s="4">
        <v>64</v>
      </c>
      <c r="C203" t="s">
        <v>29</v>
      </c>
      <c r="D203" t="s">
        <v>17</v>
      </c>
      <c r="E203" t="s">
        <v>24</v>
      </c>
      <c r="F203" s="4">
        <v>180</v>
      </c>
      <c r="G203" s="4">
        <v>325</v>
      </c>
      <c r="H203" t="s">
        <v>21</v>
      </c>
      <c r="I203" t="s">
        <v>26</v>
      </c>
      <c r="J203" s="4">
        <v>154</v>
      </c>
      <c r="K203" t="s">
        <v>19</v>
      </c>
      <c r="L203" t="s">
        <v>31</v>
      </c>
      <c r="M203" s="4">
        <v>0</v>
      </c>
      <c r="N203" t="s">
        <v>26</v>
      </c>
      <c r="O203" s="4">
        <v>0</v>
      </c>
      <c r="P203" s="5">
        <v>0</v>
      </c>
    </row>
    <row r="204" spans="1:16" x14ac:dyDescent="0.3">
      <c r="A204" s="4">
        <v>203</v>
      </c>
      <c r="B204" s="4">
        <v>57</v>
      </c>
      <c r="C204" t="s">
        <v>16</v>
      </c>
      <c r="D204" t="s">
        <v>17</v>
      </c>
      <c r="E204" t="s">
        <v>28</v>
      </c>
      <c r="F204" s="4">
        <v>150</v>
      </c>
      <c r="G204" s="4">
        <v>126</v>
      </c>
      <c r="H204" t="s">
        <v>19</v>
      </c>
      <c r="I204" t="s">
        <v>26</v>
      </c>
      <c r="J204" s="4">
        <v>173</v>
      </c>
      <c r="K204" t="s">
        <v>21</v>
      </c>
      <c r="L204" t="s">
        <v>31</v>
      </c>
      <c r="M204" s="4">
        <v>1</v>
      </c>
      <c r="N204" t="s">
        <v>27</v>
      </c>
      <c r="O204" s="4">
        <v>0</v>
      </c>
      <c r="P204" s="5">
        <v>0.2</v>
      </c>
    </row>
    <row r="205" spans="1:16" x14ac:dyDescent="0.3">
      <c r="A205" s="4">
        <v>204</v>
      </c>
      <c r="B205" s="4">
        <v>64</v>
      </c>
      <c r="C205" t="s">
        <v>29</v>
      </c>
      <c r="D205" t="s">
        <v>17</v>
      </c>
      <c r="E205" t="s">
        <v>28</v>
      </c>
      <c r="F205" s="4">
        <v>140</v>
      </c>
      <c r="G205" s="4">
        <v>313</v>
      </c>
      <c r="H205" t="s">
        <v>21</v>
      </c>
      <c r="I205" t="s">
        <v>26</v>
      </c>
      <c r="J205" s="4">
        <v>133</v>
      </c>
      <c r="K205" t="s">
        <v>21</v>
      </c>
      <c r="L205" t="s">
        <v>31</v>
      </c>
      <c r="M205" s="4">
        <v>0</v>
      </c>
      <c r="N205" t="s">
        <v>27</v>
      </c>
      <c r="O205" s="4">
        <v>0</v>
      </c>
      <c r="P205" s="5">
        <v>0.2</v>
      </c>
    </row>
    <row r="206" spans="1:16" x14ac:dyDescent="0.3">
      <c r="A206" s="4">
        <v>205</v>
      </c>
      <c r="B206" s="4">
        <v>43</v>
      </c>
      <c r="C206" t="s">
        <v>16</v>
      </c>
      <c r="D206" t="s">
        <v>17</v>
      </c>
      <c r="E206" t="s">
        <v>24</v>
      </c>
      <c r="F206" s="4">
        <v>110</v>
      </c>
      <c r="G206" s="4">
        <v>211</v>
      </c>
      <c r="H206" t="s">
        <v>21</v>
      </c>
      <c r="I206" t="s">
        <v>26</v>
      </c>
      <c r="J206" s="4">
        <v>161</v>
      </c>
      <c r="K206" t="s">
        <v>21</v>
      </c>
      <c r="L206" t="s">
        <v>31</v>
      </c>
      <c r="M206" s="4">
        <v>0</v>
      </c>
      <c r="N206" t="s">
        <v>27</v>
      </c>
      <c r="O206" s="4">
        <v>0</v>
      </c>
      <c r="P206" s="5">
        <v>0</v>
      </c>
    </row>
    <row r="207" spans="1:16" x14ac:dyDescent="0.3">
      <c r="A207" s="4">
        <v>206</v>
      </c>
      <c r="B207" s="4">
        <v>45</v>
      </c>
      <c r="C207" t="s">
        <v>16</v>
      </c>
      <c r="D207" t="s">
        <v>17</v>
      </c>
      <c r="E207" t="s">
        <v>24</v>
      </c>
      <c r="F207" s="4">
        <v>142</v>
      </c>
      <c r="G207" s="4">
        <v>309</v>
      </c>
      <c r="H207" t="s">
        <v>21</v>
      </c>
      <c r="I207" t="s">
        <v>20</v>
      </c>
      <c r="J207" s="4">
        <v>147</v>
      </c>
      <c r="K207" t="s">
        <v>19</v>
      </c>
      <c r="L207" t="s">
        <v>25</v>
      </c>
      <c r="M207" s="4">
        <v>3</v>
      </c>
      <c r="N207" t="s">
        <v>27</v>
      </c>
      <c r="O207" s="4">
        <v>3</v>
      </c>
      <c r="P207" s="5">
        <v>0</v>
      </c>
    </row>
    <row r="208" spans="1:16" x14ac:dyDescent="0.3">
      <c r="A208" s="4">
        <v>207</v>
      </c>
      <c r="B208" s="4">
        <v>58</v>
      </c>
      <c r="C208" t="s">
        <v>16</v>
      </c>
      <c r="D208" t="s">
        <v>17</v>
      </c>
      <c r="E208" t="s">
        <v>24</v>
      </c>
      <c r="F208" s="4">
        <v>128</v>
      </c>
      <c r="G208" s="4">
        <v>259</v>
      </c>
      <c r="H208" t="s">
        <v>21</v>
      </c>
      <c r="I208" t="s">
        <v>20</v>
      </c>
      <c r="J208" s="4">
        <v>130</v>
      </c>
      <c r="K208" t="s">
        <v>19</v>
      </c>
      <c r="L208" t="s">
        <v>25</v>
      </c>
      <c r="M208" s="4">
        <v>2</v>
      </c>
      <c r="N208" t="s">
        <v>27</v>
      </c>
      <c r="O208" s="4">
        <v>3</v>
      </c>
      <c r="P208" s="5">
        <v>3</v>
      </c>
    </row>
    <row r="209" spans="1:16" x14ac:dyDescent="0.3">
      <c r="A209" s="4">
        <v>208</v>
      </c>
      <c r="B209" s="4">
        <v>50</v>
      </c>
      <c r="C209" t="s">
        <v>16</v>
      </c>
      <c r="D209" t="s">
        <v>17</v>
      </c>
      <c r="E209" t="s">
        <v>24</v>
      </c>
      <c r="F209" s="4">
        <v>144</v>
      </c>
      <c r="G209" s="4">
        <v>200</v>
      </c>
      <c r="H209" t="s">
        <v>21</v>
      </c>
      <c r="I209" t="s">
        <v>20</v>
      </c>
      <c r="J209" s="4">
        <v>126</v>
      </c>
      <c r="K209" t="s">
        <v>19</v>
      </c>
      <c r="L209" t="s">
        <v>25</v>
      </c>
      <c r="M209" s="4">
        <v>0</v>
      </c>
      <c r="N209" t="s">
        <v>27</v>
      </c>
      <c r="O209" s="4">
        <v>3</v>
      </c>
      <c r="P209" s="5">
        <v>0.9</v>
      </c>
    </row>
    <row r="210" spans="1:16" x14ac:dyDescent="0.3">
      <c r="A210" s="4">
        <v>209</v>
      </c>
      <c r="B210" s="4">
        <v>55</v>
      </c>
      <c r="C210" t="s">
        <v>16</v>
      </c>
      <c r="D210" t="s">
        <v>17</v>
      </c>
      <c r="E210" t="s">
        <v>30</v>
      </c>
      <c r="F210" s="4">
        <v>130</v>
      </c>
      <c r="G210" s="4">
        <v>262</v>
      </c>
      <c r="H210" t="s">
        <v>21</v>
      </c>
      <c r="I210" t="s">
        <v>26</v>
      </c>
      <c r="J210" s="4">
        <v>155</v>
      </c>
      <c r="K210" t="s">
        <v>21</v>
      </c>
      <c r="L210" t="s">
        <v>31</v>
      </c>
      <c r="M210" s="4">
        <v>0</v>
      </c>
      <c r="N210" t="s">
        <v>26</v>
      </c>
      <c r="O210" s="4">
        <v>0</v>
      </c>
      <c r="P210" s="5">
        <v>0</v>
      </c>
    </row>
    <row r="211" spans="1:16" x14ac:dyDescent="0.3">
      <c r="A211" s="4">
        <v>210</v>
      </c>
      <c r="B211" s="4">
        <v>62</v>
      </c>
      <c r="C211" t="s">
        <v>29</v>
      </c>
      <c r="D211" t="s">
        <v>17</v>
      </c>
      <c r="E211" t="s">
        <v>24</v>
      </c>
      <c r="F211" s="4">
        <v>150</v>
      </c>
      <c r="G211" s="4">
        <v>244</v>
      </c>
      <c r="H211" t="s">
        <v>21</v>
      </c>
      <c r="I211" t="s">
        <v>26</v>
      </c>
      <c r="J211" s="4">
        <v>154</v>
      </c>
      <c r="K211" t="s">
        <v>19</v>
      </c>
      <c r="L211" t="s">
        <v>25</v>
      </c>
      <c r="M211" s="4">
        <v>0</v>
      </c>
      <c r="N211" t="s">
        <v>26</v>
      </c>
      <c r="O211" s="4">
        <v>1</v>
      </c>
      <c r="P211" s="5">
        <v>0.4</v>
      </c>
    </row>
    <row r="212" spans="1:16" x14ac:dyDescent="0.3">
      <c r="A212" s="4">
        <v>211</v>
      </c>
      <c r="B212" s="4">
        <v>37</v>
      </c>
      <c r="C212" t="s">
        <v>29</v>
      </c>
      <c r="D212" t="s">
        <v>17</v>
      </c>
      <c r="E212" t="s">
        <v>28</v>
      </c>
      <c r="F212" s="4">
        <v>120</v>
      </c>
      <c r="G212" s="4">
        <v>215</v>
      </c>
      <c r="H212" t="s">
        <v>21</v>
      </c>
      <c r="I212" t="s">
        <v>26</v>
      </c>
      <c r="J212" s="4">
        <v>170</v>
      </c>
      <c r="K212" t="s">
        <v>21</v>
      </c>
      <c r="L212" t="s">
        <v>31</v>
      </c>
      <c r="M212" s="4">
        <v>0</v>
      </c>
      <c r="N212" t="s">
        <v>26</v>
      </c>
      <c r="O212" s="4">
        <v>0</v>
      </c>
      <c r="P212" s="5">
        <v>0</v>
      </c>
    </row>
    <row r="213" spans="1:16" x14ac:dyDescent="0.3">
      <c r="A213" s="4">
        <v>212</v>
      </c>
      <c r="B213" s="4">
        <v>38</v>
      </c>
      <c r="C213" t="s">
        <v>16</v>
      </c>
      <c r="D213" t="s">
        <v>17</v>
      </c>
      <c r="E213" t="s">
        <v>18</v>
      </c>
      <c r="F213" s="4">
        <v>120</v>
      </c>
      <c r="G213" s="4">
        <v>231</v>
      </c>
      <c r="H213" t="s">
        <v>21</v>
      </c>
      <c r="I213" t="s">
        <v>26</v>
      </c>
      <c r="J213" s="4">
        <v>182</v>
      </c>
      <c r="K213" t="s">
        <v>19</v>
      </c>
      <c r="L213" t="s">
        <v>25</v>
      </c>
      <c r="M213" s="4">
        <v>0</v>
      </c>
      <c r="N213" t="s">
        <v>27</v>
      </c>
      <c r="O213" s="4">
        <v>4</v>
      </c>
      <c r="P213" s="5">
        <v>0.8</v>
      </c>
    </row>
    <row r="214" spans="1:16" x14ac:dyDescent="0.3">
      <c r="A214" s="4">
        <v>213</v>
      </c>
      <c r="B214" s="4">
        <v>41</v>
      </c>
      <c r="C214" t="s">
        <v>16</v>
      </c>
      <c r="D214" t="s">
        <v>17</v>
      </c>
      <c r="E214" t="s">
        <v>28</v>
      </c>
      <c r="F214" s="4">
        <v>130</v>
      </c>
      <c r="G214" s="4">
        <v>214</v>
      </c>
      <c r="H214" t="s">
        <v>21</v>
      </c>
      <c r="I214" t="s">
        <v>20</v>
      </c>
      <c r="J214" s="4">
        <v>168</v>
      </c>
      <c r="K214" t="s">
        <v>21</v>
      </c>
      <c r="L214" t="s">
        <v>25</v>
      </c>
      <c r="M214" s="4">
        <v>0</v>
      </c>
      <c r="N214" t="s">
        <v>26</v>
      </c>
      <c r="O214" s="4">
        <v>0</v>
      </c>
      <c r="P214" s="5">
        <v>2</v>
      </c>
    </row>
    <row r="215" spans="1:16" x14ac:dyDescent="0.3">
      <c r="A215" s="4">
        <v>214</v>
      </c>
      <c r="B215" s="4">
        <v>66</v>
      </c>
      <c r="C215" t="s">
        <v>29</v>
      </c>
      <c r="D215" t="s">
        <v>17</v>
      </c>
      <c r="E215" t="s">
        <v>24</v>
      </c>
      <c r="F215" s="4">
        <v>178</v>
      </c>
      <c r="G215" s="4">
        <v>228</v>
      </c>
      <c r="H215" t="s">
        <v>19</v>
      </c>
      <c r="I215" t="s">
        <v>26</v>
      </c>
      <c r="J215" s="4">
        <v>165</v>
      </c>
      <c r="K215" t="s">
        <v>19</v>
      </c>
      <c r="L215" t="s">
        <v>25</v>
      </c>
      <c r="M215" s="4">
        <v>2</v>
      </c>
      <c r="N215" t="s">
        <v>27</v>
      </c>
      <c r="O215" s="4">
        <v>3</v>
      </c>
      <c r="P215" s="5">
        <v>1</v>
      </c>
    </row>
    <row r="216" spans="1:16" x14ac:dyDescent="0.3">
      <c r="A216" s="4">
        <v>215</v>
      </c>
      <c r="B216" s="4">
        <v>52</v>
      </c>
      <c r="C216" t="s">
        <v>16</v>
      </c>
      <c r="D216" t="s">
        <v>17</v>
      </c>
      <c r="E216" t="s">
        <v>24</v>
      </c>
      <c r="F216" s="4">
        <v>112</v>
      </c>
      <c r="G216" s="4">
        <v>230</v>
      </c>
      <c r="H216" t="s">
        <v>21</v>
      </c>
      <c r="I216" t="s">
        <v>26</v>
      </c>
      <c r="J216" s="4">
        <v>160</v>
      </c>
      <c r="K216" t="s">
        <v>21</v>
      </c>
      <c r="L216" t="s">
        <v>31</v>
      </c>
      <c r="M216" s="4">
        <v>1</v>
      </c>
      <c r="N216" t="s">
        <v>26</v>
      </c>
      <c r="O216" s="4">
        <v>1</v>
      </c>
      <c r="P216" s="5">
        <v>0</v>
      </c>
    </row>
    <row r="217" spans="1:16" x14ac:dyDescent="0.3">
      <c r="A217" s="4">
        <v>216</v>
      </c>
      <c r="B217" s="4">
        <v>56</v>
      </c>
      <c r="C217" t="s">
        <v>16</v>
      </c>
      <c r="D217" t="s">
        <v>17</v>
      </c>
      <c r="E217" t="s">
        <v>18</v>
      </c>
      <c r="F217" s="4">
        <v>120</v>
      </c>
      <c r="G217" s="4">
        <v>193</v>
      </c>
      <c r="H217" t="s">
        <v>21</v>
      </c>
      <c r="I217" t="s">
        <v>20</v>
      </c>
      <c r="J217" s="4">
        <v>162</v>
      </c>
      <c r="K217" t="s">
        <v>21</v>
      </c>
      <c r="L217" t="s">
        <v>25</v>
      </c>
      <c r="M217" s="4">
        <v>0</v>
      </c>
      <c r="N217" t="s">
        <v>27</v>
      </c>
      <c r="O217" s="4">
        <v>0</v>
      </c>
      <c r="P217" s="5">
        <v>0.9</v>
      </c>
    </row>
    <row r="218" spans="1:16" x14ac:dyDescent="0.3">
      <c r="A218" s="4">
        <v>217</v>
      </c>
      <c r="B218" s="4">
        <v>46</v>
      </c>
      <c r="C218" t="s">
        <v>29</v>
      </c>
      <c r="D218" t="s">
        <v>17</v>
      </c>
      <c r="E218" t="s">
        <v>30</v>
      </c>
      <c r="F218" s="4">
        <v>105</v>
      </c>
      <c r="G218" s="4">
        <v>204</v>
      </c>
      <c r="H218" t="s">
        <v>21</v>
      </c>
      <c r="I218" t="s">
        <v>26</v>
      </c>
      <c r="J218" s="4">
        <v>172</v>
      </c>
      <c r="K218" t="s">
        <v>21</v>
      </c>
      <c r="L218" t="s">
        <v>31</v>
      </c>
      <c r="M218" s="4">
        <v>0</v>
      </c>
      <c r="N218" t="s">
        <v>26</v>
      </c>
      <c r="O218" s="4">
        <v>0</v>
      </c>
      <c r="P218" s="5">
        <v>0</v>
      </c>
    </row>
    <row r="219" spans="1:16" x14ac:dyDescent="0.3">
      <c r="A219" s="4">
        <v>218</v>
      </c>
      <c r="B219" s="4">
        <v>46</v>
      </c>
      <c r="C219" t="s">
        <v>29</v>
      </c>
      <c r="D219" t="s">
        <v>17</v>
      </c>
      <c r="E219" t="s">
        <v>24</v>
      </c>
      <c r="F219" s="4">
        <v>138</v>
      </c>
      <c r="G219" s="4">
        <v>243</v>
      </c>
      <c r="H219" t="s">
        <v>21</v>
      </c>
      <c r="I219" t="s">
        <v>20</v>
      </c>
      <c r="J219" s="4">
        <v>152</v>
      </c>
      <c r="K219" t="s">
        <v>19</v>
      </c>
      <c r="L219" t="s">
        <v>25</v>
      </c>
      <c r="M219" s="4">
        <v>0</v>
      </c>
      <c r="N219" t="s">
        <v>26</v>
      </c>
      <c r="O219" s="4">
        <v>0</v>
      </c>
      <c r="P219" s="5">
        <v>0</v>
      </c>
    </row>
    <row r="220" spans="1:16" x14ac:dyDescent="0.3">
      <c r="A220" s="4">
        <v>219</v>
      </c>
      <c r="B220" s="4">
        <v>64</v>
      </c>
      <c r="C220" t="s">
        <v>29</v>
      </c>
      <c r="D220" t="s">
        <v>17</v>
      </c>
      <c r="E220" t="s">
        <v>24</v>
      </c>
      <c r="F220" s="4">
        <v>130</v>
      </c>
      <c r="G220" s="4">
        <v>303</v>
      </c>
      <c r="H220" t="s">
        <v>21</v>
      </c>
      <c r="I220" t="s">
        <v>26</v>
      </c>
      <c r="J220" s="4">
        <v>122</v>
      </c>
      <c r="K220" t="s">
        <v>21</v>
      </c>
      <c r="L220" t="s">
        <v>25</v>
      </c>
      <c r="M220" s="4">
        <v>2</v>
      </c>
      <c r="N220" t="s">
        <v>26</v>
      </c>
      <c r="O220" s="4">
        <v>0</v>
      </c>
      <c r="P220" s="5">
        <v>2</v>
      </c>
    </row>
    <row r="221" spans="1:16" x14ac:dyDescent="0.3">
      <c r="A221" s="4">
        <v>220</v>
      </c>
      <c r="B221" s="4">
        <v>59</v>
      </c>
      <c r="C221" t="s">
        <v>16</v>
      </c>
      <c r="D221" t="s">
        <v>17</v>
      </c>
      <c r="E221" t="s">
        <v>24</v>
      </c>
      <c r="F221" s="4">
        <v>138</v>
      </c>
      <c r="G221" s="4">
        <v>271</v>
      </c>
      <c r="H221" t="s">
        <v>21</v>
      </c>
      <c r="I221" t="s">
        <v>20</v>
      </c>
      <c r="J221" s="4">
        <v>182</v>
      </c>
      <c r="K221" t="s">
        <v>21</v>
      </c>
      <c r="L221" t="s">
        <v>31</v>
      </c>
      <c r="M221" s="4">
        <v>0</v>
      </c>
      <c r="N221" t="s">
        <v>26</v>
      </c>
      <c r="O221" s="4">
        <v>0</v>
      </c>
      <c r="P221" s="5">
        <v>0</v>
      </c>
    </row>
    <row r="222" spans="1:16" x14ac:dyDescent="0.3">
      <c r="A222" s="4">
        <v>221</v>
      </c>
      <c r="B222" s="4">
        <v>41</v>
      </c>
      <c r="C222" t="s">
        <v>29</v>
      </c>
      <c r="D222" t="s">
        <v>17</v>
      </c>
      <c r="E222" t="s">
        <v>28</v>
      </c>
      <c r="F222" s="4">
        <v>112</v>
      </c>
      <c r="G222" s="4">
        <v>268</v>
      </c>
      <c r="H222" t="s">
        <v>21</v>
      </c>
      <c r="I222" t="s">
        <v>20</v>
      </c>
      <c r="J222" s="4">
        <v>172</v>
      </c>
      <c r="K222" t="s">
        <v>19</v>
      </c>
      <c r="L222" t="s">
        <v>31</v>
      </c>
      <c r="M222" s="4">
        <v>0</v>
      </c>
      <c r="N222" t="s">
        <v>26</v>
      </c>
      <c r="O222" s="4">
        <v>0</v>
      </c>
      <c r="P222" s="5">
        <v>0</v>
      </c>
    </row>
    <row r="223" spans="1:16" x14ac:dyDescent="0.3">
      <c r="A223" s="4">
        <v>222</v>
      </c>
      <c r="B223" s="4">
        <v>54</v>
      </c>
      <c r="C223" t="s">
        <v>29</v>
      </c>
      <c r="D223" t="s">
        <v>17</v>
      </c>
      <c r="E223" t="s">
        <v>28</v>
      </c>
      <c r="F223" s="4">
        <v>108</v>
      </c>
      <c r="G223" s="4">
        <v>267</v>
      </c>
      <c r="H223" t="s">
        <v>21</v>
      </c>
      <c r="I223" t="s">
        <v>20</v>
      </c>
      <c r="J223" s="4">
        <v>167</v>
      </c>
      <c r="K223" t="s">
        <v>21</v>
      </c>
      <c r="L223" t="s">
        <v>31</v>
      </c>
      <c r="M223" s="4">
        <v>0</v>
      </c>
      <c r="N223" t="s">
        <v>26</v>
      </c>
      <c r="O223" s="4">
        <v>0</v>
      </c>
      <c r="P223" s="5">
        <v>0</v>
      </c>
    </row>
    <row r="224" spans="1:16" x14ac:dyDescent="0.3">
      <c r="A224" s="4">
        <v>223</v>
      </c>
      <c r="B224" s="4">
        <v>39</v>
      </c>
      <c r="C224" t="s">
        <v>29</v>
      </c>
      <c r="D224" t="s">
        <v>17</v>
      </c>
      <c r="E224" t="s">
        <v>28</v>
      </c>
      <c r="F224" s="4">
        <v>94</v>
      </c>
      <c r="G224" s="4">
        <v>199</v>
      </c>
      <c r="H224" t="s">
        <v>21</v>
      </c>
      <c r="I224" t="s">
        <v>26</v>
      </c>
      <c r="J224" s="4">
        <v>179</v>
      </c>
      <c r="K224" t="s">
        <v>21</v>
      </c>
      <c r="L224" t="s">
        <v>31</v>
      </c>
      <c r="M224" s="4">
        <v>0</v>
      </c>
      <c r="N224" t="s">
        <v>26</v>
      </c>
      <c r="O224" s="4">
        <v>0</v>
      </c>
      <c r="P224" s="5">
        <v>0</v>
      </c>
    </row>
    <row r="225" spans="1:16" x14ac:dyDescent="0.3">
      <c r="A225" s="4">
        <v>224</v>
      </c>
      <c r="B225" s="4">
        <v>53</v>
      </c>
      <c r="C225" t="s">
        <v>16</v>
      </c>
      <c r="D225" t="s">
        <v>17</v>
      </c>
      <c r="E225" t="s">
        <v>24</v>
      </c>
      <c r="F225" s="4">
        <v>123</v>
      </c>
      <c r="G225" s="4">
        <v>282</v>
      </c>
      <c r="H225" t="s">
        <v>21</v>
      </c>
      <c r="I225" t="s">
        <v>26</v>
      </c>
      <c r="J225" s="4">
        <v>95</v>
      </c>
      <c r="K225" t="s">
        <v>19</v>
      </c>
      <c r="L225" t="s">
        <v>25</v>
      </c>
      <c r="M225" s="4">
        <v>2</v>
      </c>
      <c r="N225" t="s">
        <v>27</v>
      </c>
      <c r="O225" s="4">
        <v>3</v>
      </c>
      <c r="P225" s="5">
        <v>2</v>
      </c>
    </row>
    <row r="226" spans="1:16" x14ac:dyDescent="0.3">
      <c r="A226" s="4">
        <v>225</v>
      </c>
      <c r="B226" s="4">
        <v>63</v>
      </c>
      <c r="C226" t="s">
        <v>29</v>
      </c>
      <c r="D226" t="s">
        <v>17</v>
      </c>
      <c r="E226" t="s">
        <v>24</v>
      </c>
      <c r="F226" s="4">
        <v>108</v>
      </c>
      <c r="G226" s="4">
        <v>269</v>
      </c>
      <c r="H226" t="s">
        <v>21</v>
      </c>
      <c r="I226" t="s">
        <v>26</v>
      </c>
      <c r="J226" s="4">
        <v>169</v>
      </c>
      <c r="K226" t="s">
        <v>19</v>
      </c>
      <c r="L226" t="s">
        <v>25</v>
      </c>
      <c r="M226" s="4">
        <v>2</v>
      </c>
      <c r="N226" t="s">
        <v>26</v>
      </c>
      <c r="O226" s="4">
        <v>1</v>
      </c>
      <c r="P226" s="5">
        <v>0.8</v>
      </c>
    </row>
    <row r="227" spans="1:16" x14ac:dyDescent="0.3">
      <c r="A227" s="4">
        <v>226</v>
      </c>
      <c r="B227" s="4">
        <v>34</v>
      </c>
      <c r="C227" t="s">
        <v>29</v>
      </c>
      <c r="D227" t="s">
        <v>17</v>
      </c>
      <c r="E227" t="s">
        <v>30</v>
      </c>
      <c r="F227" s="4">
        <v>118</v>
      </c>
      <c r="G227" s="4">
        <v>210</v>
      </c>
      <c r="H227" t="s">
        <v>21</v>
      </c>
      <c r="I227" t="s">
        <v>26</v>
      </c>
      <c r="J227" s="4">
        <v>192</v>
      </c>
      <c r="K227" t="s">
        <v>21</v>
      </c>
      <c r="L227" t="s">
        <v>31</v>
      </c>
      <c r="M227" s="4">
        <v>0</v>
      </c>
      <c r="N227" t="s">
        <v>26</v>
      </c>
      <c r="O227" s="4">
        <v>0</v>
      </c>
      <c r="P227" s="5">
        <v>0.7</v>
      </c>
    </row>
    <row r="228" spans="1:16" x14ac:dyDescent="0.3">
      <c r="A228" s="4">
        <v>227</v>
      </c>
      <c r="B228" s="4">
        <v>47</v>
      </c>
      <c r="C228" t="s">
        <v>16</v>
      </c>
      <c r="D228" t="s">
        <v>17</v>
      </c>
      <c r="E228" t="s">
        <v>24</v>
      </c>
      <c r="F228" s="4">
        <v>112</v>
      </c>
      <c r="G228" s="4">
        <v>204</v>
      </c>
      <c r="H228" t="s">
        <v>21</v>
      </c>
      <c r="I228" t="s">
        <v>26</v>
      </c>
      <c r="J228" s="4">
        <v>143</v>
      </c>
      <c r="K228" t="s">
        <v>21</v>
      </c>
      <c r="L228" t="s">
        <v>31</v>
      </c>
      <c r="M228" s="4">
        <v>0</v>
      </c>
      <c r="N228" t="s">
        <v>26</v>
      </c>
      <c r="O228" s="4">
        <v>0</v>
      </c>
      <c r="P228" s="5">
        <v>0.1</v>
      </c>
    </row>
    <row r="229" spans="1:16" x14ac:dyDescent="0.3">
      <c r="A229" s="4">
        <v>228</v>
      </c>
      <c r="B229" s="4">
        <v>67</v>
      </c>
      <c r="C229" t="s">
        <v>29</v>
      </c>
      <c r="D229" t="s">
        <v>17</v>
      </c>
      <c r="E229" t="s">
        <v>28</v>
      </c>
      <c r="F229" s="4">
        <v>152</v>
      </c>
      <c r="G229" s="4">
        <v>277</v>
      </c>
      <c r="H229" t="s">
        <v>21</v>
      </c>
      <c r="I229" t="s">
        <v>26</v>
      </c>
      <c r="J229" s="4">
        <v>172</v>
      </c>
      <c r="K229" t="s">
        <v>21</v>
      </c>
      <c r="L229" t="s">
        <v>31</v>
      </c>
      <c r="M229" s="4">
        <v>1</v>
      </c>
      <c r="N229" t="s">
        <v>26</v>
      </c>
      <c r="O229" s="4">
        <v>0</v>
      </c>
      <c r="P229" s="5">
        <v>0</v>
      </c>
    </row>
    <row r="230" spans="1:16" x14ac:dyDescent="0.3">
      <c r="A230" s="4">
        <v>229</v>
      </c>
      <c r="B230" s="4">
        <v>54</v>
      </c>
      <c r="C230" t="s">
        <v>16</v>
      </c>
      <c r="D230" t="s">
        <v>17</v>
      </c>
      <c r="E230" t="s">
        <v>24</v>
      </c>
      <c r="F230" s="4">
        <v>110</v>
      </c>
      <c r="G230" s="4">
        <v>206</v>
      </c>
      <c r="H230" t="s">
        <v>21</v>
      </c>
      <c r="I230" t="s">
        <v>20</v>
      </c>
      <c r="J230" s="4">
        <v>108</v>
      </c>
      <c r="K230" t="s">
        <v>19</v>
      </c>
      <c r="L230" t="s">
        <v>25</v>
      </c>
      <c r="M230" s="4">
        <v>1</v>
      </c>
      <c r="N230" t="s">
        <v>26</v>
      </c>
      <c r="O230" s="4">
        <v>3</v>
      </c>
      <c r="P230" s="5">
        <v>0</v>
      </c>
    </row>
    <row r="231" spans="1:16" x14ac:dyDescent="0.3">
      <c r="A231" s="4">
        <v>230</v>
      </c>
      <c r="B231" s="4">
        <v>66</v>
      </c>
      <c r="C231" t="s">
        <v>16</v>
      </c>
      <c r="D231" t="s">
        <v>17</v>
      </c>
      <c r="E231" t="s">
        <v>24</v>
      </c>
      <c r="F231" s="4">
        <v>112</v>
      </c>
      <c r="G231" s="4">
        <v>212</v>
      </c>
      <c r="H231" t="s">
        <v>21</v>
      </c>
      <c r="I231" t="s">
        <v>20</v>
      </c>
      <c r="J231" s="4">
        <v>132</v>
      </c>
      <c r="K231" t="s">
        <v>19</v>
      </c>
      <c r="L231" t="s">
        <v>31</v>
      </c>
      <c r="M231" s="4">
        <v>1</v>
      </c>
      <c r="N231" t="s">
        <v>26</v>
      </c>
      <c r="O231" s="4">
        <v>2</v>
      </c>
      <c r="P231" s="5">
        <v>0.1</v>
      </c>
    </row>
    <row r="232" spans="1:16" x14ac:dyDescent="0.3">
      <c r="A232" s="4">
        <v>231</v>
      </c>
      <c r="B232" s="4">
        <v>52</v>
      </c>
      <c r="C232" t="s">
        <v>29</v>
      </c>
      <c r="D232" t="s">
        <v>17</v>
      </c>
      <c r="E232" t="s">
        <v>28</v>
      </c>
      <c r="F232" s="4">
        <v>136</v>
      </c>
      <c r="G232" s="4">
        <v>196</v>
      </c>
      <c r="H232" t="s">
        <v>21</v>
      </c>
      <c r="I232" t="s">
        <v>20</v>
      </c>
      <c r="J232" s="4">
        <v>169</v>
      </c>
      <c r="K232" t="s">
        <v>21</v>
      </c>
      <c r="L232" t="s">
        <v>25</v>
      </c>
      <c r="M232" s="4">
        <v>0</v>
      </c>
      <c r="N232" t="s">
        <v>26</v>
      </c>
      <c r="O232" s="4">
        <v>0</v>
      </c>
      <c r="P232" s="5">
        <v>0.1</v>
      </c>
    </row>
    <row r="233" spans="1:16" x14ac:dyDescent="0.3">
      <c r="A233" s="4">
        <v>232</v>
      </c>
      <c r="B233" s="4">
        <v>55</v>
      </c>
      <c r="C233" t="s">
        <v>29</v>
      </c>
      <c r="D233" t="s">
        <v>17</v>
      </c>
      <c r="E233" t="s">
        <v>24</v>
      </c>
      <c r="F233" s="4">
        <v>180</v>
      </c>
      <c r="G233" s="4">
        <v>327</v>
      </c>
      <c r="H233" t="s">
        <v>21</v>
      </c>
      <c r="I233" t="s">
        <v>33</v>
      </c>
      <c r="J233" s="4">
        <v>117</v>
      </c>
      <c r="K233" t="s">
        <v>19</v>
      </c>
      <c r="L233" t="s">
        <v>25</v>
      </c>
      <c r="M233" s="4">
        <v>0</v>
      </c>
      <c r="N233" t="s">
        <v>26</v>
      </c>
      <c r="O233" s="4">
        <v>2</v>
      </c>
      <c r="P233" s="5">
        <v>0.4</v>
      </c>
    </row>
    <row r="234" spans="1:16" x14ac:dyDescent="0.3">
      <c r="A234" s="4">
        <v>233</v>
      </c>
      <c r="B234" s="4">
        <v>49</v>
      </c>
      <c r="C234" t="s">
        <v>16</v>
      </c>
      <c r="D234" t="s">
        <v>17</v>
      </c>
      <c r="E234" t="s">
        <v>28</v>
      </c>
      <c r="F234" s="4">
        <v>118</v>
      </c>
      <c r="G234" s="4">
        <v>149</v>
      </c>
      <c r="H234" t="s">
        <v>21</v>
      </c>
      <c r="I234" t="s">
        <v>20</v>
      </c>
      <c r="J234" s="4">
        <v>126</v>
      </c>
      <c r="K234" t="s">
        <v>21</v>
      </c>
      <c r="L234" t="s">
        <v>31</v>
      </c>
      <c r="M234" s="4">
        <v>3</v>
      </c>
      <c r="N234" t="s">
        <v>26</v>
      </c>
      <c r="O234" s="4">
        <v>1</v>
      </c>
      <c r="P234" s="5">
        <v>0.8</v>
      </c>
    </row>
    <row r="235" spans="1:16" x14ac:dyDescent="0.3">
      <c r="A235" s="4">
        <v>234</v>
      </c>
      <c r="B235" s="4">
        <v>74</v>
      </c>
      <c r="C235" t="s">
        <v>29</v>
      </c>
      <c r="D235" t="s">
        <v>17</v>
      </c>
      <c r="E235" t="s">
        <v>30</v>
      </c>
      <c r="F235" s="4">
        <v>120</v>
      </c>
      <c r="G235" s="4">
        <v>269</v>
      </c>
      <c r="H235" t="s">
        <v>21</v>
      </c>
      <c r="I235" t="s">
        <v>20</v>
      </c>
      <c r="J235" s="4">
        <v>121</v>
      </c>
      <c r="K235" t="s">
        <v>19</v>
      </c>
      <c r="L235" t="s">
        <v>31</v>
      </c>
      <c r="M235" s="4">
        <v>1</v>
      </c>
      <c r="N235" t="s">
        <v>26</v>
      </c>
      <c r="O235" s="4">
        <v>0</v>
      </c>
      <c r="P235" s="5">
        <v>0.2</v>
      </c>
    </row>
    <row r="236" spans="1:16" x14ac:dyDescent="0.3">
      <c r="A236" s="4">
        <v>235</v>
      </c>
      <c r="B236" s="4">
        <v>54</v>
      </c>
      <c r="C236" t="s">
        <v>29</v>
      </c>
      <c r="D236" t="s">
        <v>17</v>
      </c>
      <c r="E236" t="s">
        <v>28</v>
      </c>
      <c r="F236" s="4">
        <v>160</v>
      </c>
      <c r="G236" s="4">
        <v>201</v>
      </c>
      <c r="H236" t="s">
        <v>21</v>
      </c>
      <c r="I236" t="s">
        <v>26</v>
      </c>
      <c r="J236" s="4">
        <v>163</v>
      </c>
      <c r="K236" t="s">
        <v>21</v>
      </c>
      <c r="L236" t="s">
        <v>31</v>
      </c>
      <c r="M236" s="4">
        <v>1</v>
      </c>
      <c r="N236" t="s">
        <v>26</v>
      </c>
      <c r="O236" s="4">
        <v>0</v>
      </c>
      <c r="P236" s="5">
        <v>0</v>
      </c>
    </row>
    <row r="237" spans="1:16" x14ac:dyDescent="0.3">
      <c r="A237" s="4">
        <v>236</v>
      </c>
      <c r="B237" s="4">
        <v>54</v>
      </c>
      <c r="C237" t="s">
        <v>16</v>
      </c>
      <c r="D237" t="s">
        <v>17</v>
      </c>
      <c r="E237" t="s">
        <v>24</v>
      </c>
      <c r="F237" s="4">
        <v>122</v>
      </c>
      <c r="G237" s="4">
        <v>286</v>
      </c>
      <c r="H237" t="s">
        <v>21</v>
      </c>
      <c r="I237" t="s">
        <v>20</v>
      </c>
      <c r="J237" s="4">
        <v>116</v>
      </c>
      <c r="K237" t="s">
        <v>19</v>
      </c>
      <c r="L237" t="s">
        <v>25</v>
      </c>
      <c r="M237" s="4">
        <v>2</v>
      </c>
      <c r="N237" t="s">
        <v>26</v>
      </c>
      <c r="O237" s="4">
        <v>3</v>
      </c>
      <c r="P237" s="5">
        <v>0.2</v>
      </c>
    </row>
    <row r="238" spans="1:16" x14ac:dyDescent="0.3">
      <c r="A238" s="4">
        <v>237</v>
      </c>
      <c r="B238" s="4">
        <v>56</v>
      </c>
      <c r="C238" t="s">
        <v>16</v>
      </c>
      <c r="D238" t="s">
        <v>17</v>
      </c>
      <c r="E238" t="s">
        <v>24</v>
      </c>
      <c r="F238" s="4">
        <v>130</v>
      </c>
      <c r="G238" s="4">
        <v>283</v>
      </c>
      <c r="H238" t="s">
        <v>19</v>
      </c>
      <c r="I238" t="s">
        <v>20</v>
      </c>
      <c r="J238" s="4">
        <v>103</v>
      </c>
      <c r="K238" t="s">
        <v>19</v>
      </c>
      <c r="L238" t="s">
        <v>22</v>
      </c>
      <c r="M238" s="4">
        <v>0</v>
      </c>
      <c r="N238" t="s">
        <v>27</v>
      </c>
      <c r="O238" s="4">
        <v>2</v>
      </c>
      <c r="P238" s="5">
        <v>0.6</v>
      </c>
    </row>
    <row r="239" spans="1:16" x14ac:dyDescent="0.3">
      <c r="A239" s="4">
        <v>238</v>
      </c>
      <c r="B239" s="4">
        <v>46</v>
      </c>
      <c r="C239" t="s">
        <v>16</v>
      </c>
      <c r="D239" t="s">
        <v>17</v>
      </c>
      <c r="E239" t="s">
        <v>24</v>
      </c>
      <c r="F239" s="4">
        <v>120</v>
      </c>
      <c r="G239" s="4">
        <v>249</v>
      </c>
      <c r="H239" t="s">
        <v>21</v>
      </c>
      <c r="I239" t="s">
        <v>20</v>
      </c>
      <c r="J239" s="4">
        <v>144</v>
      </c>
      <c r="K239" t="s">
        <v>21</v>
      </c>
      <c r="L239" t="s">
        <v>31</v>
      </c>
      <c r="M239" s="4">
        <v>0</v>
      </c>
      <c r="N239" t="s">
        <v>27</v>
      </c>
      <c r="O239" s="4">
        <v>1</v>
      </c>
      <c r="P239" s="5">
        <v>0.8</v>
      </c>
    </row>
    <row r="240" spans="1:16" x14ac:dyDescent="0.3">
      <c r="A240" s="4">
        <v>239</v>
      </c>
      <c r="B240" s="4">
        <v>49</v>
      </c>
      <c r="C240" t="s">
        <v>29</v>
      </c>
      <c r="D240" t="s">
        <v>17</v>
      </c>
      <c r="E240" t="s">
        <v>30</v>
      </c>
      <c r="F240" s="4">
        <v>134</v>
      </c>
      <c r="G240" s="4">
        <v>271</v>
      </c>
      <c r="H240" t="s">
        <v>21</v>
      </c>
      <c r="I240" t="s">
        <v>26</v>
      </c>
      <c r="J240" s="4">
        <v>162</v>
      </c>
      <c r="K240" t="s">
        <v>21</v>
      </c>
      <c r="L240" t="s">
        <v>25</v>
      </c>
      <c r="M240" s="4">
        <v>0</v>
      </c>
      <c r="N240" t="s">
        <v>26</v>
      </c>
      <c r="O240" s="4">
        <v>0</v>
      </c>
      <c r="P240" s="5">
        <v>0</v>
      </c>
    </row>
    <row r="241" spans="1:16" x14ac:dyDescent="0.3">
      <c r="A241" s="4">
        <v>240</v>
      </c>
      <c r="B241" s="4">
        <v>42</v>
      </c>
      <c r="C241" t="s">
        <v>16</v>
      </c>
      <c r="D241" t="s">
        <v>17</v>
      </c>
      <c r="E241" t="s">
        <v>30</v>
      </c>
      <c r="F241" s="4">
        <v>120</v>
      </c>
      <c r="G241" s="4">
        <v>295</v>
      </c>
      <c r="H241" t="s">
        <v>21</v>
      </c>
      <c r="I241" t="s">
        <v>26</v>
      </c>
      <c r="J241" s="4">
        <v>162</v>
      </c>
      <c r="K241" t="s">
        <v>21</v>
      </c>
      <c r="L241" t="s">
        <v>31</v>
      </c>
      <c r="M241" s="4">
        <v>0</v>
      </c>
      <c r="N241" t="s">
        <v>26</v>
      </c>
      <c r="O241" s="4">
        <v>0</v>
      </c>
      <c r="P241" s="5">
        <v>0</v>
      </c>
    </row>
    <row r="242" spans="1:16" x14ac:dyDescent="0.3">
      <c r="A242" s="4">
        <v>241</v>
      </c>
      <c r="B242" s="4">
        <v>41</v>
      </c>
      <c r="C242" t="s">
        <v>16</v>
      </c>
      <c r="D242" t="s">
        <v>17</v>
      </c>
      <c r="E242" t="s">
        <v>30</v>
      </c>
      <c r="F242" s="4">
        <v>110</v>
      </c>
      <c r="G242" s="4">
        <v>235</v>
      </c>
      <c r="H242" t="s">
        <v>21</v>
      </c>
      <c r="I242" t="s">
        <v>26</v>
      </c>
      <c r="J242" s="4">
        <v>153</v>
      </c>
      <c r="K242" t="s">
        <v>21</v>
      </c>
      <c r="L242" t="s">
        <v>31</v>
      </c>
      <c r="M242" s="4">
        <v>0</v>
      </c>
      <c r="N242" t="s">
        <v>26</v>
      </c>
      <c r="O242" s="4">
        <v>0</v>
      </c>
      <c r="P242" s="5">
        <v>0</v>
      </c>
    </row>
    <row r="243" spans="1:16" x14ac:dyDescent="0.3">
      <c r="A243" s="4">
        <v>242</v>
      </c>
      <c r="B243" s="4">
        <v>41</v>
      </c>
      <c r="C243" t="s">
        <v>29</v>
      </c>
      <c r="D243" t="s">
        <v>17</v>
      </c>
      <c r="E243" t="s">
        <v>30</v>
      </c>
      <c r="F243" s="4">
        <v>126</v>
      </c>
      <c r="G243" s="4">
        <v>306</v>
      </c>
      <c r="H243" t="s">
        <v>21</v>
      </c>
      <c r="I243" t="s">
        <v>26</v>
      </c>
      <c r="J243" s="4">
        <v>163</v>
      </c>
      <c r="K243" t="s">
        <v>21</v>
      </c>
      <c r="L243" t="s">
        <v>31</v>
      </c>
      <c r="M243" s="4">
        <v>0</v>
      </c>
      <c r="N243" t="s">
        <v>26</v>
      </c>
      <c r="O243" s="4">
        <v>0</v>
      </c>
      <c r="P243" s="5">
        <v>0</v>
      </c>
    </row>
    <row r="244" spans="1:16" x14ac:dyDescent="0.3">
      <c r="A244" s="4">
        <v>243</v>
      </c>
      <c r="B244" s="4">
        <v>49</v>
      </c>
      <c r="C244" t="s">
        <v>29</v>
      </c>
      <c r="D244" t="s">
        <v>17</v>
      </c>
      <c r="E244" t="s">
        <v>24</v>
      </c>
      <c r="F244" s="4">
        <v>130</v>
      </c>
      <c r="G244" s="4">
        <v>269</v>
      </c>
      <c r="H244" t="s">
        <v>21</v>
      </c>
      <c r="I244" t="s">
        <v>26</v>
      </c>
      <c r="J244" s="4">
        <v>163</v>
      </c>
      <c r="K244" t="s">
        <v>21</v>
      </c>
      <c r="L244" t="s">
        <v>31</v>
      </c>
      <c r="M244" s="4">
        <v>0</v>
      </c>
      <c r="N244" t="s">
        <v>26</v>
      </c>
      <c r="O244" s="4">
        <v>0</v>
      </c>
      <c r="P244" s="5">
        <v>0</v>
      </c>
    </row>
    <row r="245" spans="1:16" x14ac:dyDescent="0.3">
      <c r="A245" s="4">
        <v>244</v>
      </c>
      <c r="B245" s="4">
        <v>61</v>
      </c>
      <c r="C245" t="s">
        <v>16</v>
      </c>
      <c r="D245" t="s">
        <v>17</v>
      </c>
      <c r="E245" t="s">
        <v>18</v>
      </c>
      <c r="F245" s="4">
        <v>134</v>
      </c>
      <c r="G245" s="4">
        <v>234</v>
      </c>
      <c r="H245" t="s">
        <v>21</v>
      </c>
      <c r="I245" t="s">
        <v>26</v>
      </c>
      <c r="J245" s="4">
        <v>145</v>
      </c>
      <c r="K245" t="s">
        <v>21</v>
      </c>
      <c r="L245" t="s">
        <v>25</v>
      </c>
      <c r="M245" s="4">
        <v>2</v>
      </c>
      <c r="N245" t="s">
        <v>26</v>
      </c>
      <c r="O245" s="4">
        <v>2</v>
      </c>
      <c r="P245" s="5">
        <v>0.6</v>
      </c>
    </row>
    <row r="246" spans="1:16" x14ac:dyDescent="0.3">
      <c r="A246" s="4">
        <v>245</v>
      </c>
      <c r="B246" s="4">
        <v>60</v>
      </c>
      <c r="C246" t="s">
        <v>29</v>
      </c>
      <c r="D246" t="s">
        <v>17</v>
      </c>
      <c r="E246" t="s">
        <v>28</v>
      </c>
      <c r="F246" s="4">
        <v>120</v>
      </c>
      <c r="G246" s="4">
        <v>178</v>
      </c>
      <c r="H246" t="s">
        <v>19</v>
      </c>
      <c r="I246" t="s">
        <v>26</v>
      </c>
      <c r="J246" s="4">
        <v>96</v>
      </c>
      <c r="K246" t="s">
        <v>21</v>
      </c>
      <c r="L246" t="s">
        <v>31</v>
      </c>
      <c r="M246" s="4">
        <v>0</v>
      </c>
      <c r="N246" t="s">
        <v>26</v>
      </c>
      <c r="O246" s="4">
        <v>0</v>
      </c>
      <c r="P246" s="5">
        <v>0</v>
      </c>
    </row>
    <row r="247" spans="1:16" x14ac:dyDescent="0.3">
      <c r="A247" s="4">
        <v>246</v>
      </c>
      <c r="B247" s="4">
        <v>67</v>
      </c>
      <c r="C247" t="s">
        <v>16</v>
      </c>
      <c r="D247" t="s">
        <v>17</v>
      </c>
      <c r="E247" t="s">
        <v>24</v>
      </c>
      <c r="F247" s="4">
        <v>120</v>
      </c>
      <c r="G247" s="4">
        <v>237</v>
      </c>
      <c r="H247" t="s">
        <v>21</v>
      </c>
      <c r="I247" t="s">
        <v>26</v>
      </c>
      <c r="J247" s="4">
        <v>71</v>
      </c>
      <c r="K247" t="s">
        <v>21</v>
      </c>
      <c r="L247" t="s">
        <v>25</v>
      </c>
      <c r="M247" s="4">
        <v>0</v>
      </c>
      <c r="N247" t="s">
        <v>26</v>
      </c>
      <c r="O247" s="4">
        <v>2</v>
      </c>
      <c r="P247" s="5">
        <v>1</v>
      </c>
    </row>
    <row r="248" spans="1:16" x14ac:dyDescent="0.3">
      <c r="A248" s="4">
        <v>247</v>
      </c>
      <c r="B248" s="4">
        <v>58</v>
      </c>
      <c r="C248" t="s">
        <v>16</v>
      </c>
      <c r="D248" t="s">
        <v>17</v>
      </c>
      <c r="E248" t="s">
        <v>24</v>
      </c>
      <c r="F248" s="4">
        <v>100</v>
      </c>
      <c r="G248" s="4">
        <v>234</v>
      </c>
      <c r="H248" t="s">
        <v>21</v>
      </c>
      <c r="I248" t="s">
        <v>26</v>
      </c>
      <c r="J248" s="4">
        <v>156</v>
      </c>
      <c r="K248" t="s">
        <v>21</v>
      </c>
      <c r="L248" t="s">
        <v>31</v>
      </c>
      <c r="M248" s="4">
        <v>1</v>
      </c>
      <c r="N248" t="s">
        <v>27</v>
      </c>
      <c r="O248" s="4">
        <v>2</v>
      </c>
      <c r="P248" s="5">
        <v>0.1</v>
      </c>
    </row>
    <row r="249" spans="1:16" x14ac:dyDescent="0.3">
      <c r="A249" s="4">
        <v>248</v>
      </c>
      <c r="B249" s="4">
        <v>47</v>
      </c>
      <c r="C249" t="s">
        <v>16</v>
      </c>
      <c r="D249" t="s">
        <v>17</v>
      </c>
      <c r="E249" t="s">
        <v>24</v>
      </c>
      <c r="F249" s="4">
        <v>110</v>
      </c>
      <c r="G249" s="4">
        <v>275</v>
      </c>
      <c r="H249" t="s">
        <v>21</v>
      </c>
      <c r="I249" t="s">
        <v>20</v>
      </c>
      <c r="J249" s="4">
        <v>118</v>
      </c>
      <c r="K249" t="s">
        <v>19</v>
      </c>
      <c r="L249" t="s">
        <v>25</v>
      </c>
      <c r="M249" s="4">
        <v>1</v>
      </c>
      <c r="N249" t="s">
        <v>26</v>
      </c>
      <c r="O249" s="4">
        <v>1</v>
      </c>
      <c r="P249" s="5">
        <v>1</v>
      </c>
    </row>
    <row r="250" spans="1:16" x14ac:dyDescent="0.3">
      <c r="A250" s="4">
        <v>249</v>
      </c>
      <c r="B250" s="4">
        <v>52</v>
      </c>
      <c r="C250" t="s">
        <v>16</v>
      </c>
      <c r="D250" t="s">
        <v>17</v>
      </c>
      <c r="E250" t="s">
        <v>24</v>
      </c>
      <c r="F250" s="4">
        <v>125</v>
      </c>
      <c r="G250" s="4">
        <v>212</v>
      </c>
      <c r="H250" t="s">
        <v>21</v>
      </c>
      <c r="I250" t="s">
        <v>26</v>
      </c>
      <c r="J250" s="4">
        <v>168</v>
      </c>
      <c r="K250" t="s">
        <v>21</v>
      </c>
      <c r="L250" t="s">
        <v>31</v>
      </c>
      <c r="M250" s="4">
        <v>2</v>
      </c>
      <c r="N250" t="s">
        <v>27</v>
      </c>
      <c r="O250" s="4">
        <v>3</v>
      </c>
      <c r="P250" s="5">
        <v>1</v>
      </c>
    </row>
    <row r="251" spans="1:16" x14ac:dyDescent="0.3">
      <c r="A251" s="4">
        <v>250</v>
      </c>
      <c r="B251" s="4">
        <v>62</v>
      </c>
      <c r="C251" t="s">
        <v>16</v>
      </c>
      <c r="D251" t="s">
        <v>17</v>
      </c>
      <c r="E251" t="s">
        <v>30</v>
      </c>
      <c r="F251" s="4">
        <v>128</v>
      </c>
      <c r="G251" s="4">
        <v>208</v>
      </c>
      <c r="H251" t="s">
        <v>19</v>
      </c>
      <c r="I251" t="s">
        <v>20</v>
      </c>
      <c r="J251" s="4">
        <v>140</v>
      </c>
      <c r="K251" t="s">
        <v>21</v>
      </c>
      <c r="L251" t="s">
        <v>31</v>
      </c>
      <c r="M251" s="4">
        <v>0</v>
      </c>
      <c r="N251" t="s">
        <v>26</v>
      </c>
      <c r="O251" s="4">
        <v>0</v>
      </c>
      <c r="P251" s="5">
        <v>0</v>
      </c>
    </row>
    <row r="252" spans="1:16" x14ac:dyDescent="0.3">
      <c r="A252" s="4">
        <v>251</v>
      </c>
      <c r="B252" s="4">
        <v>57</v>
      </c>
      <c r="C252" t="s">
        <v>16</v>
      </c>
      <c r="D252" t="s">
        <v>17</v>
      </c>
      <c r="E252" t="s">
        <v>24</v>
      </c>
      <c r="F252" s="4">
        <v>110</v>
      </c>
      <c r="G252" s="4">
        <v>201</v>
      </c>
      <c r="H252" t="s">
        <v>21</v>
      </c>
      <c r="I252" t="s">
        <v>26</v>
      </c>
      <c r="J252" s="4">
        <v>126</v>
      </c>
      <c r="K252" t="s">
        <v>19</v>
      </c>
      <c r="L252" t="s">
        <v>25</v>
      </c>
      <c r="M252" s="4">
        <v>0</v>
      </c>
      <c r="N252" t="s">
        <v>23</v>
      </c>
      <c r="O252" s="4">
        <v>0</v>
      </c>
      <c r="P252" s="5">
        <v>0.5</v>
      </c>
    </row>
    <row r="253" spans="1:16" x14ac:dyDescent="0.3">
      <c r="A253" s="4">
        <v>252</v>
      </c>
      <c r="B253" s="4">
        <v>58</v>
      </c>
      <c r="C253" t="s">
        <v>16</v>
      </c>
      <c r="D253" t="s">
        <v>17</v>
      </c>
      <c r="E253" t="s">
        <v>24</v>
      </c>
      <c r="F253" s="4">
        <v>146</v>
      </c>
      <c r="G253" s="4">
        <v>218</v>
      </c>
      <c r="H253" t="s">
        <v>21</v>
      </c>
      <c r="I253" t="s">
        <v>26</v>
      </c>
      <c r="J253" s="4">
        <v>105</v>
      </c>
      <c r="K253" t="s">
        <v>21</v>
      </c>
      <c r="L253" t="s">
        <v>25</v>
      </c>
      <c r="M253" s="4">
        <v>1</v>
      </c>
      <c r="N253" t="s">
        <v>27</v>
      </c>
      <c r="O253" s="4">
        <v>1</v>
      </c>
      <c r="P253" s="5">
        <v>2</v>
      </c>
    </row>
    <row r="254" spans="1:16" x14ac:dyDescent="0.3">
      <c r="A254" s="4">
        <v>253</v>
      </c>
      <c r="B254" s="4">
        <v>64</v>
      </c>
      <c r="C254" t="s">
        <v>16</v>
      </c>
      <c r="D254" t="s">
        <v>17</v>
      </c>
      <c r="E254" t="s">
        <v>24</v>
      </c>
      <c r="F254" s="4">
        <v>128</v>
      </c>
      <c r="G254" s="4">
        <v>263</v>
      </c>
      <c r="H254" t="s">
        <v>21</v>
      </c>
      <c r="I254" t="s">
        <v>26</v>
      </c>
      <c r="J254" s="4">
        <v>105</v>
      </c>
      <c r="K254" t="s">
        <v>19</v>
      </c>
      <c r="L254" t="s">
        <v>25</v>
      </c>
      <c r="M254" s="4">
        <v>1</v>
      </c>
      <c r="N254" t="s">
        <v>27</v>
      </c>
      <c r="O254" s="4">
        <v>0</v>
      </c>
      <c r="P254" s="5">
        <v>0.2</v>
      </c>
    </row>
    <row r="255" spans="1:16" x14ac:dyDescent="0.3">
      <c r="A255" s="4">
        <v>254</v>
      </c>
      <c r="B255" s="4">
        <v>51</v>
      </c>
      <c r="C255" t="s">
        <v>29</v>
      </c>
      <c r="D255" t="s">
        <v>17</v>
      </c>
      <c r="E255" t="s">
        <v>28</v>
      </c>
      <c r="F255" s="4">
        <v>120</v>
      </c>
      <c r="G255" s="4">
        <v>295</v>
      </c>
      <c r="H255" t="s">
        <v>21</v>
      </c>
      <c r="I255" t="s">
        <v>20</v>
      </c>
      <c r="J255" s="4">
        <v>157</v>
      </c>
      <c r="K255" t="s">
        <v>21</v>
      </c>
      <c r="L255" t="s">
        <v>31</v>
      </c>
      <c r="M255" s="4">
        <v>0</v>
      </c>
      <c r="N255" t="s">
        <v>26</v>
      </c>
      <c r="O255" s="4">
        <v>0</v>
      </c>
      <c r="P255" s="5">
        <v>0.6</v>
      </c>
    </row>
    <row r="256" spans="1:16" x14ac:dyDescent="0.3">
      <c r="A256" s="4">
        <v>255</v>
      </c>
      <c r="B256" s="4">
        <v>43</v>
      </c>
      <c r="C256" t="s">
        <v>16</v>
      </c>
      <c r="D256" t="s">
        <v>17</v>
      </c>
      <c r="E256" t="s">
        <v>24</v>
      </c>
      <c r="F256" s="4">
        <v>115</v>
      </c>
      <c r="G256" s="4">
        <v>303</v>
      </c>
      <c r="H256" t="s">
        <v>21</v>
      </c>
      <c r="I256" t="s">
        <v>26</v>
      </c>
      <c r="J256" s="4">
        <v>181</v>
      </c>
      <c r="K256" t="s">
        <v>21</v>
      </c>
      <c r="L256" t="s">
        <v>25</v>
      </c>
      <c r="M256" s="4">
        <v>0</v>
      </c>
      <c r="N256" t="s">
        <v>26</v>
      </c>
      <c r="O256" s="4">
        <v>0</v>
      </c>
      <c r="P256" s="5">
        <v>0.2</v>
      </c>
    </row>
    <row r="257" spans="1:16" x14ac:dyDescent="0.3">
      <c r="A257" s="4">
        <v>256</v>
      </c>
      <c r="B257" s="4">
        <v>42</v>
      </c>
      <c r="C257" t="s">
        <v>29</v>
      </c>
      <c r="D257" t="s">
        <v>17</v>
      </c>
      <c r="E257" t="s">
        <v>28</v>
      </c>
      <c r="F257" s="4">
        <v>120</v>
      </c>
      <c r="G257" s="4">
        <v>209</v>
      </c>
      <c r="H257" t="s">
        <v>21</v>
      </c>
      <c r="I257" t="s">
        <v>26</v>
      </c>
      <c r="J257" s="4">
        <v>173</v>
      </c>
      <c r="K257" t="s">
        <v>21</v>
      </c>
      <c r="L257" t="s">
        <v>25</v>
      </c>
      <c r="M257" s="4">
        <v>0</v>
      </c>
      <c r="N257" t="s">
        <v>26</v>
      </c>
      <c r="O257" s="4">
        <v>0</v>
      </c>
      <c r="P257" s="5">
        <v>0</v>
      </c>
    </row>
    <row r="258" spans="1:16" x14ac:dyDescent="0.3">
      <c r="A258" s="4">
        <v>257</v>
      </c>
      <c r="B258" s="4">
        <v>67</v>
      </c>
      <c r="C258" t="s">
        <v>29</v>
      </c>
      <c r="D258" t="s">
        <v>17</v>
      </c>
      <c r="E258" t="s">
        <v>24</v>
      </c>
      <c r="F258" s="4">
        <v>106</v>
      </c>
      <c r="G258" s="4">
        <v>223</v>
      </c>
      <c r="H258" t="s">
        <v>21</v>
      </c>
      <c r="I258" t="s">
        <v>26</v>
      </c>
      <c r="J258" s="4">
        <v>142</v>
      </c>
      <c r="K258" t="s">
        <v>21</v>
      </c>
      <c r="L258" t="s">
        <v>31</v>
      </c>
      <c r="M258" s="4">
        <v>2</v>
      </c>
      <c r="N258" t="s">
        <v>26</v>
      </c>
      <c r="O258" s="4">
        <v>0</v>
      </c>
      <c r="P258" s="5">
        <v>0.3</v>
      </c>
    </row>
    <row r="259" spans="1:16" x14ac:dyDescent="0.3">
      <c r="A259" s="4">
        <v>258</v>
      </c>
      <c r="B259" s="4">
        <v>76</v>
      </c>
      <c r="C259" t="s">
        <v>29</v>
      </c>
      <c r="D259" t="s">
        <v>17</v>
      </c>
      <c r="E259" t="s">
        <v>28</v>
      </c>
      <c r="F259" s="4">
        <v>140</v>
      </c>
      <c r="G259" s="4">
        <v>197</v>
      </c>
      <c r="H259" t="s">
        <v>21</v>
      </c>
      <c r="I259" t="s">
        <v>33</v>
      </c>
      <c r="J259" s="4">
        <v>116</v>
      </c>
      <c r="K259" t="s">
        <v>21</v>
      </c>
      <c r="L259" t="s">
        <v>25</v>
      </c>
      <c r="M259" s="4">
        <v>0</v>
      </c>
      <c r="N259" t="s">
        <v>26</v>
      </c>
      <c r="O259" s="4">
        <v>0</v>
      </c>
      <c r="P259" s="5">
        <v>0.1</v>
      </c>
    </row>
    <row r="260" spans="1:16" x14ac:dyDescent="0.3">
      <c r="A260" s="4">
        <v>259</v>
      </c>
      <c r="B260" s="4">
        <v>70</v>
      </c>
      <c r="C260" t="s">
        <v>16</v>
      </c>
      <c r="D260" t="s">
        <v>17</v>
      </c>
      <c r="E260" t="s">
        <v>30</v>
      </c>
      <c r="F260" s="4">
        <v>156</v>
      </c>
      <c r="G260" s="4">
        <v>245</v>
      </c>
      <c r="H260" t="s">
        <v>21</v>
      </c>
      <c r="I260" t="s">
        <v>20</v>
      </c>
      <c r="J260" s="4">
        <v>143</v>
      </c>
      <c r="K260" t="s">
        <v>21</v>
      </c>
      <c r="L260" t="s">
        <v>31</v>
      </c>
      <c r="M260" s="4">
        <v>0</v>
      </c>
      <c r="N260" t="s">
        <v>26</v>
      </c>
      <c r="O260" s="4">
        <v>0</v>
      </c>
      <c r="P260" s="5">
        <v>0</v>
      </c>
    </row>
    <row r="261" spans="1:16" x14ac:dyDescent="0.3">
      <c r="A261" s="4">
        <v>260</v>
      </c>
      <c r="B261" s="4">
        <v>57</v>
      </c>
      <c r="C261" t="s">
        <v>16</v>
      </c>
      <c r="D261" t="s">
        <v>17</v>
      </c>
      <c r="E261" t="s">
        <v>30</v>
      </c>
      <c r="F261" s="4">
        <v>124</v>
      </c>
      <c r="G261" s="4">
        <v>261</v>
      </c>
      <c r="H261" t="s">
        <v>21</v>
      </c>
      <c r="I261" t="s">
        <v>26</v>
      </c>
      <c r="J261" s="4">
        <v>141</v>
      </c>
      <c r="K261" t="s">
        <v>21</v>
      </c>
      <c r="L261" t="s">
        <v>31</v>
      </c>
      <c r="M261" s="4">
        <v>0</v>
      </c>
      <c r="N261" t="s">
        <v>27</v>
      </c>
      <c r="O261" s="4">
        <v>1</v>
      </c>
      <c r="P261" s="5">
        <v>0.3</v>
      </c>
    </row>
    <row r="262" spans="1:16" x14ac:dyDescent="0.3">
      <c r="A262" s="4">
        <v>261</v>
      </c>
      <c r="B262" s="4">
        <v>44</v>
      </c>
      <c r="C262" t="s">
        <v>29</v>
      </c>
      <c r="D262" t="s">
        <v>17</v>
      </c>
      <c r="E262" t="s">
        <v>28</v>
      </c>
      <c r="F262" s="4">
        <v>118</v>
      </c>
      <c r="G262" s="4">
        <v>242</v>
      </c>
      <c r="H262" t="s">
        <v>21</v>
      </c>
      <c r="I262" t="s">
        <v>26</v>
      </c>
      <c r="J262" s="4">
        <v>149</v>
      </c>
      <c r="K262" t="s">
        <v>21</v>
      </c>
      <c r="L262" t="s">
        <v>25</v>
      </c>
      <c r="M262" s="4">
        <v>1</v>
      </c>
      <c r="N262" t="s">
        <v>26</v>
      </c>
      <c r="O262" s="4">
        <v>0</v>
      </c>
      <c r="P262" s="5">
        <v>0.3</v>
      </c>
    </row>
    <row r="263" spans="1:16" x14ac:dyDescent="0.3">
      <c r="A263" s="4">
        <v>262</v>
      </c>
      <c r="B263" s="4">
        <v>58</v>
      </c>
      <c r="C263" t="s">
        <v>29</v>
      </c>
      <c r="D263" t="s">
        <v>17</v>
      </c>
      <c r="E263" t="s">
        <v>30</v>
      </c>
      <c r="F263" s="4">
        <v>136</v>
      </c>
      <c r="G263" s="4">
        <v>319</v>
      </c>
      <c r="H263" t="s">
        <v>19</v>
      </c>
      <c r="I263" t="s">
        <v>20</v>
      </c>
      <c r="J263" s="4">
        <v>152</v>
      </c>
      <c r="K263" t="s">
        <v>21</v>
      </c>
      <c r="L263" t="s">
        <v>31</v>
      </c>
      <c r="M263" s="4">
        <v>2</v>
      </c>
      <c r="N263" t="s">
        <v>26</v>
      </c>
      <c r="O263" s="4">
        <v>3</v>
      </c>
      <c r="P263" s="5">
        <v>0</v>
      </c>
    </row>
    <row r="264" spans="1:16" x14ac:dyDescent="0.3">
      <c r="A264" s="4">
        <v>263</v>
      </c>
      <c r="B264" s="4">
        <v>60</v>
      </c>
      <c r="C264" t="s">
        <v>29</v>
      </c>
      <c r="D264" t="s">
        <v>17</v>
      </c>
      <c r="E264" t="s">
        <v>18</v>
      </c>
      <c r="F264" s="4">
        <v>150</v>
      </c>
      <c r="G264" s="4">
        <v>240</v>
      </c>
      <c r="H264" t="s">
        <v>21</v>
      </c>
      <c r="I264" t="s">
        <v>26</v>
      </c>
      <c r="J264" s="4">
        <v>171</v>
      </c>
      <c r="K264" t="s">
        <v>21</v>
      </c>
      <c r="L264" t="s">
        <v>31</v>
      </c>
      <c r="M264" s="4">
        <v>0</v>
      </c>
      <c r="N264" t="s">
        <v>26</v>
      </c>
      <c r="O264" s="4">
        <v>0</v>
      </c>
      <c r="P264" s="5">
        <v>0.9</v>
      </c>
    </row>
    <row r="265" spans="1:16" x14ac:dyDescent="0.3">
      <c r="A265" s="4">
        <v>264</v>
      </c>
      <c r="B265" s="4">
        <v>44</v>
      </c>
      <c r="C265" t="s">
        <v>16</v>
      </c>
      <c r="D265" t="s">
        <v>17</v>
      </c>
      <c r="E265" t="s">
        <v>28</v>
      </c>
      <c r="F265" s="4">
        <v>120</v>
      </c>
      <c r="G265" s="4">
        <v>226</v>
      </c>
      <c r="H265" t="s">
        <v>21</v>
      </c>
      <c r="I265" t="s">
        <v>26</v>
      </c>
      <c r="J265" s="4">
        <v>169</v>
      </c>
      <c r="K265" t="s">
        <v>21</v>
      </c>
      <c r="L265" t="s">
        <v>31</v>
      </c>
      <c r="M265" s="4">
        <v>0</v>
      </c>
      <c r="N265" t="s">
        <v>26</v>
      </c>
      <c r="O265" s="4">
        <v>0</v>
      </c>
      <c r="P265" s="5">
        <v>0</v>
      </c>
    </row>
    <row r="266" spans="1:16" x14ac:dyDescent="0.3">
      <c r="A266" s="4">
        <v>265</v>
      </c>
      <c r="B266" s="4">
        <v>61</v>
      </c>
      <c r="C266" t="s">
        <v>16</v>
      </c>
      <c r="D266" t="s">
        <v>17</v>
      </c>
      <c r="E266" t="s">
        <v>24</v>
      </c>
      <c r="F266" s="4">
        <v>138</v>
      </c>
      <c r="G266" s="4">
        <v>166</v>
      </c>
      <c r="H266" t="s">
        <v>21</v>
      </c>
      <c r="I266" t="s">
        <v>20</v>
      </c>
      <c r="J266" s="4">
        <v>125</v>
      </c>
      <c r="K266" t="s">
        <v>19</v>
      </c>
      <c r="L266" t="s">
        <v>25</v>
      </c>
      <c r="M266" s="4">
        <v>1</v>
      </c>
      <c r="N266" t="s">
        <v>26</v>
      </c>
      <c r="O266" s="4">
        <v>4</v>
      </c>
      <c r="P266" s="5">
        <v>0.6</v>
      </c>
    </row>
    <row r="267" spans="1:16" x14ac:dyDescent="0.3">
      <c r="A267" s="4">
        <v>266</v>
      </c>
      <c r="B267" s="4">
        <v>42</v>
      </c>
      <c r="C267" t="s">
        <v>16</v>
      </c>
      <c r="D267" t="s">
        <v>17</v>
      </c>
      <c r="E267" t="s">
        <v>24</v>
      </c>
      <c r="F267" s="4">
        <v>136</v>
      </c>
      <c r="G267" s="4">
        <v>315</v>
      </c>
      <c r="H267" t="s">
        <v>21</v>
      </c>
      <c r="I267" t="s">
        <v>26</v>
      </c>
      <c r="J267" s="4">
        <v>125</v>
      </c>
      <c r="K267" t="s">
        <v>19</v>
      </c>
      <c r="L267" t="s">
        <v>25</v>
      </c>
      <c r="M267" s="4">
        <v>0</v>
      </c>
      <c r="N267" t="s">
        <v>23</v>
      </c>
      <c r="O267" s="4">
        <v>2</v>
      </c>
      <c r="P267" s="5">
        <v>0.8</v>
      </c>
    </row>
    <row r="268" spans="1:16" x14ac:dyDescent="0.3">
      <c r="A268" s="4">
        <v>267</v>
      </c>
      <c r="B268" s="4">
        <v>52</v>
      </c>
      <c r="C268" t="s">
        <v>16</v>
      </c>
      <c r="D268" t="s">
        <v>17</v>
      </c>
      <c r="E268" t="s">
        <v>24</v>
      </c>
      <c r="F268" s="4">
        <v>128</v>
      </c>
      <c r="G268" s="4">
        <v>204</v>
      </c>
      <c r="H268" t="s">
        <v>19</v>
      </c>
      <c r="I268" t="s">
        <v>26</v>
      </c>
      <c r="J268" s="4">
        <v>156</v>
      </c>
      <c r="K268" t="s">
        <v>19</v>
      </c>
      <c r="L268" t="s">
        <v>25</v>
      </c>
      <c r="M268" s="4">
        <v>0</v>
      </c>
      <c r="N268" t="s">
        <v>32</v>
      </c>
      <c r="O268" s="4">
        <v>2</v>
      </c>
      <c r="P268" s="5">
        <v>1</v>
      </c>
    </row>
    <row r="269" spans="1:16" x14ac:dyDescent="0.3">
      <c r="A269" s="4">
        <v>268</v>
      </c>
      <c r="B269" s="4">
        <v>59</v>
      </c>
      <c r="C269" t="s">
        <v>16</v>
      </c>
      <c r="D269" t="s">
        <v>17</v>
      </c>
      <c r="E269" t="s">
        <v>28</v>
      </c>
      <c r="F269" s="4">
        <v>126</v>
      </c>
      <c r="G269" s="4">
        <v>218</v>
      </c>
      <c r="H269" t="s">
        <v>19</v>
      </c>
      <c r="I269" t="s">
        <v>26</v>
      </c>
      <c r="J269" s="4">
        <v>134</v>
      </c>
      <c r="K269" t="s">
        <v>21</v>
      </c>
      <c r="L269" t="s">
        <v>25</v>
      </c>
      <c r="M269" s="4">
        <v>1</v>
      </c>
      <c r="N269" t="s">
        <v>23</v>
      </c>
      <c r="O269" s="4">
        <v>2</v>
      </c>
      <c r="P269" s="5">
        <v>0.2</v>
      </c>
    </row>
    <row r="270" spans="1:16" x14ac:dyDescent="0.3">
      <c r="A270" s="4">
        <v>269</v>
      </c>
      <c r="B270" s="4">
        <v>40</v>
      </c>
      <c r="C270" t="s">
        <v>16</v>
      </c>
      <c r="D270" t="s">
        <v>17</v>
      </c>
      <c r="E270" t="s">
        <v>24</v>
      </c>
      <c r="F270" s="4">
        <v>152</v>
      </c>
      <c r="G270" s="4">
        <v>223</v>
      </c>
      <c r="H270" t="s">
        <v>21</v>
      </c>
      <c r="I270" t="s">
        <v>26</v>
      </c>
      <c r="J270" s="4">
        <v>181</v>
      </c>
      <c r="K270" t="s">
        <v>21</v>
      </c>
      <c r="L270" t="s">
        <v>31</v>
      </c>
      <c r="M270" s="4">
        <v>0</v>
      </c>
      <c r="N270" t="s">
        <v>27</v>
      </c>
      <c r="O270" s="4">
        <v>1</v>
      </c>
      <c r="P270" s="5">
        <v>0</v>
      </c>
    </row>
    <row r="271" spans="1:16" x14ac:dyDescent="0.3">
      <c r="A271" s="4">
        <v>270</v>
      </c>
      <c r="B271" s="4">
        <v>42</v>
      </c>
      <c r="C271" t="s">
        <v>16</v>
      </c>
      <c r="D271" t="s">
        <v>17</v>
      </c>
      <c r="E271" t="s">
        <v>28</v>
      </c>
      <c r="F271" s="4">
        <v>130</v>
      </c>
      <c r="G271" s="4">
        <v>180</v>
      </c>
      <c r="H271" t="s">
        <v>21</v>
      </c>
      <c r="I271" t="s">
        <v>26</v>
      </c>
      <c r="J271" s="4">
        <v>150</v>
      </c>
      <c r="K271" t="s">
        <v>21</v>
      </c>
      <c r="L271" t="s">
        <v>31</v>
      </c>
      <c r="M271" s="4">
        <v>0</v>
      </c>
      <c r="N271" t="s">
        <v>26</v>
      </c>
      <c r="O271" s="4">
        <v>0</v>
      </c>
      <c r="P271" s="5">
        <v>0</v>
      </c>
    </row>
    <row r="272" spans="1:16" x14ac:dyDescent="0.3">
      <c r="A272" s="4">
        <v>271</v>
      </c>
      <c r="B272" s="4">
        <v>61</v>
      </c>
      <c r="C272" t="s">
        <v>16</v>
      </c>
      <c r="D272" t="s">
        <v>17</v>
      </c>
      <c r="E272" t="s">
        <v>24</v>
      </c>
      <c r="F272" s="4">
        <v>140</v>
      </c>
      <c r="G272" s="4">
        <v>207</v>
      </c>
      <c r="H272" t="s">
        <v>21</v>
      </c>
      <c r="I272" t="s">
        <v>20</v>
      </c>
      <c r="J272" s="4">
        <v>138</v>
      </c>
      <c r="K272" t="s">
        <v>19</v>
      </c>
      <c r="L272" t="s">
        <v>31</v>
      </c>
      <c r="M272" s="4">
        <v>1</v>
      </c>
      <c r="N272" t="s">
        <v>27</v>
      </c>
      <c r="O272" s="4">
        <v>1</v>
      </c>
      <c r="P272" s="5">
        <v>0.9</v>
      </c>
    </row>
    <row r="273" spans="1:16" x14ac:dyDescent="0.3">
      <c r="A273" s="4">
        <v>272</v>
      </c>
      <c r="B273" s="4">
        <v>66</v>
      </c>
      <c r="C273" t="s">
        <v>16</v>
      </c>
      <c r="D273" t="s">
        <v>17</v>
      </c>
      <c r="E273" t="s">
        <v>24</v>
      </c>
      <c r="F273" s="4">
        <v>160</v>
      </c>
      <c r="G273" s="4">
        <v>228</v>
      </c>
      <c r="H273" t="s">
        <v>21</v>
      </c>
      <c r="I273" t="s">
        <v>20</v>
      </c>
      <c r="J273" s="4">
        <v>138</v>
      </c>
      <c r="K273" t="s">
        <v>21</v>
      </c>
      <c r="L273" t="s">
        <v>31</v>
      </c>
      <c r="M273" s="4">
        <v>0</v>
      </c>
      <c r="N273" t="s">
        <v>23</v>
      </c>
      <c r="O273" s="4">
        <v>0</v>
      </c>
      <c r="P273" s="5">
        <v>0.3</v>
      </c>
    </row>
    <row r="274" spans="1:16" x14ac:dyDescent="0.3">
      <c r="A274" s="4">
        <v>273</v>
      </c>
      <c r="B274" s="4">
        <v>46</v>
      </c>
      <c r="C274" t="s">
        <v>16</v>
      </c>
      <c r="D274" t="s">
        <v>17</v>
      </c>
      <c r="E274" t="s">
        <v>24</v>
      </c>
      <c r="F274" s="4">
        <v>140</v>
      </c>
      <c r="G274" s="4">
        <v>311</v>
      </c>
      <c r="H274" t="s">
        <v>21</v>
      </c>
      <c r="I274" t="s">
        <v>26</v>
      </c>
      <c r="J274" s="4">
        <v>120</v>
      </c>
      <c r="K274" t="s">
        <v>19</v>
      </c>
      <c r="L274" t="s">
        <v>25</v>
      </c>
      <c r="M274" s="4">
        <v>2</v>
      </c>
      <c r="N274" t="s">
        <v>27</v>
      </c>
      <c r="O274" s="4">
        <v>2</v>
      </c>
      <c r="P274" s="5">
        <v>0.8</v>
      </c>
    </row>
    <row r="275" spans="1:16" x14ac:dyDescent="0.3">
      <c r="A275" s="4">
        <v>274</v>
      </c>
      <c r="B275" s="4">
        <v>71</v>
      </c>
      <c r="C275" t="s">
        <v>29</v>
      </c>
      <c r="D275" t="s">
        <v>17</v>
      </c>
      <c r="E275" t="s">
        <v>24</v>
      </c>
      <c r="F275" s="4">
        <v>112</v>
      </c>
      <c r="G275" s="4">
        <v>149</v>
      </c>
      <c r="H275" t="s">
        <v>21</v>
      </c>
      <c r="I275" t="s">
        <v>26</v>
      </c>
      <c r="J275" s="4">
        <v>125</v>
      </c>
      <c r="K275" t="s">
        <v>21</v>
      </c>
      <c r="L275" t="s">
        <v>25</v>
      </c>
      <c r="M275" s="4">
        <v>0</v>
      </c>
      <c r="N275" t="s">
        <v>26</v>
      </c>
      <c r="O275" s="4">
        <v>0</v>
      </c>
      <c r="P275" s="5">
        <v>0.6</v>
      </c>
    </row>
    <row r="276" spans="1:16" x14ac:dyDescent="0.3">
      <c r="A276" s="4">
        <v>275</v>
      </c>
      <c r="B276" s="4">
        <v>59</v>
      </c>
      <c r="C276" t="s">
        <v>16</v>
      </c>
      <c r="D276" t="s">
        <v>17</v>
      </c>
      <c r="E276" t="s">
        <v>18</v>
      </c>
      <c r="F276" s="4">
        <v>134</v>
      </c>
      <c r="G276" s="4">
        <v>204</v>
      </c>
      <c r="H276" t="s">
        <v>21</v>
      </c>
      <c r="I276" t="s">
        <v>26</v>
      </c>
      <c r="J276" s="4">
        <v>162</v>
      </c>
      <c r="K276" t="s">
        <v>21</v>
      </c>
      <c r="L276" t="s">
        <v>31</v>
      </c>
      <c r="M276" s="4">
        <v>2</v>
      </c>
      <c r="N276" t="s">
        <v>26</v>
      </c>
      <c r="O276" s="4">
        <v>1</v>
      </c>
      <c r="P276" s="5">
        <v>0.8</v>
      </c>
    </row>
    <row r="277" spans="1:16" x14ac:dyDescent="0.3">
      <c r="A277" s="4">
        <v>276</v>
      </c>
      <c r="B277" s="4">
        <v>64</v>
      </c>
      <c r="C277" t="s">
        <v>16</v>
      </c>
      <c r="D277" t="s">
        <v>17</v>
      </c>
      <c r="E277" t="s">
        <v>18</v>
      </c>
      <c r="F277" s="4">
        <v>170</v>
      </c>
      <c r="G277" s="4">
        <v>227</v>
      </c>
      <c r="H277" t="s">
        <v>21</v>
      </c>
      <c r="I277" t="s">
        <v>20</v>
      </c>
      <c r="J277" s="4">
        <v>155</v>
      </c>
      <c r="K277" t="s">
        <v>21</v>
      </c>
      <c r="L277" t="s">
        <v>25</v>
      </c>
      <c r="M277" s="4">
        <v>0</v>
      </c>
      <c r="N277" t="s">
        <v>27</v>
      </c>
      <c r="O277" s="4">
        <v>0</v>
      </c>
      <c r="P277" s="5">
        <v>0.6</v>
      </c>
    </row>
    <row r="278" spans="1:16" x14ac:dyDescent="0.3">
      <c r="A278" s="4">
        <v>277</v>
      </c>
      <c r="B278" s="4">
        <v>66</v>
      </c>
      <c r="C278" t="s">
        <v>29</v>
      </c>
      <c r="D278" t="s">
        <v>17</v>
      </c>
      <c r="E278" t="s">
        <v>28</v>
      </c>
      <c r="F278" s="4">
        <v>146</v>
      </c>
      <c r="G278" s="4">
        <v>278</v>
      </c>
      <c r="H278" t="s">
        <v>21</v>
      </c>
      <c r="I278" t="s">
        <v>20</v>
      </c>
      <c r="J278" s="4">
        <v>152</v>
      </c>
      <c r="K278" t="s">
        <v>21</v>
      </c>
      <c r="L278" t="s">
        <v>25</v>
      </c>
      <c r="M278" s="4">
        <v>1</v>
      </c>
      <c r="N278" t="s">
        <v>26</v>
      </c>
      <c r="O278" s="4">
        <v>0</v>
      </c>
      <c r="P278" s="5">
        <v>0</v>
      </c>
    </row>
    <row r="279" spans="1:16" x14ac:dyDescent="0.3">
      <c r="A279" s="4">
        <v>278</v>
      </c>
      <c r="B279" s="4">
        <v>39</v>
      </c>
      <c r="C279" t="s">
        <v>29</v>
      </c>
      <c r="D279" t="s">
        <v>17</v>
      </c>
      <c r="E279" t="s">
        <v>28</v>
      </c>
      <c r="F279" s="4">
        <v>138</v>
      </c>
      <c r="G279" s="4">
        <v>220</v>
      </c>
      <c r="H279" t="s">
        <v>21</v>
      </c>
      <c r="I279" t="s">
        <v>26</v>
      </c>
      <c r="J279" s="4">
        <v>152</v>
      </c>
      <c r="K279" t="s">
        <v>21</v>
      </c>
      <c r="L279" t="s">
        <v>25</v>
      </c>
      <c r="M279" s="4">
        <v>0</v>
      </c>
      <c r="N279" t="s">
        <v>26</v>
      </c>
      <c r="O279" s="4">
        <v>0</v>
      </c>
      <c r="P279" s="5">
        <v>0</v>
      </c>
    </row>
    <row r="280" spans="1:16" x14ac:dyDescent="0.3">
      <c r="A280" s="4">
        <v>279</v>
      </c>
      <c r="B280" s="4">
        <v>57</v>
      </c>
      <c r="C280" t="s">
        <v>16</v>
      </c>
      <c r="D280" t="s">
        <v>17</v>
      </c>
      <c r="E280" t="s">
        <v>30</v>
      </c>
      <c r="F280" s="4">
        <v>154</v>
      </c>
      <c r="G280" s="4">
        <v>232</v>
      </c>
      <c r="H280" t="s">
        <v>21</v>
      </c>
      <c r="I280" t="s">
        <v>20</v>
      </c>
      <c r="J280" s="4">
        <v>164</v>
      </c>
      <c r="K280" t="s">
        <v>21</v>
      </c>
      <c r="L280" t="s">
        <v>31</v>
      </c>
      <c r="M280" s="4">
        <v>1</v>
      </c>
      <c r="N280" t="s">
        <v>26</v>
      </c>
      <c r="O280" s="4">
        <v>1</v>
      </c>
      <c r="P280" s="5">
        <v>0</v>
      </c>
    </row>
    <row r="281" spans="1:16" x14ac:dyDescent="0.3">
      <c r="A281" s="4">
        <v>280</v>
      </c>
      <c r="B281" s="4">
        <v>58</v>
      </c>
      <c r="C281" t="s">
        <v>29</v>
      </c>
      <c r="D281" t="s">
        <v>17</v>
      </c>
      <c r="E281" t="s">
        <v>24</v>
      </c>
      <c r="F281" s="4">
        <v>130</v>
      </c>
      <c r="G281" s="4">
        <v>197</v>
      </c>
      <c r="H281" t="s">
        <v>21</v>
      </c>
      <c r="I281" t="s">
        <v>26</v>
      </c>
      <c r="J281" s="4">
        <v>131</v>
      </c>
      <c r="K281" t="s">
        <v>21</v>
      </c>
      <c r="L281" t="s">
        <v>25</v>
      </c>
      <c r="M281" s="4">
        <v>0</v>
      </c>
      <c r="N281" t="s">
        <v>26</v>
      </c>
      <c r="O281" s="4">
        <v>0</v>
      </c>
      <c r="P281" s="5">
        <v>0.6</v>
      </c>
    </row>
    <row r="282" spans="1:16" x14ac:dyDescent="0.3">
      <c r="A282" s="4">
        <v>281</v>
      </c>
      <c r="B282" s="4">
        <v>57</v>
      </c>
      <c r="C282" t="s">
        <v>16</v>
      </c>
      <c r="D282" t="s">
        <v>17</v>
      </c>
      <c r="E282" t="s">
        <v>24</v>
      </c>
      <c r="F282" s="4">
        <v>110</v>
      </c>
      <c r="G282" s="4">
        <v>335</v>
      </c>
      <c r="H282" t="s">
        <v>21</v>
      </c>
      <c r="I282" t="s">
        <v>26</v>
      </c>
      <c r="J282" s="4">
        <v>143</v>
      </c>
      <c r="K282" t="s">
        <v>19</v>
      </c>
      <c r="L282" t="s">
        <v>25</v>
      </c>
      <c r="M282" s="4">
        <v>1</v>
      </c>
      <c r="N282" t="s">
        <v>27</v>
      </c>
      <c r="O282" s="4">
        <v>2</v>
      </c>
      <c r="P282" s="5">
        <v>3</v>
      </c>
    </row>
    <row r="283" spans="1:16" x14ac:dyDescent="0.3">
      <c r="A283" s="4">
        <v>282</v>
      </c>
      <c r="B283" s="4">
        <v>47</v>
      </c>
      <c r="C283" t="s">
        <v>16</v>
      </c>
      <c r="D283" t="s">
        <v>17</v>
      </c>
      <c r="E283" t="s">
        <v>28</v>
      </c>
      <c r="F283" s="4">
        <v>130</v>
      </c>
      <c r="G283" s="4">
        <v>253</v>
      </c>
      <c r="H283" t="s">
        <v>21</v>
      </c>
      <c r="I283" t="s">
        <v>26</v>
      </c>
      <c r="J283" s="4">
        <v>179</v>
      </c>
      <c r="K283" t="s">
        <v>21</v>
      </c>
      <c r="L283" t="s">
        <v>31</v>
      </c>
      <c r="M283" s="4">
        <v>0</v>
      </c>
      <c r="N283" t="s">
        <v>26</v>
      </c>
      <c r="O283" s="4">
        <v>0</v>
      </c>
      <c r="P283" s="5">
        <v>0</v>
      </c>
    </row>
    <row r="284" spans="1:16" x14ac:dyDescent="0.3">
      <c r="A284" s="4">
        <v>283</v>
      </c>
      <c r="B284" s="4">
        <v>55</v>
      </c>
      <c r="C284" t="s">
        <v>29</v>
      </c>
      <c r="D284" t="s">
        <v>17</v>
      </c>
      <c r="E284" t="s">
        <v>24</v>
      </c>
      <c r="F284" s="4">
        <v>128</v>
      </c>
      <c r="G284" s="4">
        <v>205</v>
      </c>
      <c r="H284" t="s">
        <v>21</v>
      </c>
      <c r="I284" t="s">
        <v>33</v>
      </c>
      <c r="J284" s="4">
        <v>130</v>
      </c>
      <c r="K284" t="s">
        <v>19</v>
      </c>
      <c r="L284" t="s">
        <v>25</v>
      </c>
      <c r="M284" s="4">
        <v>1</v>
      </c>
      <c r="N284" t="s">
        <v>27</v>
      </c>
      <c r="O284" s="4">
        <v>3</v>
      </c>
      <c r="P284" s="5">
        <v>2</v>
      </c>
    </row>
    <row r="285" spans="1:16" x14ac:dyDescent="0.3">
      <c r="A285" s="4">
        <v>284</v>
      </c>
      <c r="B285" s="4">
        <v>35</v>
      </c>
      <c r="C285" t="s">
        <v>16</v>
      </c>
      <c r="D285" t="s">
        <v>17</v>
      </c>
      <c r="E285" t="s">
        <v>30</v>
      </c>
      <c r="F285" s="4">
        <v>122</v>
      </c>
      <c r="G285" s="4">
        <v>192</v>
      </c>
      <c r="H285" t="s">
        <v>21</v>
      </c>
      <c r="I285" t="s">
        <v>26</v>
      </c>
      <c r="J285" s="4">
        <v>174</v>
      </c>
      <c r="K285" t="s">
        <v>21</v>
      </c>
      <c r="L285" t="s">
        <v>31</v>
      </c>
      <c r="M285" s="4">
        <v>0</v>
      </c>
      <c r="N285" t="s">
        <v>26</v>
      </c>
      <c r="O285" s="4">
        <v>0</v>
      </c>
      <c r="P285" s="5">
        <v>0</v>
      </c>
    </row>
    <row r="286" spans="1:16" x14ac:dyDescent="0.3">
      <c r="A286" s="4">
        <v>285</v>
      </c>
      <c r="B286" s="4">
        <v>61</v>
      </c>
      <c r="C286" t="s">
        <v>16</v>
      </c>
      <c r="D286" t="s">
        <v>17</v>
      </c>
      <c r="E286" t="s">
        <v>24</v>
      </c>
      <c r="F286" s="4">
        <v>148</v>
      </c>
      <c r="G286" s="4">
        <v>203</v>
      </c>
      <c r="H286" t="s">
        <v>21</v>
      </c>
      <c r="I286" t="s">
        <v>26</v>
      </c>
      <c r="J286" s="4">
        <v>161</v>
      </c>
      <c r="K286" t="s">
        <v>21</v>
      </c>
      <c r="L286" t="s">
        <v>31</v>
      </c>
      <c r="M286" s="4">
        <v>1</v>
      </c>
      <c r="N286" t="s">
        <v>27</v>
      </c>
      <c r="O286" s="4">
        <v>2</v>
      </c>
      <c r="P286" s="5">
        <v>0</v>
      </c>
    </row>
    <row r="287" spans="1:16" x14ac:dyDescent="0.3">
      <c r="A287" s="4">
        <v>286</v>
      </c>
      <c r="B287" s="4">
        <v>58</v>
      </c>
      <c r="C287" t="s">
        <v>16</v>
      </c>
      <c r="D287" t="s">
        <v>17</v>
      </c>
      <c r="E287" t="s">
        <v>24</v>
      </c>
      <c r="F287" s="4">
        <v>114</v>
      </c>
      <c r="G287" s="4">
        <v>318</v>
      </c>
      <c r="H287" t="s">
        <v>21</v>
      </c>
      <c r="I287" t="s">
        <v>33</v>
      </c>
      <c r="J287" s="4">
        <v>140</v>
      </c>
      <c r="K287" t="s">
        <v>21</v>
      </c>
      <c r="L287" t="s">
        <v>22</v>
      </c>
      <c r="M287" s="4">
        <v>3</v>
      </c>
      <c r="N287" t="s">
        <v>23</v>
      </c>
      <c r="O287" s="4">
        <v>4</v>
      </c>
      <c r="P287" s="5">
        <v>0.4</v>
      </c>
    </row>
    <row r="288" spans="1:16" x14ac:dyDescent="0.3">
      <c r="A288" s="4">
        <v>287</v>
      </c>
      <c r="B288" s="4">
        <v>58</v>
      </c>
      <c r="C288" t="s">
        <v>29</v>
      </c>
      <c r="D288" t="s">
        <v>17</v>
      </c>
      <c r="E288" t="s">
        <v>24</v>
      </c>
      <c r="F288" s="4">
        <v>170</v>
      </c>
      <c r="G288" s="4">
        <v>225</v>
      </c>
      <c r="H288" t="s">
        <v>19</v>
      </c>
      <c r="I288" t="s">
        <v>20</v>
      </c>
      <c r="J288" s="4">
        <v>146</v>
      </c>
      <c r="K288" t="s">
        <v>19</v>
      </c>
      <c r="L288" t="s">
        <v>25</v>
      </c>
      <c r="M288" s="4">
        <v>2</v>
      </c>
      <c r="N288" t="s">
        <v>23</v>
      </c>
      <c r="O288" s="4">
        <v>2</v>
      </c>
      <c r="P288" s="5">
        <v>0.8</v>
      </c>
    </row>
    <row r="289" spans="1:16" x14ac:dyDescent="0.3">
      <c r="A289" s="4">
        <v>288</v>
      </c>
      <c r="B289" s="4">
        <v>58</v>
      </c>
      <c r="C289" t="s">
        <v>16</v>
      </c>
      <c r="D289" t="s">
        <v>17</v>
      </c>
      <c r="E289" t="s">
        <v>30</v>
      </c>
      <c r="F289" s="4">
        <v>125</v>
      </c>
      <c r="G289" s="4">
        <v>220</v>
      </c>
      <c r="H289" t="s">
        <v>21</v>
      </c>
      <c r="I289" t="s">
        <v>26</v>
      </c>
      <c r="J289" s="4">
        <v>144</v>
      </c>
      <c r="K289" t="s">
        <v>21</v>
      </c>
      <c r="L289" t="s">
        <v>25</v>
      </c>
      <c r="N289" t="s">
        <v>27</v>
      </c>
      <c r="O289" s="4">
        <v>0</v>
      </c>
      <c r="P289" s="5">
        <v>0.4</v>
      </c>
    </row>
    <row r="290" spans="1:16" x14ac:dyDescent="0.3">
      <c r="A290" s="4">
        <v>289</v>
      </c>
      <c r="B290" s="4">
        <v>56</v>
      </c>
      <c r="C290" t="s">
        <v>16</v>
      </c>
      <c r="D290" t="s">
        <v>17</v>
      </c>
      <c r="E290" t="s">
        <v>30</v>
      </c>
      <c r="F290" s="4">
        <v>130</v>
      </c>
      <c r="G290" s="4">
        <v>221</v>
      </c>
      <c r="H290" t="s">
        <v>21</v>
      </c>
      <c r="I290" t="s">
        <v>20</v>
      </c>
      <c r="J290" s="4">
        <v>163</v>
      </c>
      <c r="K290" t="s">
        <v>21</v>
      </c>
      <c r="L290" t="s">
        <v>31</v>
      </c>
      <c r="M290" s="4">
        <v>0</v>
      </c>
      <c r="N290" t="s">
        <v>27</v>
      </c>
      <c r="O290" s="4">
        <v>0</v>
      </c>
      <c r="P290" s="5">
        <v>0</v>
      </c>
    </row>
    <row r="291" spans="1:16" x14ac:dyDescent="0.3">
      <c r="A291" s="4">
        <v>290</v>
      </c>
      <c r="B291" s="4">
        <v>56</v>
      </c>
      <c r="C291" t="s">
        <v>16</v>
      </c>
      <c r="D291" t="s">
        <v>17</v>
      </c>
      <c r="E291" t="s">
        <v>30</v>
      </c>
      <c r="F291" s="4">
        <v>120</v>
      </c>
      <c r="G291" s="4">
        <v>240</v>
      </c>
      <c r="H291" t="s">
        <v>21</v>
      </c>
      <c r="I291" t="s">
        <v>26</v>
      </c>
      <c r="J291" s="4">
        <v>169</v>
      </c>
      <c r="K291" t="s">
        <v>21</v>
      </c>
      <c r="L291" t="s">
        <v>22</v>
      </c>
      <c r="M291" s="4">
        <v>0</v>
      </c>
      <c r="N291" t="s">
        <v>26</v>
      </c>
      <c r="O291" s="4">
        <v>0</v>
      </c>
      <c r="P291" s="5">
        <v>0</v>
      </c>
    </row>
    <row r="292" spans="1:16" x14ac:dyDescent="0.3">
      <c r="A292" s="4">
        <v>291</v>
      </c>
      <c r="B292" s="4">
        <v>67</v>
      </c>
      <c r="C292" t="s">
        <v>16</v>
      </c>
      <c r="D292" t="s">
        <v>17</v>
      </c>
      <c r="E292" t="s">
        <v>28</v>
      </c>
      <c r="F292" s="4">
        <v>152</v>
      </c>
      <c r="G292" s="4">
        <v>212</v>
      </c>
      <c r="H292" t="s">
        <v>21</v>
      </c>
      <c r="I292" t="s">
        <v>20</v>
      </c>
      <c r="J292" s="4">
        <v>150</v>
      </c>
      <c r="K292" t="s">
        <v>21</v>
      </c>
      <c r="L292" t="s">
        <v>25</v>
      </c>
      <c r="M292" s="4">
        <v>0</v>
      </c>
      <c r="N292" t="s">
        <v>27</v>
      </c>
      <c r="O292" s="4">
        <v>1</v>
      </c>
      <c r="P292" s="5">
        <v>0.8</v>
      </c>
    </row>
    <row r="293" spans="1:16" x14ac:dyDescent="0.3">
      <c r="A293" s="4">
        <v>292</v>
      </c>
      <c r="B293" s="4">
        <v>55</v>
      </c>
      <c r="C293" t="s">
        <v>29</v>
      </c>
      <c r="D293" t="s">
        <v>17</v>
      </c>
      <c r="E293" t="s">
        <v>30</v>
      </c>
      <c r="F293" s="4">
        <v>132</v>
      </c>
      <c r="G293" s="4">
        <v>342</v>
      </c>
      <c r="H293" t="s">
        <v>21</v>
      </c>
      <c r="I293" t="s">
        <v>26</v>
      </c>
      <c r="J293" s="4">
        <v>166</v>
      </c>
      <c r="K293" t="s">
        <v>21</v>
      </c>
      <c r="L293" t="s">
        <v>31</v>
      </c>
      <c r="M293" s="4">
        <v>0</v>
      </c>
      <c r="N293" t="s">
        <v>26</v>
      </c>
      <c r="O293" s="4">
        <v>0</v>
      </c>
      <c r="P293" s="5">
        <v>0.2</v>
      </c>
    </row>
    <row r="294" spans="1:16" x14ac:dyDescent="0.3">
      <c r="A294" s="4">
        <v>293</v>
      </c>
      <c r="B294" s="4">
        <v>44</v>
      </c>
      <c r="C294" t="s">
        <v>16</v>
      </c>
      <c r="D294" t="s">
        <v>17</v>
      </c>
      <c r="E294" t="s">
        <v>24</v>
      </c>
      <c r="F294" s="4">
        <v>120</v>
      </c>
      <c r="G294" s="4">
        <v>169</v>
      </c>
      <c r="H294" t="s">
        <v>21</v>
      </c>
      <c r="I294" t="s">
        <v>26</v>
      </c>
      <c r="J294" s="4">
        <v>144</v>
      </c>
      <c r="K294" t="s">
        <v>19</v>
      </c>
      <c r="L294" t="s">
        <v>22</v>
      </c>
      <c r="M294" s="4">
        <v>0</v>
      </c>
      <c r="N294" t="s">
        <v>23</v>
      </c>
      <c r="O294" s="4">
        <v>2</v>
      </c>
      <c r="P294" s="5">
        <v>0.8</v>
      </c>
    </row>
    <row r="295" spans="1:16" x14ac:dyDescent="0.3">
      <c r="A295" s="4">
        <v>294</v>
      </c>
      <c r="B295" s="4">
        <v>63</v>
      </c>
      <c r="C295" t="s">
        <v>16</v>
      </c>
      <c r="D295" t="s">
        <v>17</v>
      </c>
      <c r="E295" t="s">
        <v>24</v>
      </c>
      <c r="F295" s="4">
        <v>140</v>
      </c>
      <c r="G295" s="4">
        <v>187</v>
      </c>
      <c r="H295" t="s">
        <v>21</v>
      </c>
      <c r="I295" t="s">
        <v>20</v>
      </c>
      <c r="J295" s="4">
        <v>144</v>
      </c>
      <c r="K295" t="s">
        <v>19</v>
      </c>
      <c r="L295" t="s">
        <v>31</v>
      </c>
      <c r="M295" s="4">
        <v>2</v>
      </c>
      <c r="N295" t="s">
        <v>27</v>
      </c>
      <c r="O295" s="4">
        <v>2</v>
      </c>
      <c r="P295" s="5">
        <v>4</v>
      </c>
    </row>
    <row r="296" spans="1:16" x14ac:dyDescent="0.3">
      <c r="A296" s="4">
        <v>295</v>
      </c>
      <c r="B296" s="4">
        <v>63</v>
      </c>
      <c r="C296" t="s">
        <v>29</v>
      </c>
      <c r="D296" t="s">
        <v>17</v>
      </c>
      <c r="E296" t="s">
        <v>24</v>
      </c>
      <c r="F296" s="4">
        <v>124</v>
      </c>
      <c r="G296" s="4">
        <v>197</v>
      </c>
      <c r="H296" t="s">
        <v>21</v>
      </c>
      <c r="I296" t="s">
        <v>26</v>
      </c>
      <c r="J296" s="4">
        <v>136</v>
      </c>
      <c r="K296" t="s">
        <v>19</v>
      </c>
      <c r="L296" t="s">
        <v>25</v>
      </c>
      <c r="M296" s="4">
        <v>0</v>
      </c>
      <c r="N296" t="s">
        <v>26</v>
      </c>
      <c r="O296" s="4">
        <v>1</v>
      </c>
      <c r="P296" s="5">
        <v>0</v>
      </c>
    </row>
    <row r="297" spans="1:16" x14ac:dyDescent="0.3">
      <c r="A297" s="4">
        <v>296</v>
      </c>
      <c r="B297" s="4">
        <v>41</v>
      </c>
      <c r="C297" t="s">
        <v>16</v>
      </c>
      <c r="D297" t="s">
        <v>17</v>
      </c>
      <c r="E297" t="s">
        <v>30</v>
      </c>
      <c r="F297" s="4">
        <v>120</v>
      </c>
      <c r="G297" s="4">
        <v>157</v>
      </c>
      <c r="H297" t="s">
        <v>21</v>
      </c>
      <c r="I297" t="s">
        <v>26</v>
      </c>
      <c r="J297" s="4">
        <v>182</v>
      </c>
      <c r="K297" t="s">
        <v>21</v>
      </c>
      <c r="L297" t="s">
        <v>31</v>
      </c>
      <c r="M297" s="4">
        <v>0</v>
      </c>
      <c r="N297" t="s">
        <v>26</v>
      </c>
      <c r="O297" s="4">
        <v>0</v>
      </c>
      <c r="P297" s="5">
        <v>0</v>
      </c>
    </row>
    <row r="298" spans="1:16" x14ac:dyDescent="0.3">
      <c r="A298" s="4">
        <v>297</v>
      </c>
      <c r="B298" s="4">
        <v>59</v>
      </c>
      <c r="C298" t="s">
        <v>16</v>
      </c>
      <c r="D298" t="s">
        <v>17</v>
      </c>
      <c r="E298" t="s">
        <v>24</v>
      </c>
      <c r="F298" s="4">
        <v>164</v>
      </c>
      <c r="G298" s="4">
        <v>176</v>
      </c>
      <c r="H298" t="s">
        <v>19</v>
      </c>
      <c r="I298" t="s">
        <v>20</v>
      </c>
      <c r="J298" s="4">
        <v>90</v>
      </c>
      <c r="K298" t="s">
        <v>21</v>
      </c>
      <c r="L298" t="s">
        <v>25</v>
      </c>
      <c r="M298" s="4">
        <v>2</v>
      </c>
      <c r="N298" t="s">
        <v>23</v>
      </c>
      <c r="O298" s="4">
        <v>3</v>
      </c>
      <c r="P298" s="5">
        <v>1</v>
      </c>
    </row>
    <row r="299" spans="1:16" x14ac:dyDescent="0.3">
      <c r="A299" s="4">
        <v>298</v>
      </c>
      <c r="B299" s="4">
        <v>57</v>
      </c>
      <c r="C299" t="s">
        <v>29</v>
      </c>
      <c r="D299" t="s">
        <v>17</v>
      </c>
      <c r="E299" t="s">
        <v>24</v>
      </c>
      <c r="F299" s="4">
        <v>140</v>
      </c>
      <c r="G299" s="4">
        <v>241</v>
      </c>
      <c r="H299" t="s">
        <v>21</v>
      </c>
      <c r="I299" t="s">
        <v>26</v>
      </c>
      <c r="J299" s="4">
        <v>123</v>
      </c>
      <c r="K299" t="s">
        <v>19</v>
      </c>
      <c r="L299" t="s">
        <v>25</v>
      </c>
      <c r="M299" s="4">
        <v>0</v>
      </c>
      <c r="N299" t="s">
        <v>27</v>
      </c>
      <c r="O299" s="4">
        <v>1</v>
      </c>
      <c r="P299" s="5">
        <v>0.2</v>
      </c>
    </row>
    <row r="300" spans="1:16" x14ac:dyDescent="0.3">
      <c r="A300" s="4">
        <v>299</v>
      </c>
      <c r="B300" s="4">
        <v>45</v>
      </c>
      <c r="C300" t="s">
        <v>16</v>
      </c>
      <c r="D300" t="s">
        <v>17</v>
      </c>
      <c r="E300" t="s">
        <v>18</v>
      </c>
      <c r="F300" s="4">
        <v>110</v>
      </c>
      <c r="G300" s="4">
        <v>264</v>
      </c>
      <c r="H300" t="s">
        <v>21</v>
      </c>
      <c r="I300" t="s">
        <v>26</v>
      </c>
      <c r="J300" s="4">
        <v>132</v>
      </c>
      <c r="K300" t="s">
        <v>21</v>
      </c>
      <c r="L300" t="s">
        <v>25</v>
      </c>
      <c r="M300" s="4">
        <v>0</v>
      </c>
      <c r="N300" t="s">
        <v>27</v>
      </c>
      <c r="O300" s="4">
        <v>1</v>
      </c>
      <c r="P300" s="5">
        <v>0.2</v>
      </c>
    </row>
    <row r="301" spans="1:16" x14ac:dyDescent="0.3">
      <c r="A301" s="4">
        <v>300</v>
      </c>
      <c r="B301" s="4">
        <v>68</v>
      </c>
      <c r="C301" t="s">
        <v>16</v>
      </c>
      <c r="D301" t="s">
        <v>17</v>
      </c>
      <c r="E301" t="s">
        <v>24</v>
      </c>
      <c r="F301" s="4">
        <v>144</v>
      </c>
      <c r="G301" s="4">
        <v>193</v>
      </c>
      <c r="H301" t="s">
        <v>19</v>
      </c>
      <c r="I301" t="s">
        <v>26</v>
      </c>
      <c r="J301" s="4">
        <v>141</v>
      </c>
      <c r="K301" t="s">
        <v>21</v>
      </c>
      <c r="L301" t="s">
        <v>25</v>
      </c>
      <c r="M301" s="4">
        <v>2</v>
      </c>
      <c r="N301" t="s">
        <v>27</v>
      </c>
      <c r="O301" s="4">
        <v>2</v>
      </c>
      <c r="P301" s="5">
        <v>0.4</v>
      </c>
    </row>
    <row r="302" spans="1:16" x14ac:dyDescent="0.3">
      <c r="A302" s="4">
        <v>301</v>
      </c>
      <c r="B302" s="4">
        <v>57</v>
      </c>
      <c r="C302" t="s">
        <v>16</v>
      </c>
      <c r="D302" t="s">
        <v>17</v>
      </c>
      <c r="E302" t="s">
        <v>24</v>
      </c>
      <c r="F302" s="4">
        <v>130</v>
      </c>
      <c r="G302" s="4">
        <v>131</v>
      </c>
      <c r="H302" t="s">
        <v>21</v>
      </c>
      <c r="I302" t="s">
        <v>26</v>
      </c>
      <c r="J302" s="4">
        <v>115</v>
      </c>
      <c r="K302" t="s">
        <v>19</v>
      </c>
      <c r="L302" t="s">
        <v>25</v>
      </c>
      <c r="M302" s="4">
        <v>1</v>
      </c>
      <c r="N302" t="s">
        <v>27</v>
      </c>
      <c r="O302" s="4">
        <v>3</v>
      </c>
      <c r="P302" s="5">
        <v>0.2</v>
      </c>
    </row>
    <row r="303" spans="1:16" x14ac:dyDescent="0.3">
      <c r="A303" s="4">
        <v>302</v>
      </c>
      <c r="B303" s="4">
        <v>57</v>
      </c>
      <c r="C303" t="s">
        <v>29</v>
      </c>
      <c r="D303" t="s">
        <v>17</v>
      </c>
      <c r="E303" t="s">
        <v>30</v>
      </c>
      <c r="F303" s="4">
        <v>130</v>
      </c>
      <c r="G303" s="4">
        <v>236</v>
      </c>
      <c r="H303" t="s">
        <v>21</v>
      </c>
      <c r="I303" t="s">
        <v>20</v>
      </c>
      <c r="J303" s="4">
        <v>174</v>
      </c>
      <c r="K303" t="s">
        <v>21</v>
      </c>
      <c r="L303" t="s">
        <v>25</v>
      </c>
      <c r="M303" s="4">
        <v>1</v>
      </c>
      <c r="N303" t="s">
        <v>26</v>
      </c>
      <c r="O303" s="4">
        <v>1</v>
      </c>
      <c r="P303" s="5">
        <v>0</v>
      </c>
    </row>
    <row r="304" spans="1:16" x14ac:dyDescent="0.3">
      <c r="A304" s="4">
        <v>303</v>
      </c>
      <c r="B304" s="4">
        <v>38</v>
      </c>
      <c r="C304" t="s">
        <v>16</v>
      </c>
      <c r="D304" t="s">
        <v>17</v>
      </c>
      <c r="E304" t="s">
        <v>28</v>
      </c>
      <c r="F304" s="4">
        <v>138</v>
      </c>
      <c r="G304" s="4">
        <v>175</v>
      </c>
      <c r="H304" t="s">
        <v>21</v>
      </c>
      <c r="I304" t="s">
        <v>26</v>
      </c>
      <c r="J304" s="4">
        <v>173</v>
      </c>
      <c r="K304" t="s">
        <v>21</v>
      </c>
      <c r="L304" t="s">
        <v>31</v>
      </c>
      <c r="N304" t="s">
        <v>26</v>
      </c>
      <c r="O304" s="4">
        <v>0</v>
      </c>
      <c r="P304" s="5">
        <v>0</v>
      </c>
    </row>
    <row r="305" spans="1:16" x14ac:dyDescent="0.3">
      <c r="A305" s="4">
        <v>304</v>
      </c>
      <c r="B305" s="4">
        <v>28</v>
      </c>
      <c r="C305" t="s">
        <v>16</v>
      </c>
      <c r="D305" t="s">
        <v>17</v>
      </c>
      <c r="E305" t="s">
        <v>30</v>
      </c>
      <c r="F305" s="4">
        <v>130</v>
      </c>
      <c r="G305" s="4">
        <v>132</v>
      </c>
      <c r="H305" t="s">
        <v>21</v>
      </c>
      <c r="I305" t="s">
        <v>20</v>
      </c>
      <c r="J305" s="4">
        <v>185</v>
      </c>
      <c r="K305" t="s">
        <v>21</v>
      </c>
      <c r="L305" t="s">
        <v>32</v>
      </c>
      <c r="N305" t="s">
        <v>32</v>
      </c>
      <c r="O305" s="4">
        <v>0</v>
      </c>
      <c r="P305" s="5">
        <v>0</v>
      </c>
    </row>
    <row r="306" spans="1:16" x14ac:dyDescent="0.3">
      <c r="A306" s="4">
        <v>305</v>
      </c>
      <c r="B306" s="4">
        <v>29</v>
      </c>
      <c r="C306" t="s">
        <v>16</v>
      </c>
      <c r="D306" t="s">
        <v>34</v>
      </c>
      <c r="E306" t="s">
        <v>30</v>
      </c>
      <c r="F306" s="4">
        <v>120</v>
      </c>
      <c r="G306" s="4">
        <v>243</v>
      </c>
      <c r="H306" t="s">
        <v>21</v>
      </c>
      <c r="I306" t="s">
        <v>26</v>
      </c>
      <c r="J306" s="4">
        <v>160</v>
      </c>
      <c r="K306" t="s">
        <v>21</v>
      </c>
      <c r="L306" t="s">
        <v>32</v>
      </c>
      <c r="N306" t="s">
        <v>32</v>
      </c>
      <c r="O306" s="4">
        <v>0</v>
      </c>
      <c r="P306" s="5">
        <v>0</v>
      </c>
    </row>
    <row r="307" spans="1:16" x14ac:dyDescent="0.3">
      <c r="A307" s="4">
        <v>306</v>
      </c>
      <c r="B307" s="4">
        <v>29</v>
      </c>
      <c r="C307" t="s">
        <v>16</v>
      </c>
      <c r="D307" t="s">
        <v>34</v>
      </c>
      <c r="E307" t="s">
        <v>30</v>
      </c>
      <c r="F307" s="4">
        <v>140</v>
      </c>
      <c r="H307" t="s">
        <v>21</v>
      </c>
      <c r="I307" t="s">
        <v>26</v>
      </c>
      <c r="J307" s="4">
        <v>170</v>
      </c>
      <c r="K307" t="s">
        <v>21</v>
      </c>
      <c r="L307" t="s">
        <v>32</v>
      </c>
      <c r="N307" t="s">
        <v>32</v>
      </c>
      <c r="O307" s="4">
        <v>0</v>
      </c>
      <c r="P307" s="5">
        <v>0</v>
      </c>
    </row>
    <row r="308" spans="1:16" x14ac:dyDescent="0.3">
      <c r="A308" s="4">
        <v>307</v>
      </c>
      <c r="B308" s="4">
        <v>30</v>
      </c>
      <c r="C308" t="s">
        <v>29</v>
      </c>
      <c r="D308" t="s">
        <v>34</v>
      </c>
      <c r="E308" t="s">
        <v>18</v>
      </c>
      <c r="F308" s="4">
        <v>170</v>
      </c>
      <c r="G308" s="4">
        <v>237</v>
      </c>
      <c r="H308" t="s">
        <v>21</v>
      </c>
      <c r="I308" t="s">
        <v>33</v>
      </c>
      <c r="J308" s="4">
        <v>170</v>
      </c>
      <c r="K308" t="s">
        <v>21</v>
      </c>
      <c r="L308" t="s">
        <v>32</v>
      </c>
      <c r="N308" t="s">
        <v>23</v>
      </c>
      <c r="O308" s="4">
        <v>0</v>
      </c>
      <c r="P308" s="5">
        <v>0</v>
      </c>
    </row>
    <row r="309" spans="1:16" x14ac:dyDescent="0.3">
      <c r="A309" s="4">
        <v>308</v>
      </c>
      <c r="B309" s="4">
        <v>31</v>
      </c>
      <c r="C309" t="s">
        <v>29</v>
      </c>
      <c r="D309" t="s">
        <v>34</v>
      </c>
      <c r="E309" t="s">
        <v>30</v>
      </c>
      <c r="F309" s="4">
        <v>100</v>
      </c>
      <c r="G309" s="4">
        <v>219</v>
      </c>
      <c r="H309" t="s">
        <v>21</v>
      </c>
      <c r="I309" t="s">
        <v>33</v>
      </c>
      <c r="J309" s="4">
        <v>150</v>
      </c>
      <c r="K309" t="s">
        <v>21</v>
      </c>
      <c r="L309" t="s">
        <v>32</v>
      </c>
      <c r="N309" t="s">
        <v>32</v>
      </c>
      <c r="O309" s="4">
        <v>0</v>
      </c>
      <c r="P309" s="5">
        <v>0</v>
      </c>
    </row>
    <row r="310" spans="1:16" x14ac:dyDescent="0.3">
      <c r="A310" s="4">
        <v>309</v>
      </c>
      <c r="B310" s="4">
        <v>32</v>
      </c>
      <c r="C310" t="s">
        <v>29</v>
      </c>
      <c r="D310" t="s">
        <v>34</v>
      </c>
      <c r="E310" t="s">
        <v>30</v>
      </c>
      <c r="F310" s="4">
        <v>105</v>
      </c>
      <c r="G310" s="4">
        <v>198</v>
      </c>
      <c r="H310" t="s">
        <v>21</v>
      </c>
      <c r="I310" t="s">
        <v>26</v>
      </c>
      <c r="J310" s="4">
        <v>165</v>
      </c>
      <c r="K310" t="s">
        <v>21</v>
      </c>
      <c r="L310" t="s">
        <v>32</v>
      </c>
      <c r="N310" t="s">
        <v>32</v>
      </c>
      <c r="O310" s="4">
        <v>0</v>
      </c>
      <c r="P310" s="5">
        <v>0</v>
      </c>
    </row>
    <row r="311" spans="1:16" x14ac:dyDescent="0.3">
      <c r="A311" s="4">
        <v>310</v>
      </c>
      <c r="B311" s="4">
        <v>32</v>
      </c>
      <c r="C311" t="s">
        <v>16</v>
      </c>
      <c r="D311" t="s">
        <v>34</v>
      </c>
      <c r="E311" t="s">
        <v>30</v>
      </c>
      <c r="F311" s="4">
        <v>110</v>
      </c>
      <c r="G311" s="4">
        <v>225</v>
      </c>
      <c r="H311" t="s">
        <v>21</v>
      </c>
      <c r="I311" t="s">
        <v>26</v>
      </c>
      <c r="J311" s="4">
        <v>184</v>
      </c>
      <c r="K311" t="s">
        <v>21</v>
      </c>
      <c r="L311" t="s">
        <v>32</v>
      </c>
      <c r="N311" t="s">
        <v>32</v>
      </c>
      <c r="O311" s="4">
        <v>0</v>
      </c>
      <c r="P311" s="5">
        <v>0</v>
      </c>
    </row>
    <row r="312" spans="1:16" x14ac:dyDescent="0.3">
      <c r="A312" s="4">
        <v>311</v>
      </c>
      <c r="B312" s="4">
        <v>32</v>
      </c>
      <c r="C312" t="s">
        <v>16</v>
      </c>
      <c r="D312" t="s">
        <v>34</v>
      </c>
      <c r="E312" t="s">
        <v>30</v>
      </c>
      <c r="F312" s="4">
        <v>125</v>
      </c>
      <c r="G312" s="4">
        <v>254</v>
      </c>
      <c r="H312" t="s">
        <v>21</v>
      </c>
      <c r="I312" t="s">
        <v>26</v>
      </c>
      <c r="J312" s="4">
        <v>155</v>
      </c>
      <c r="K312" t="s">
        <v>21</v>
      </c>
      <c r="L312" t="s">
        <v>32</v>
      </c>
      <c r="N312" t="s">
        <v>32</v>
      </c>
      <c r="O312" s="4">
        <v>0</v>
      </c>
      <c r="P312" s="5">
        <v>0</v>
      </c>
    </row>
    <row r="313" spans="1:16" x14ac:dyDescent="0.3">
      <c r="A313" s="4">
        <v>312</v>
      </c>
      <c r="B313" s="4">
        <v>33</v>
      </c>
      <c r="C313" t="s">
        <v>16</v>
      </c>
      <c r="D313" t="s">
        <v>34</v>
      </c>
      <c r="E313" t="s">
        <v>28</v>
      </c>
      <c r="F313" s="4">
        <v>120</v>
      </c>
      <c r="G313" s="4">
        <v>298</v>
      </c>
      <c r="H313" t="s">
        <v>21</v>
      </c>
      <c r="I313" t="s">
        <v>26</v>
      </c>
      <c r="J313" s="4">
        <v>185</v>
      </c>
      <c r="K313" t="s">
        <v>21</v>
      </c>
      <c r="L313" t="s">
        <v>32</v>
      </c>
      <c r="N313" t="s">
        <v>32</v>
      </c>
      <c r="O313" s="4">
        <v>0</v>
      </c>
      <c r="P313" s="5">
        <v>0</v>
      </c>
    </row>
    <row r="314" spans="1:16" x14ac:dyDescent="0.3">
      <c r="A314" s="4">
        <v>313</v>
      </c>
      <c r="B314" s="4">
        <v>34</v>
      </c>
      <c r="C314" t="s">
        <v>29</v>
      </c>
      <c r="D314" t="s">
        <v>34</v>
      </c>
      <c r="E314" t="s">
        <v>30</v>
      </c>
      <c r="F314" s="4">
        <v>130</v>
      </c>
      <c r="G314" s="4">
        <v>161</v>
      </c>
      <c r="H314" t="s">
        <v>21</v>
      </c>
      <c r="I314" t="s">
        <v>26</v>
      </c>
      <c r="J314" s="4">
        <v>190</v>
      </c>
      <c r="K314" t="s">
        <v>21</v>
      </c>
      <c r="L314" t="s">
        <v>32</v>
      </c>
      <c r="N314" t="s">
        <v>32</v>
      </c>
      <c r="O314" s="4">
        <v>0</v>
      </c>
      <c r="P314" s="5">
        <v>0</v>
      </c>
    </row>
    <row r="315" spans="1:16" x14ac:dyDescent="0.3">
      <c r="A315" s="4">
        <v>314</v>
      </c>
      <c r="B315" s="4">
        <v>34</v>
      </c>
      <c r="C315" t="s">
        <v>16</v>
      </c>
      <c r="D315" t="s">
        <v>34</v>
      </c>
      <c r="E315" t="s">
        <v>30</v>
      </c>
      <c r="F315" s="4">
        <v>150</v>
      </c>
      <c r="G315" s="4">
        <v>214</v>
      </c>
      <c r="H315" t="s">
        <v>21</v>
      </c>
      <c r="I315" t="s">
        <v>33</v>
      </c>
      <c r="J315" s="4">
        <v>168</v>
      </c>
      <c r="K315" t="s">
        <v>21</v>
      </c>
      <c r="L315" t="s">
        <v>32</v>
      </c>
      <c r="N315" t="s">
        <v>32</v>
      </c>
      <c r="O315" s="4">
        <v>0</v>
      </c>
      <c r="P315" s="5">
        <v>0</v>
      </c>
    </row>
    <row r="316" spans="1:16" x14ac:dyDescent="0.3">
      <c r="A316" s="4">
        <v>315</v>
      </c>
      <c r="B316" s="4">
        <v>34</v>
      </c>
      <c r="C316" t="s">
        <v>16</v>
      </c>
      <c r="D316" t="s">
        <v>34</v>
      </c>
      <c r="E316" t="s">
        <v>30</v>
      </c>
      <c r="F316" s="4">
        <v>98</v>
      </c>
      <c r="G316" s="4">
        <v>220</v>
      </c>
      <c r="H316" t="s">
        <v>21</v>
      </c>
      <c r="I316" t="s">
        <v>26</v>
      </c>
      <c r="J316" s="4">
        <v>150</v>
      </c>
      <c r="K316" t="s">
        <v>21</v>
      </c>
      <c r="L316" t="s">
        <v>32</v>
      </c>
      <c r="N316" t="s">
        <v>32</v>
      </c>
      <c r="O316" s="4">
        <v>0</v>
      </c>
      <c r="P316" s="5">
        <v>0</v>
      </c>
    </row>
    <row r="317" spans="1:16" x14ac:dyDescent="0.3">
      <c r="A317" s="4">
        <v>316</v>
      </c>
      <c r="B317" s="4">
        <v>35</v>
      </c>
      <c r="C317" t="s">
        <v>29</v>
      </c>
      <c r="D317" t="s">
        <v>34</v>
      </c>
      <c r="E317" t="s">
        <v>18</v>
      </c>
      <c r="F317" s="4">
        <v>120</v>
      </c>
      <c r="G317" s="4">
        <v>160</v>
      </c>
      <c r="H317" t="s">
        <v>21</v>
      </c>
      <c r="I317" t="s">
        <v>33</v>
      </c>
      <c r="J317" s="4">
        <v>185</v>
      </c>
      <c r="K317" t="s">
        <v>21</v>
      </c>
      <c r="L317" t="s">
        <v>32</v>
      </c>
      <c r="N317" t="s">
        <v>32</v>
      </c>
      <c r="O317" s="4">
        <v>0</v>
      </c>
      <c r="P317" s="5">
        <v>0</v>
      </c>
    </row>
    <row r="318" spans="1:16" x14ac:dyDescent="0.3">
      <c r="A318" s="4">
        <v>317</v>
      </c>
      <c r="B318" s="4">
        <v>35</v>
      </c>
      <c r="C318" t="s">
        <v>29</v>
      </c>
      <c r="D318" t="s">
        <v>34</v>
      </c>
      <c r="E318" t="s">
        <v>24</v>
      </c>
      <c r="F318" s="4">
        <v>140</v>
      </c>
      <c r="G318" s="4">
        <v>167</v>
      </c>
      <c r="H318" t="s">
        <v>21</v>
      </c>
      <c r="I318" t="s">
        <v>26</v>
      </c>
      <c r="J318" s="4">
        <v>150</v>
      </c>
      <c r="K318" t="s">
        <v>21</v>
      </c>
      <c r="L318" t="s">
        <v>32</v>
      </c>
      <c r="N318" t="s">
        <v>32</v>
      </c>
      <c r="O318" s="4">
        <v>0</v>
      </c>
      <c r="P318" s="5">
        <v>0</v>
      </c>
    </row>
    <row r="319" spans="1:16" x14ac:dyDescent="0.3">
      <c r="A319" s="4">
        <v>318</v>
      </c>
      <c r="B319" s="4">
        <v>35</v>
      </c>
      <c r="C319" t="s">
        <v>16</v>
      </c>
      <c r="D319" t="s">
        <v>34</v>
      </c>
      <c r="E319" t="s">
        <v>30</v>
      </c>
      <c r="F319" s="4">
        <v>120</v>
      </c>
      <c r="G319" s="4">
        <v>308</v>
      </c>
      <c r="H319" t="s">
        <v>21</v>
      </c>
      <c r="I319" t="s">
        <v>20</v>
      </c>
      <c r="J319" s="4">
        <v>180</v>
      </c>
      <c r="K319" t="s">
        <v>21</v>
      </c>
      <c r="L319" t="s">
        <v>32</v>
      </c>
      <c r="N319" t="s">
        <v>32</v>
      </c>
      <c r="O319" s="4">
        <v>0</v>
      </c>
      <c r="P319" s="5">
        <v>0</v>
      </c>
    </row>
    <row r="320" spans="1:16" x14ac:dyDescent="0.3">
      <c r="A320" s="4">
        <v>319</v>
      </c>
      <c r="B320" s="4">
        <v>35</v>
      </c>
      <c r="C320" t="s">
        <v>16</v>
      </c>
      <c r="D320" t="s">
        <v>34</v>
      </c>
      <c r="E320" t="s">
        <v>30</v>
      </c>
      <c r="F320" s="4">
        <v>150</v>
      </c>
      <c r="G320" s="4">
        <v>264</v>
      </c>
      <c r="H320" t="s">
        <v>21</v>
      </c>
      <c r="I320" t="s">
        <v>26</v>
      </c>
      <c r="J320" s="4">
        <v>168</v>
      </c>
      <c r="K320" t="s">
        <v>21</v>
      </c>
      <c r="L320" t="s">
        <v>32</v>
      </c>
      <c r="N320" t="s">
        <v>32</v>
      </c>
      <c r="O320" s="4">
        <v>0</v>
      </c>
      <c r="P320" s="5">
        <v>0</v>
      </c>
    </row>
    <row r="321" spans="1:16" x14ac:dyDescent="0.3">
      <c r="A321" s="4">
        <v>320</v>
      </c>
      <c r="B321" s="4">
        <v>36</v>
      </c>
      <c r="C321" t="s">
        <v>16</v>
      </c>
      <c r="D321" t="s">
        <v>34</v>
      </c>
      <c r="E321" t="s">
        <v>30</v>
      </c>
      <c r="F321" s="4">
        <v>120</v>
      </c>
      <c r="G321" s="4">
        <v>166</v>
      </c>
      <c r="H321" t="s">
        <v>21</v>
      </c>
      <c r="I321" t="s">
        <v>26</v>
      </c>
      <c r="J321" s="4">
        <v>180</v>
      </c>
      <c r="K321" t="s">
        <v>21</v>
      </c>
      <c r="L321" t="s">
        <v>32</v>
      </c>
      <c r="N321" t="s">
        <v>32</v>
      </c>
      <c r="O321" s="4">
        <v>0</v>
      </c>
      <c r="P321" s="5">
        <v>0</v>
      </c>
    </row>
    <row r="322" spans="1:16" x14ac:dyDescent="0.3">
      <c r="A322" s="4">
        <v>321</v>
      </c>
      <c r="B322" s="4">
        <v>36</v>
      </c>
      <c r="C322" t="s">
        <v>16</v>
      </c>
      <c r="D322" t="s">
        <v>34</v>
      </c>
      <c r="E322" t="s">
        <v>28</v>
      </c>
      <c r="F322" s="4">
        <v>112</v>
      </c>
      <c r="G322" s="4">
        <v>340</v>
      </c>
      <c r="H322" t="s">
        <v>21</v>
      </c>
      <c r="I322" t="s">
        <v>26</v>
      </c>
      <c r="J322" s="4">
        <v>184</v>
      </c>
      <c r="K322" t="s">
        <v>21</v>
      </c>
      <c r="L322" t="s">
        <v>25</v>
      </c>
      <c r="N322" t="s">
        <v>26</v>
      </c>
      <c r="O322" s="4">
        <v>0</v>
      </c>
      <c r="P322" s="5">
        <v>1</v>
      </c>
    </row>
    <row r="323" spans="1:16" x14ac:dyDescent="0.3">
      <c r="A323" s="4">
        <v>322</v>
      </c>
      <c r="B323" s="4">
        <v>36</v>
      </c>
      <c r="C323" t="s">
        <v>16</v>
      </c>
      <c r="D323" t="s">
        <v>34</v>
      </c>
      <c r="E323" t="s">
        <v>28</v>
      </c>
      <c r="F323" s="4">
        <v>130</v>
      </c>
      <c r="G323" s="4">
        <v>209</v>
      </c>
      <c r="H323" t="s">
        <v>21</v>
      </c>
      <c r="I323" t="s">
        <v>26</v>
      </c>
      <c r="J323" s="4">
        <v>178</v>
      </c>
      <c r="K323" t="s">
        <v>21</v>
      </c>
      <c r="L323" t="s">
        <v>32</v>
      </c>
      <c r="N323" t="s">
        <v>32</v>
      </c>
      <c r="O323" s="4">
        <v>0</v>
      </c>
      <c r="P323" s="5">
        <v>0</v>
      </c>
    </row>
    <row r="324" spans="1:16" x14ac:dyDescent="0.3">
      <c r="A324" s="4">
        <v>323</v>
      </c>
      <c r="B324" s="4">
        <v>36</v>
      </c>
      <c r="C324" t="s">
        <v>16</v>
      </c>
      <c r="D324" t="s">
        <v>34</v>
      </c>
      <c r="E324" t="s">
        <v>28</v>
      </c>
      <c r="F324" s="4">
        <v>150</v>
      </c>
      <c r="G324" s="4">
        <v>160</v>
      </c>
      <c r="H324" t="s">
        <v>21</v>
      </c>
      <c r="I324" t="s">
        <v>26</v>
      </c>
      <c r="J324" s="4">
        <v>172</v>
      </c>
      <c r="K324" t="s">
        <v>21</v>
      </c>
      <c r="L324" t="s">
        <v>32</v>
      </c>
      <c r="N324" t="s">
        <v>32</v>
      </c>
      <c r="O324" s="4">
        <v>0</v>
      </c>
      <c r="P324" s="5">
        <v>0</v>
      </c>
    </row>
    <row r="325" spans="1:16" x14ac:dyDescent="0.3">
      <c r="A325" s="4">
        <v>324</v>
      </c>
      <c r="B325" s="4">
        <v>37</v>
      </c>
      <c r="C325" t="s">
        <v>29</v>
      </c>
      <c r="D325" t="s">
        <v>34</v>
      </c>
      <c r="E325" t="s">
        <v>30</v>
      </c>
      <c r="F325" s="4">
        <v>120</v>
      </c>
      <c r="G325" s="4">
        <v>260</v>
      </c>
      <c r="H325" t="s">
        <v>21</v>
      </c>
      <c r="I325" t="s">
        <v>26</v>
      </c>
      <c r="J325" s="4">
        <v>130</v>
      </c>
      <c r="K325" t="s">
        <v>21</v>
      </c>
      <c r="L325" t="s">
        <v>32</v>
      </c>
      <c r="N325" t="s">
        <v>32</v>
      </c>
      <c r="O325" s="4">
        <v>0</v>
      </c>
      <c r="P325" s="5">
        <v>0</v>
      </c>
    </row>
    <row r="326" spans="1:16" x14ac:dyDescent="0.3">
      <c r="A326" s="4">
        <v>325</v>
      </c>
      <c r="B326" s="4">
        <v>37</v>
      </c>
      <c r="C326" t="s">
        <v>29</v>
      </c>
      <c r="D326" t="s">
        <v>34</v>
      </c>
      <c r="E326" t="s">
        <v>28</v>
      </c>
      <c r="F326" s="4">
        <v>130</v>
      </c>
      <c r="G326" s="4">
        <v>211</v>
      </c>
      <c r="H326" t="s">
        <v>21</v>
      </c>
      <c r="I326" t="s">
        <v>26</v>
      </c>
      <c r="J326" s="4">
        <v>142</v>
      </c>
      <c r="K326" t="s">
        <v>21</v>
      </c>
      <c r="L326" t="s">
        <v>32</v>
      </c>
      <c r="N326" t="s">
        <v>32</v>
      </c>
      <c r="O326" s="4">
        <v>0</v>
      </c>
      <c r="P326" s="5">
        <v>0</v>
      </c>
    </row>
    <row r="327" spans="1:16" x14ac:dyDescent="0.3">
      <c r="A327" s="4">
        <v>326</v>
      </c>
      <c r="B327" s="4">
        <v>37</v>
      </c>
      <c r="C327" t="s">
        <v>29</v>
      </c>
      <c r="D327" t="s">
        <v>34</v>
      </c>
      <c r="E327" t="s">
        <v>24</v>
      </c>
      <c r="F327" s="4">
        <v>130</v>
      </c>
      <c r="G327" s="4">
        <v>173</v>
      </c>
      <c r="H327" t="s">
        <v>21</v>
      </c>
      <c r="I327" t="s">
        <v>33</v>
      </c>
      <c r="J327" s="4">
        <v>184</v>
      </c>
      <c r="K327" t="s">
        <v>21</v>
      </c>
      <c r="L327" t="s">
        <v>32</v>
      </c>
      <c r="N327" t="s">
        <v>32</v>
      </c>
      <c r="O327" s="4">
        <v>0</v>
      </c>
      <c r="P327" s="5">
        <v>0</v>
      </c>
    </row>
    <row r="328" spans="1:16" x14ac:dyDescent="0.3">
      <c r="A328" s="4">
        <v>327</v>
      </c>
      <c r="B328" s="4">
        <v>37</v>
      </c>
      <c r="C328" t="s">
        <v>16</v>
      </c>
      <c r="D328" t="s">
        <v>34</v>
      </c>
      <c r="E328" t="s">
        <v>30</v>
      </c>
      <c r="F328" s="4">
        <v>130</v>
      </c>
      <c r="G328" s="4">
        <v>283</v>
      </c>
      <c r="H328" t="s">
        <v>21</v>
      </c>
      <c r="I328" t="s">
        <v>33</v>
      </c>
      <c r="J328" s="4">
        <v>98</v>
      </c>
      <c r="K328" t="s">
        <v>21</v>
      </c>
      <c r="L328" t="s">
        <v>32</v>
      </c>
      <c r="N328" t="s">
        <v>32</v>
      </c>
      <c r="O328" s="4">
        <v>0</v>
      </c>
      <c r="P328" s="5">
        <v>0</v>
      </c>
    </row>
    <row r="329" spans="1:16" x14ac:dyDescent="0.3">
      <c r="A329" s="4">
        <v>328</v>
      </c>
      <c r="B329" s="4">
        <v>37</v>
      </c>
      <c r="C329" t="s">
        <v>16</v>
      </c>
      <c r="D329" t="s">
        <v>34</v>
      </c>
      <c r="E329" t="s">
        <v>28</v>
      </c>
      <c r="F329" s="4">
        <v>130</v>
      </c>
      <c r="G329" s="4">
        <v>194</v>
      </c>
      <c r="H329" t="s">
        <v>21</v>
      </c>
      <c r="I329" t="s">
        <v>26</v>
      </c>
      <c r="J329" s="4">
        <v>150</v>
      </c>
      <c r="K329" t="s">
        <v>21</v>
      </c>
      <c r="L329" t="s">
        <v>32</v>
      </c>
      <c r="N329" t="s">
        <v>32</v>
      </c>
      <c r="O329" s="4">
        <v>0</v>
      </c>
      <c r="P329" s="5">
        <v>0</v>
      </c>
    </row>
    <row r="330" spans="1:16" x14ac:dyDescent="0.3">
      <c r="A330" s="4">
        <v>329</v>
      </c>
      <c r="B330" s="4">
        <v>37</v>
      </c>
      <c r="C330" t="s">
        <v>16</v>
      </c>
      <c r="D330" t="s">
        <v>34</v>
      </c>
      <c r="E330" t="s">
        <v>24</v>
      </c>
      <c r="F330" s="4">
        <v>120</v>
      </c>
      <c r="G330" s="4">
        <v>223</v>
      </c>
      <c r="H330" t="s">
        <v>21</v>
      </c>
      <c r="I330" t="s">
        <v>26</v>
      </c>
      <c r="J330" s="4">
        <v>168</v>
      </c>
      <c r="K330" t="s">
        <v>21</v>
      </c>
      <c r="L330" t="s">
        <v>32</v>
      </c>
      <c r="N330" t="s">
        <v>26</v>
      </c>
      <c r="O330" s="4">
        <v>0</v>
      </c>
      <c r="P330" s="5">
        <v>0</v>
      </c>
    </row>
    <row r="331" spans="1:16" x14ac:dyDescent="0.3">
      <c r="A331" s="4">
        <v>330</v>
      </c>
      <c r="B331" s="4">
        <v>37</v>
      </c>
      <c r="C331" t="s">
        <v>16</v>
      </c>
      <c r="D331" t="s">
        <v>34</v>
      </c>
      <c r="E331" t="s">
        <v>24</v>
      </c>
      <c r="F331" s="4">
        <v>130</v>
      </c>
      <c r="G331" s="4">
        <v>315</v>
      </c>
      <c r="H331" t="s">
        <v>21</v>
      </c>
      <c r="I331" t="s">
        <v>26</v>
      </c>
      <c r="J331" s="4">
        <v>158</v>
      </c>
      <c r="K331" t="s">
        <v>21</v>
      </c>
      <c r="L331" t="s">
        <v>32</v>
      </c>
      <c r="N331" t="s">
        <v>32</v>
      </c>
      <c r="O331" s="4">
        <v>0</v>
      </c>
      <c r="P331" s="5">
        <v>0</v>
      </c>
    </row>
    <row r="332" spans="1:16" x14ac:dyDescent="0.3">
      <c r="A332" s="4">
        <v>331</v>
      </c>
      <c r="B332" s="4">
        <v>38</v>
      </c>
      <c r="C332" t="s">
        <v>29</v>
      </c>
      <c r="D332" t="s">
        <v>34</v>
      </c>
      <c r="E332" t="s">
        <v>30</v>
      </c>
      <c r="F332" s="4">
        <v>120</v>
      </c>
      <c r="G332" s="4">
        <v>275</v>
      </c>
      <c r="H332" t="s">
        <v>32</v>
      </c>
      <c r="I332" t="s">
        <v>26</v>
      </c>
      <c r="J332" s="4">
        <v>129</v>
      </c>
      <c r="K332" t="s">
        <v>21</v>
      </c>
      <c r="L332" t="s">
        <v>32</v>
      </c>
      <c r="N332" t="s">
        <v>32</v>
      </c>
      <c r="O332" s="4">
        <v>0</v>
      </c>
      <c r="P332" s="5">
        <v>0</v>
      </c>
    </row>
    <row r="333" spans="1:16" x14ac:dyDescent="0.3">
      <c r="A333" s="4">
        <v>332</v>
      </c>
      <c r="B333" s="4">
        <v>38</v>
      </c>
      <c r="C333" t="s">
        <v>16</v>
      </c>
      <c r="D333" t="s">
        <v>34</v>
      </c>
      <c r="E333" t="s">
        <v>30</v>
      </c>
      <c r="F333" s="4">
        <v>140</v>
      </c>
      <c r="G333" s="4">
        <v>297</v>
      </c>
      <c r="H333" t="s">
        <v>21</v>
      </c>
      <c r="I333" t="s">
        <v>26</v>
      </c>
      <c r="J333" s="4">
        <v>150</v>
      </c>
      <c r="K333" t="s">
        <v>21</v>
      </c>
      <c r="L333" t="s">
        <v>32</v>
      </c>
      <c r="N333" t="s">
        <v>32</v>
      </c>
      <c r="O333" s="4">
        <v>0</v>
      </c>
      <c r="P333" s="5">
        <v>0</v>
      </c>
    </row>
    <row r="334" spans="1:16" x14ac:dyDescent="0.3">
      <c r="A334" s="4">
        <v>333</v>
      </c>
      <c r="B334" s="4">
        <v>38</v>
      </c>
      <c r="C334" t="s">
        <v>16</v>
      </c>
      <c r="D334" t="s">
        <v>34</v>
      </c>
      <c r="E334" t="s">
        <v>28</v>
      </c>
      <c r="F334" s="4">
        <v>145</v>
      </c>
      <c r="G334" s="4">
        <v>292</v>
      </c>
      <c r="H334" t="s">
        <v>21</v>
      </c>
      <c r="I334" t="s">
        <v>26</v>
      </c>
      <c r="J334" s="4">
        <v>130</v>
      </c>
      <c r="K334" t="s">
        <v>21</v>
      </c>
      <c r="L334" t="s">
        <v>32</v>
      </c>
      <c r="N334" t="s">
        <v>32</v>
      </c>
      <c r="O334" s="4">
        <v>0</v>
      </c>
      <c r="P334" s="5">
        <v>0</v>
      </c>
    </row>
    <row r="335" spans="1:16" x14ac:dyDescent="0.3">
      <c r="A335" s="4">
        <v>334</v>
      </c>
      <c r="B335" s="4">
        <v>39</v>
      </c>
      <c r="C335" t="s">
        <v>29</v>
      </c>
      <c r="D335" t="s">
        <v>34</v>
      </c>
      <c r="E335" t="s">
        <v>28</v>
      </c>
      <c r="F335" s="4">
        <v>110</v>
      </c>
      <c r="G335" s="4">
        <v>182</v>
      </c>
      <c r="H335" t="s">
        <v>21</v>
      </c>
      <c r="I335" t="s">
        <v>33</v>
      </c>
      <c r="J335" s="4">
        <v>180</v>
      </c>
      <c r="K335" t="s">
        <v>21</v>
      </c>
      <c r="L335" t="s">
        <v>32</v>
      </c>
      <c r="N335" t="s">
        <v>32</v>
      </c>
      <c r="O335" s="4">
        <v>0</v>
      </c>
      <c r="P335" s="5">
        <v>0</v>
      </c>
    </row>
    <row r="336" spans="1:16" x14ac:dyDescent="0.3">
      <c r="A336" s="4">
        <v>335</v>
      </c>
      <c r="B336" s="4">
        <v>39</v>
      </c>
      <c r="C336" t="s">
        <v>16</v>
      </c>
      <c r="D336" t="s">
        <v>34</v>
      </c>
      <c r="E336" t="s">
        <v>30</v>
      </c>
      <c r="F336" s="4">
        <v>120</v>
      </c>
      <c r="H336" t="s">
        <v>21</v>
      </c>
      <c r="I336" t="s">
        <v>33</v>
      </c>
      <c r="J336" s="4">
        <v>146</v>
      </c>
      <c r="K336" t="s">
        <v>21</v>
      </c>
      <c r="L336" t="s">
        <v>31</v>
      </c>
      <c r="N336" t="s">
        <v>32</v>
      </c>
      <c r="O336" s="4">
        <v>0</v>
      </c>
      <c r="P336" s="5">
        <v>2</v>
      </c>
    </row>
    <row r="337" spans="1:16" x14ac:dyDescent="0.3">
      <c r="A337" s="4">
        <v>336</v>
      </c>
      <c r="B337" s="4">
        <v>39</v>
      </c>
      <c r="C337" t="s">
        <v>16</v>
      </c>
      <c r="D337" t="s">
        <v>34</v>
      </c>
      <c r="E337" t="s">
        <v>30</v>
      </c>
      <c r="F337" s="4">
        <v>120</v>
      </c>
      <c r="G337" s="4">
        <v>200</v>
      </c>
      <c r="H337" t="s">
        <v>21</v>
      </c>
      <c r="I337" t="s">
        <v>26</v>
      </c>
      <c r="J337" s="4">
        <v>160</v>
      </c>
      <c r="K337" t="s">
        <v>19</v>
      </c>
      <c r="L337" t="s">
        <v>25</v>
      </c>
      <c r="N337" t="s">
        <v>32</v>
      </c>
      <c r="O337" s="4">
        <v>0</v>
      </c>
      <c r="P337" s="5">
        <v>1</v>
      </c>
    </row>
    <row r="338" spans="1:16" x14ac:dyDescent="0.3">
      <c r="A338" s="4">
        <v>337</v>
      </c>
      <c r="B338" s="4">
        <v>39</v>
      </c>
      <c r="C338" t="s">
        <v>16</v>
      </c>
      <c r="D338" t="s">
        <v>34</v>
      </c>
      <c r="E338" t="s">
        <v>30</v>
      </c>
      <c r="F338" s="4">
        <v>120</v>
      </c>
      <c r="G338" s="4">
        <v>204</v>
      </c>
      <c r="H338" t="s">
        <v>21</v>
      </c>
      <c r="I338" t="s">
        <v>26</v>
      </c>
      <c r="J338" s="4">
        <v>145</v>
      </c>
      <c r="K338" t="s">
        <v>21</v>
      </c>
      <c r="L338" t="s">
        <v>32</v>
      </c>
      <c r="N338" t="s">
        <v>32</v>
      </c>
      <c r="O338" s="4">
        <v>0</v>
      </c>
      <c r="P338" s="5">
        <v>0</v>
      </c>
    </row>
    <row r="339" spans="1:16" x14ac:dyDescent="0.3">
      <c r="A339" s="4">
        <v>338</v>
      </c>
      <c r="B339" s="4">
        <v>39</v>
      </c>
      <c r="C339" t="s">
        <v>16</v>
      </c>
      <c r="D339" t="s">
        <v>34</v>
      </c>
      <c r="E339" t="s">
        <v>30</v>
      </c>
      <c r="F339" s="4">
        <v>130</v>
      </c>
      <c r="H339" t="s">
        <v>21</v>
      </c>
      <c r="I339" t="s">
        <v>26</v>
      </c>
      <c r="J339" s="4">
        <v>120</v>
      </c>
      <c r="K339" t="s">
        <v>21</v>
      </c>
      <c r="L339" t="s">
        <v>32</v>
      </c>
      <c r="N339" t="s">
        <v>32</v>
      </c>
      <c r="O339" s="4">
        <v>0</v>
      </c>
      <c r="P339" s="5">
        <v>0</v>
      </c>
    </row>
    <row r="340" spans="1:16" x14ac:dyDescent="0.3">
      <c r="A340" s="4">
        <v>339</v>
      </c>
      <c r="B340" s="4">
        <v>39</v>
      </c>
      <c r="C340" t="s">
        <v>16</v>
      </c>
      <c r="D340" t="s">
        <v>34</v>
      </c>
      <c r="E340" t="s">
        <v>30</v>
      </c>
      <c r="F340" s="4">
        <v>190</v>
      </c>
      <c r="G340" s="4">
        <v>241</v>
      </c>
      <c r="H340" t="s">
        <v>21</v>
      </c>
      <c r="I340" t="s">
        <v>26</v>
      </c>
      <c r="J340" s="4">
        <v>106</v>
      </c>
      <c r="K340" t="s">
        <v>21</v>
      </c>
      <c r="L340" t="s">
        <v>32</v>
      </c>
      <c r="N340" t="s">
        <v>32</v>
      </c>
      <c r="O340" s="4">
        <v>0</v>
      </c>
      <c r="P340" s="5">
        <v>0</v>
      </c>
    </row>
    <row r="341" spans="1:16" x14ac:dyDescent="0.3">
      <c r="A341" s="4">
        <v>340</v>
      </c>
      <c r="B341" s="4">
        <v>39</v>
      </c>
      <c r="C341" t="s">
        <v>16</v>
      </c>
      <c r="D341" t="s">
        <v>34</v>
      </c>
      <c r="E341" t="s">
        <v>28</v>
      </c>
      <c r="F341" s="4">
        <v>120</v>
      </c>
      <c r="G341" s="4">
        <v>339</v>
      </c>
      <c r="H341" t="s">
        <v>21</v>
      </c>
      <c r="I341" t="s">
        <v>26</v>
      </c>
      <c r="J341" s="4">
        <v>170</v>
      </c>
      <c r="K341" t="s">
        <v>21</v>
      </c>
      <c r="L341" t="s">
        <v>32</v>
      </c>
      <c r="N341" t="s">
        <v>32</v>
      </c>
      <c r="O341" s="4">
        <v>0</v>
      </c>
      <c r="P341" s="5">
        <v>0</v>
      </c>
    </row>
    <row r="342" spans="1:16" x14ac:dyDescent="0.3">
      <c r="A342" s="4">
        <v>341</v>
      </c>
      <c r="B342" s="4">
        <v>39</v>
      </c>
      <c r="C342" t="s">
        <v>16</v>
      </c>
      <c r="D342" t="s">
        <v>34</v>
      </c>
      <c r="E342" t="s">
        <v>28</v>
      </c>
      <c r="F342" s="4">
        <v>160</v>
      </c>
      <c r="G342" s="4">
        <v>147</v>
      </c>
      <c r="H342" t="s">
        <v>19</v>
      </c>
      <c r="I342" t="s">
        <v>26</v>
      </c>
      <c r="J342" s="4">
        <v>160</v>
      </c>
      <c r="K342" t="s">
        <v>21</v>
      </c>
      <c r="L342" t="s">
        <v>32</v>
      </c>
      <c r="N342" t="s">
        <v>32</v>
      </c>
      <c r="O342" s="4">
        <v>0</v>
      </c>
      <c r="P342" s="5">
        <v>0</v>
      </c>
    </row>
    <row r="343" spans="1:16" x14ac:dyDescent="0.3">
      <c r="A343" s="4">
        <v>342</v>
      </c>
      <c r="B343" s="4">
        <v>39</v>
      </c>
      <c r="C343" t="s">
        <v>16</v>
      </c>
      <c r="D343" t="s">
        <v>34</v>
      </c>
      <c r="E343" t="s">
        <v>24</v>
      </c>
      <c r="F343" s="4">
        <v>110</v>
      </c>
      <c r="G343" s="4">
        <v>273</v>
      </c>
      <c r="H343" t="s">
        <v>21</v>
      </c>
      <c r="I343" t="s">
        <v>26</v>
      </c>
      <c r="J343" s="4">
        <v>132</v>
      </c>
      <c r="K343" t="s">
        <v>21</v>
      </c>
      <c r="L343" t="s">
        <v>32</v>
      </c>
      <c r="N343" t="s">
        <v>32</v>
      </c>
      <c r="O343" s="4">
        <v>0</v>
      </c>
      <c r="P343" s="5">
        <v>0</v>
      </c>
    </row>
    <row r="344" spans="1:16" x14ac:dyDescent="0.3">
      <c r="A344" s="4">
        <v>343</v>
      </c>
      <c r="B344" s="4">
        <v>39</v>
      </c>
      <c r="C344" t="s">
        <v>16</v>
      </c>
      <c r="D344" t="s">
        <v>34</v>
      </c>
      <c r="E344" t="s">
        <v>24</v>
      </c>
      <c r="F344" s="4">
        <v>130</v>
      </c>
      <c r="G344" s="4">
        <v>307</v>
      </c>
      <c r="H344" t="s">
        <v>21</v>
      </c>
      <c r="I344" t="s">
        <v>26</v>
      </c>
      <c r="J344" s="4">
        <v>140</v>
      </c>
      <c r="K344" t="s">
        <v>21</v>
      </c>
      <c r="L344" t="s">
        <v>32</v>
      </c>
      <c r="N344" t="s">
        <v>32</v>
      </c>
      <c r="O344" s="4">
        <v>0</v>
      </c>
      <c r="P344" s="5">
        <v>0</v>
      </c>
    </row>
    <row r="345" spans="1:16" x14ac:dyDescent="0.3">
      <c r="A345" s="4">
        <v>344</v>
      </c>
      <c r="B345" s="4">
        <v>40</v>
      </c>
      <c r="C345" t="s">
        <v>16</v>
      </c>
      <c r="D345" t="s">
        <v>34</v>
      </c>
      <c r="E345" t="s">
        <v>30</v>
      </c>
      <c r="F345" s="4">
        <v>130</v>
      </c>
      <c r="G345" s="4">
        <v>275</v>
      </c>
      <c r="H345" t="s">
        <v>21</v>
      </c>
      <c r="I345" t="s">
        <v>26</v>
      </c>
      <c r="J345" s="4">
        <v>150</v>
      </c>
      <c r="K345" t="s">
        <v>21</v>
      </c>
      <c r="L345" t="s">
        <v>32</v>
      </c>
      <c r="N345" t="s">
        <v>32</v>
      </c>
      <c r="O345" s="4">
        <v>0</v>
      </c>
      <c r="P345" s="5">
        <v>0</v>
      </c>
    </row>
    <row r="346" spans="1:16" x14ac:dyDescent="0.3">
      <c r="A346" s="4">
        <v>345</v>
      </c>
      <c r="B346" s="4">
        <v>40</v>
      </c>
      <c r="C346" t="s">
        <v>16</v>
      </c>
      <c r="D346" t="s">
        <v>34</v>
      </c>
      <c r="E346" t="s">
        <v>30</v>
      </c>
      <c r="F346" s="4">
        <v>140</v>
      </c>
      <c r="G346" s="4">
        <v>289</v>
      </c>
      <c r="H346" t="s">
        <v>21</v>
      </c>
      <c r="I346" t="s">
        <v>26</v>
      </c>
      <c r="J346" s="4">
        <v>172</v>
      </c>
      <c r="K346" t="s">
        <v>21</v>
      </c>
      <c r="L346" t="s">
        <v>32</v>
      </c>
      <c r="N346" t="s">
        <v>32</v>
      </c>
      <c r="O346" s="4">
        <v>0</v>
      </c>
      <c r="P346" s="5">
        <v>0</v>
      </c>
    </row>
    <row r="347" spans="1:16" x14ac:dyDescent="0.3">
      <c r="A347" s="4">
        <v>346</v>
      </c>
      <c r="B347" s="4">
        <v>40</v>
      </c>
      <c r="C347" t="s">
        <v>16</v>
      </c>
      <c r="D347" t="s">
        <v>34</v>
      </c>
      <c r="E347" t="s">
        <v>28</v>
      </c>
      <c r="F347" s="4">
        <v>130</v>
      </c>
      <c r="G347" s="4">
        <v>215</v>
      </c>
      <c r="H347" t="s">
        <v>21</v>
      </c>
      <c r="I347" t="s">
        <v>26</v>
      </c>
      <c r="J347" s="4">
        <v>138</v>
      </c>
      <c r="K347" t="s">
        <v>21</v>
      </c>
      <c r="L347" t="s">
        <v>32</v>
      </c>
      <c r="N347" t="s">
        <v>32</v>
      </c>
      <c r="O347" s="4">
        <v>0</v>
      </c>
      <c r="P347" s="5">
        <v>0</v>
      </c>
    </row>
    <row r="348" spans="1:16" x14ac:dyDescent="0.3">
      <c r="A348" s="4">
        <v>347</v>
      </c>
      <c r="B348" s="4">
        <v>40</v>
      </c>
      <c r="C348" t="s">
        <v>16</v>
      </c>
      <c r="D348" t="s">
        <v>34</v>
      </c>
      <c r="E348" t="s">
        <v>28</v>
      </c>
      <c r="F348" s="4">
        <v>130</v>
      </c>
      <c r="G348" s="4">
        <v>281</v>
      </c>
      <c r="H348" t="s">
        <v>21</v>
      </c>
      <c r="I348" t="s">
        <v>26</v>
      </c>
      <c r="J348" s="4">
        <v>167</v>
      </c>
      <c r="K348" t="s">
        <v>21</v>
      </c>
      <c r="L348" t="s">
        <v>32</v>
      </c>
      <c r="N348" t="s">
        <v>32</v>
      </c>
      <c r="O348" s="4">
        <v>0</v>
      </c>
      <c r="P348" s="5">
        <v>0</v>
      </c>
    </row>
    <row r="349" spans="1:16" x14ac:dyDescent="0.3">
      <c r="A349" s="4">
        <v>348</v>
      </c>
      <c r="B349" s="4">
        <v>40</v>
      </c>
      <c r="C349" t="s">
        <v>16</v>
      </c>
      <c r="D349" t="s">
        <v>34</v>
      </c>
      <c r="E349" t="s">
        <v>28</v>
      </c>
      <c r="F349" s="4">
        <v>140</v>
      </c>
      <c r="H349" t="s">
        <v>21</v>
      </c>
      <c r="I349" t="s">
        <v>26</v>
      </c>
      <c r="J349" s="4">
        <v>188</v>
      </c>
      <c r="K349" t="s">
        <v>21</v>
      </c>
      <c r="L349" t="s">
        <v>32</v>
      </c>
      <c r="N349" t="s">
        <v>32</v>
      </c>
      <c r="O349" s="4">
        <v>0</v>
      </c>
      <c r="P349" s="5">
        <v>0</v>
      </c>
    </row>
    <row r="350" spans="1:16" x14ac:dyDescent="0.3">
      <c r="A350" s="4">
        <v>349</v>
      </c>
      <c r="B350" s="4">
        <v>41</v>
      </c>
      <c r="C350" t="s">
        <v>29</v>
      </c>
      <c r="D350" t="s">
        <v>34</v>
      </c>
      <c r="E350" t="s">
        <v>30</v>
      </c>
      <c r="F350" s="4">
        <v>110</v>
      </c>
      <c r="G350" s="4">
        <v>250</v>
      </c>
      <c r="H350" t="s">
        <v>21</v>
      </c>
      <c r="I350" t="s">
        <v>33</v>
      </c>
      <c r="J350" s="4">
        <v>142</v>
      </c>
      <c r="K350" t="s">
        <v>21</v>
      </c>
      <c r="L350" t="s">
        <v>32</v>
      </c>
      <c r="N350" t="s">
        <v>32</v>
      </c>
      <c r="O350" s="4">
        <v>0</v>
      </c>
      <c r="P350" s="5">
        <v>0</v>
      </c>
    </row>
    <row r="351" spans="1:16" x14ac:dyDescent="0.3">
      <c r="A351" s="4">
        <v>350</v>
      </c>
      <c r="B351" s="4">
        <v>41</v>
      </c>
      <c r="C351" t="s">
        <v>29</v>
      </c>
      <c r="D351" t="s">
        <v>34</v>
      </c>
      <c r="E351" t="s">
        <v>30</v>
      </c>
      <c r="F351" s="4">
        <v>125</v>
      </c>
      <c r="G351" s="4">
        <v>184</v>
      </c>
      <c r="H351" t="s">
        <v>21</v>
      </c>
      <c r="I351" t="s">
        <v>26</v>
      </c>
      <c r="J351" s="4">
        <v>180</v>
      </c>
      <c r="K351" t="s">
        <v>21</v>
      </c>
      <c r="L351" t="s">
        <v>32</v>
      </c>
      <c r="N351" t="s">
        <v>32</v>
      </c>
      <c r="O351" s="4">
        <v>0</v>
      </c>
      <c r="P351" s="5">
        <v>0</v>
      </c>
    </row>
    <row r="352" spans="1:16" x14ac:dyDescent="0.3">
      <c r="A352" s="4">
        <v>351</v>
      </c>
      <c r="B352" s="4">
        <v>41</v>
      </c>
      <c r="C352" t="s">
        <v>29</v>
      </c>
      <c r="D352" t="s">
        <v>34</v>
      </c>
      <c r="E352" t="s">
        <v>30</v>
      </c>
      <c r="F352" s="4">
        <v>130</v>
      </c>
      <c r="G352" s="4">
        <v>245</v>
      </c>
      <c r="H352" t="s">
        <v>21</v>
      </c>
      <c r="I352" t="s">
        <v>26</v>
      </c>
      <c r="J352" s="4">
        <v>150</v>
      </c>
      <c r="K352" t="s">
        <v>21</v>
      </c>
      <c r="L352" t="s">
        <v>32</v>
      </c>
      <c r="N352" t="s">
        <v>32</v>
      </c>
      <c r="O352" s="4">
        <v>0</v>
      </c>
      <c r="P352" s="5">
        <v>0</v>
      </c>
    </row>
    <row r="353" spans="1:16" x14ac:dyDescent="0.3">
      <c r="A353" s="4">
        <v>352</v>
      </c>
      <c r="B353" s="4">
        <v>41</v>
      </c>
      <c r="C353" t="s">
        <v>16</v>
      </c>
      <c r="D353" t="s">
        <v>34</v>
      </c>
      <c r="E353" t="s">
        <v>30</v>
      </c>
      <c r="F353" s="4">
        <v>120</v>
      </c>
      <c r="G353" s="4">
        <v>291</v>
      </c>
      <c r="H353" t="s">
        <v>21</v>
      </c>
      <c r="I353" t="s">
        <v>33</v>
      </c>
      <c r="J353" s="4">
        <v>160</v>
      </c>
      <c r="K353" t="s">
        <v>21</v>
      </c>
      <c r="L353" t="s">
        <v>32</v>
      </c>
      <c r="N353" t="s">
        <v>32</v>
      </c>
      <c r="O353" s="4">
        <v>0</v>
      </c>
      <c r="P353" s="5">
        <v>0</v>
      </c>
    </row>
    <row r="354" spans="1:16" x14ac:dyDescent="0.3">
      <c r="A354" s="4">
        <v>353</v>
      </c>
      <c r="B354" s="4">
        <v>41</v>
      </c>
      <c r="C354" t="s">
        <v>16</v>
      </c>
      <c r="D354" t="s">
        <v>34</v>
      </c>
      <c r="E354" t="s">
        <v>30</v>
      </c>
      <c r="F354" s="4">
        <v>120</v>
      </c>
      <c r="G354" s="4">
        <v>295</v>
      </c>
      <c r="H354" t="s">
        <v>21</v>
      </c>
      <c r="I354" t="s">
        <v>26</v>
      </c>
      <c r="J354" s="4">
        <v>170</v>
      </c>
      <c r="K354" t="s">
        <v>21</v>
      </c>
      <c r="L354" t="s">
        <v>32</v>
      </c>
      <c r="N354" t="s">
        <v>32</v>
      </c>
      <c r="O354" s="4">
        <v>0</v>
      </c>
      <c r="P354" s="5">
        <v>0</v>
      </c>
    </row>
    <row r="355" spans="1:16" x14ac:dyDescent="0.3">
      <c r="A355" s="4">
        <v>354</v>
      </c>
      <c r="B355" s="4">
        <v>41</v>
      </c>
      <c r="C355" t="s">
        <v>16</v>
      </c>
      <c r="D355" t="s">
        <v>34</v>
      </c>
      <c r="E355" t="s">
        <v>30</v>
      </c>
      <c r="F355" s="4">
        <v>125</v>
      </c>
      <c r="G355" s="4">
        <v>269</v>
      </c>
      <c r="H355" t="s">
        <v>21</v>
      </c>
      <c r="I355" t="s">
        <v>26</v>
      </c>
      <c r="J355" s="4">
        <v>144</v>
      </c>
      <c r="K355" t="s">
        <v>21</v>
      </c>
      <c r="L355" t="s">
        <v>32</v>
      </c>
      <c r="N355" t="s">
        <v>32</v>
      </c>
      <c r="O355" s="4">
        <v>0</v>
      </c>
      <c r="P355" s="5">
        <v>0</v>
      </c>
    </row>
    <row r="356" spans="1:16" x14ac:dyDescent="0.3">
      <c r="A356" s="4">
        <v>355</v>
      </c>
      <c r="B356" s="4">
        <v>41</v>
      </c>
      <c r="C356" t="s">
        <v>16</v>
      </c>
      <c r="D356" t="s">
        <v>34</v>
      </c>
      <c r="E356" t="s">
        <v>24</v>
      </c>
      <c r="F356" s="4">
        <v>112</v>
      </c>
      <c r="G356" s="4">
        <v>250</v>
      </c>
      <c r="H356" t="s">
        <v>21</v>
      </c>
      <c r="I356" t="s">
        <v>26</v>
      </c>
      <c r="J356" s="4">
        <v>142</v>
      </c>
      <c r="K356" t="s">
        <v>21</v>
      </c>
      <c r="L356" t="s">
        <v>32</v>
      </c>
      <c r="N356" t="s">
        <v>32</v>
      </c>
      <c r="O356" s="4">
        <v>0</v>
      </c>
      <c r="P356" s="5">
        <v>0</v>
      </c>
    </row>
    <row r="357" spans="1:16" x14ac:dyDescent="0.3">
      <c r="A357" s="4">
        <v>356</v>
      </c>
      <c r="B357" s="4">
        <v>42</v>
      </c>
      <c r="C357" t="s">
        <v>29</v>
      </c>
      <c r="D357" t="s">
        <v>34</v>
      </c>
      <c r="E357" t="s">
        <v>28</v>
      </c>
      <c r="F357" s="4">
        <v>115</v>
      </c>
      <c r="G357" s="4">
        <v>211</v>
      </c>
      <c r="H357" t="s">
        <v>21</v>
      </c>
      <c r="I357" t="s">
        <v>33</v>
      </c>
      <c r="J357" s="4">
        <v>137</v>
      </c>
      <c r="K357" t="s">
        <v>21</v>
      </c>
      <c r="L357" t="s">
        <v>32</v>
      </c>
      <c r="N357" t="s">
        <v>32</v>
      </c>
      <c r="O357" s="4">
        <v>0</v>
      </c>
      <c r="P357" s="5">
        <v>0</v>
      </c>
    </row>
    <row r="358" spans="1:16" x14ac:dyDescent="0.3">
      <c r="A358" s="4">
        <v>357</v>
      </c>
      <c r="B358" s="4">
        <v>42</v>
      </c>
      <c r="C358" t="s">
        <v>16</v>
      </c>
      <c r="D358" t="s">
        <v>34</v>
      </c>
      <c r="E358" t="s">
        <v>30</v>
      </c>
      <c r="F358" s="4">
        <v>120</v>
      </c>
      <c r="G358" s="4">
        <v>196</v>
      </c>
      <c r="H358" t="s">
        <v>21</v>
      </c>
      <c r="I358" t="s">
        <v>26</v>
      </c>
      <c r="J358" s="4">
        <v>150</v>
      </c>
      <c r="K358" t="s">
        <v>21</v>
      </c>
      <c r="L358" t="s">
        <v>32</v>
      </c>
      <c r="N358" t="s">
        <v>32</v>
      </c>
      <c r="O358" s="4">
        <v>0</v>
      </c>
      <c r="P358" s="5">
        <v>0</v>
      </c>
    </row>
    <row r="359" spans="1:16" x14ac:dyDescent="0.3">
      <c r="A359" s="4">
        <v>358</v>
      </c>
      <c r="B359" s="4">
        <v>42</v>
      </c>
      <c r="C359" t="s">
        <v>16</v>
      </c>
      <c r="D359" t="s">
        <v>34</v>
      </c>
      <c r="E359" t="s">
        <v>30</v>
      </c>
      <c r="F359" s="4">
        <v>120</v>
      </c>
      <c r="G359" s="4">
        <v>198</v>
      </c>
      <c r="H359" t="s">
        <v>21</v>
      </c>
      <c r="I359" t="s">
        <v>26</v>
      </c>
      <c r="J359" s="4">
        <v>155</v>
      </c>
      <c r="K359" t="s">
        <v>21</v>
      </c>
      <c r="L359" t="s">
        <v>32</v>
      </c>
      <c r="N359" t="s">
        <v>32</v>
      </c>
      <c r="O359" s="4">
        <v>0</v>
      </c>
      <c r="P359" s="5">
        <v>0</v>
      </c>
    </row>
    <row r="360" spans="1:16" x14ac:dyDescent="0.3">
      <c r="A360" s="4">
        <v>359</v>
      </c>
      <c r="B360" s="4">
        <v>42</v>
      </c>
      <c r="C360" t="s">
        <v>16</v>
      </c>
      <c r="D360" t="s">
        <v>34</v>
      </c>
      <c r="E360" t="s">
        <v>30</v>
      </c>
      <c r="F360" s="4">
        <v>150</v>
      </c>
      <c r="G360" s="4">
        <v>268</v>
      </c>
      <c r="H360" t="s">
        <v>21</v>
      </c>
      <c r="I360" t="s">
        <v>26</v>
      </c>
      <c r="J360" s="4">
        <v>136</v>
      </c>
      <c r="K360" t="s">
        <v>21</v>
      </c>
      <c r="L360" t="s">
        <v>32</v>
      </c>
      <c r="N360" t="s">
        <v>32</v>
      </c>
      <c r="O360" s="4">
        <v>0</v>
      </c>
      <c r="P360" s="5">
        <v>0</v>
      </c>
    </row>
    <row r="361" spans="1:16" x14ac:dyDescent="0.3">
      <c r="A361" s="4">
        <v>360</v>
      </c>
      <c r="B361" s="4">
        <v>42</v>
      </c>
      <c r="C361" t="s">
        <v>16</v>
      </c>
      <c r="D361" t="s">
        <v>34</v>
      </c>
      <c r="E361" t="s">
        <v>28</v>
      </c>
      <c r="F361" s="4">
        <v>120</v>
      </c>
      <c r="G361" s="4">
        <v>228</v>
      </c>
      <c r="H361" t="s">
        <v>21</v>
      </c>
      <c r="I361" t="s">
        <v>26</v>
      </c>
      <c r="J361" s="4">
        <v>152</v>
      </c>
      <c r="K361" t="s">
        <v>19</v>
      </c>
      <c r="L361" t="s">
        <v>25</v>
      </c>
      <c r="N361" t="s">
        <v>32</v>
      </c>
      <c r="O361" s="4">
        <v>0</v>
      </c>
      <c r="P361" s="5">
        <v>0.5</v>
      </c>
    </row>
    <row r="362" spans="1:16" x14ac:dyDescent="0.3">
      <c r="A362" s="4">
        <v>361</v>
      </c>
      <c r="B362" s="4">
        <v>42</v>
      </c>
      <c r="C362" t="s">
        <v>16</v>
      </c>
      <c r="D362" t="s">
        <v>34</v>
      </c>
      <c r="E362" t="s">
        <v>28</v>
      </c>
      <c r="F362" s="4">
        <v>160</v>
      </c>
      <c r="G362" s="4">
        <v>147</v>
      </c>
      <c r="H362" t="s">
        <v>21</v>
      </c>
      <c r="I362" t="s">
        <v>26</v>
      </c>
      <c r="J362" s="4">
        <v>146</v>
      </c>
      <c r="K362" t="s">
        <v>21</v>
      </c>
      <c r="L362" t="s">
        <v>32</v>
      </c>
      <c r="N362" t="s">
        <v>32</v>
      </c>
      <c r="O362" s="4">
        <v>0</v>
      </c>
      <c r="P362" s="5">
        <v>0</v>
      </c>
    </row>
    <row r="363" spans="1:16" x14ac:dyDescent="0.3">
      <c r="A363" s="4">
        <v>362</v>
      </c>
      <c r="B363" s="4">
        <v>42</v>
      </c>
      <c r="C363" t="s">
        <v>16</v>
      </c>
      <c r="D363" t="s">
        <v>34</v>
      </c>
      <c r="E363" t="s">
        <v>24</v>
      </c>
      <c r="F363" s="4">
        <v>140</v>
      </c>
      <c r="G363" s="4">
        <v>358</v>
      </c>
      <c r="H363" t="s">
        <v>21</v>
      </c>
      <c r="I363" t="s">
        <v>26</v>
      </c>
      <c r="J363" s="4">
        <v>170</v>
      </c>
      <c r="K363" t="s">
        <v>21</v>
      </c>
      <c r="L363" t="s">
        <v>32</v>
      </c>
      <c r="N363" t="s">
        <v>32</v>
      </c>
      <c r="O363" s="4">
        <v>0</v>
      </c>
      <c r="P363" s="5">
        <v>0</v>
      </c>
    </row>
    <row r="364" spans="1:16" x14ac:dyDescent="0.3">
      <c r="A364" s="4">
        <v>363</v>
      </c>
      <c r="B364" s="4">
        <v>43</v>
      </c>
      <c r="C364" t="s">
        <v>29</v>
      </c>
      <c r="D364" t="s">
        <v>34</v>
      </c>
      <c r="E364" t="s">
        <v>18</v>
      </c>
      <c r="F364" s="4">
        <v>100</v>
      </c>
      <c r="G364" s="4">
        <v>223</v>
      </c>
      <c r="H364" t="s">
        <v>21</v>
      </c>
      <c r="I364" t="s">
        <v>26</v>
      </c>
      <c r="J364" s="4">
        <v>142</v>
      </c>
      <c r="K364" t="s">
        <v>21</v>
      </c>
      <c r="L364" t="s">
        <v>32</v>
      </c>
      <c r="N364" t="s">
        <v>32</v>
      </c>
      <c r="O364" s="4">
        <v>0</v>
      </c>
      <c r="P364" s="5">
        <v>0</v>
      </c>
    </row>
    <row r="365" spans="1:16" x14ac:dyDescent="0.3">
      <c r="A365" s="4">
        <v>364</v>
      </c>
      <c r="B365" s="4">
        <v>43</v>
      </c>
      <c r="C365" t="s">
        <v>29</v>
      </c>
      <c r="D365" t="s">
        <v>34</v>
      </c>
      <c r="E365" t="s">
        <v>30</v>
      </c>
      <c r="F365" s="4">
        <v>120</v>
      </c>
      <c r="G365" s="4">
        <v>201</v>
      </c>
      <c r="H365" t="s">
        <v>21</v>
      </c>
      <c r="I365" t="s">
        <v>26</v>
      </c>
      <c r="J365" s="4">
        <v>165</v>
      </c>
      <c r="K365" t="s">
        <v>21</v>
      </c>
      <c r="L365" t="s">
        <v>32</v>
      </c>
      <c r="N365" t="s">
        <v>32</v>
      </c>
      <c r="O365" s="4">
        <v>0</v>
      </c>
      <c r="P365" s="5">
        <v>0</v>
      </c>
    </row>
    <row r="366" spans="1:16" x14ac:dyDescent="0.3">
      <c r="A366" s="4">
        <v>365</v>
      </c>
      <c r="B366" s="4">
        <v>43</v>
      </c>
      <c r="C366" t="s">
        <v>29</v>
      </c>
      <c r="D366" t="s">
        <v>34</v>
      </c>
      <c r="E366" t="s">
        <v>30</v>
      </c>
      <c r="F366" s="4">
        <v>120</v>
      </c>
      <c r="G366" s="4">
        <v>215</v>
      </c>
      <c r="H366" t="s">
        <v>21</v>
      </c>
      <c r="I366" t="s">
        <v>33</v>
      </c>
      <c r="J366" s="4">
        <v>175</v>
      </c>
      <c r="K366" t="s">
        <v>21</v>
      </c>
      <c r="L366" t="s">
        <v>32</v>
      </c>
      <c r="N366" t="s">
        <v>32</v>
      </c>
      <c r="O366" s="4">
        <v>0</v>
      </c>
      <c r="P366" s="5">
        <v>0</v>
      </c>
    </row>
    <row r="367" spans="1:16" x14ac:dyDescent="0.3">
      <c r="A367" s="4">
        <v>366</v>
      </c>
      <c r="B367" s="4">
        <v>43</v>
      </c>
      <c r="C367" t="s">
        <v>29</v>
      </c>
      <c r="D367" t="s">
        <v>34</v>
      </c>
      <c r="E367" t="s">
        <v>30</v>
      </c>
      <c r="F367" s="4">
        <v>120</v>
      </c>
      <c r="G367" s="4">
        <v>249</v>
      </c>
      <c r="H367" t="s">
        <v>21</v>
      </c>
      <c r="I367" t="s">
        <v>33</v>
      </c>
      <c r="J367" s="4">
        <v>176</v>
      </c>
      <c r="K367" t="s">
        <v>21</v>
      </c>
      <c r="L367" t="s">
        <v>32</v>
      </c>
      <c r="N367" t="s">
        <v>32</v>
      </c>
      <c r="O367" s="4">
        <v>0</v>
      </c>
      <c r="P367" s="5">
        <v>0</v>
      </c>
    </row>
    <row r="368" spans="1:16" x14ac:dyDescent="0.3">
      <c r="A368" s="4">
        <v>367</v>
      </c>
      <c r="B368" s="4">
        <v>43</v>
      </c>
      <c r="C368" t="s">
        <v>29</v>
      </c>
      <c r="D368" t="s">
        <v>34</v>
      </c>
      <c r="E368" t="s">
        <v>30</v>
      </c>
      <c r="F368" s="4">
        <v>120</v>
      </c>
      <c r="G368" s="4">
        <v>266</v>
      </c>
      <c r="H368" t="s">
        <v>21</v>
      </c>
      <c r="I368" t="s">
        <v>26</v>
      </c>
      <c r="J368" s="4">
        <v>118</v>
      </c>
      <c r="K368" t="s">
        <v>21</v>
      </c>
      <c r="L368" t="s">
        <v>32</v>
      </c>
      <c r="N368" t="s">
        <v>32</v>
      </c>
      <c r="O368" s="4">
        <v>0</v>
      </c>
      <c r="P368" s="5">
        <v>0</v>
      </c>
    </row>
    <row r="369" spans="1:16" x14ac:dyDescent="0.3">
      <c r="A369" s="4">
        <v>368</v>
      </c>
      <c r="B369" s="4">
        <v>43</v>
      </c>
      <c r="C369" t="s">
        <v>29</v>
      </c>
      <c r="D369" t="s">
        <v>34</v>
      </c>
      <c r="E369" t="s">
        <v>30</v>
      </c>
      <c r="F369" s="4">
        <v>150</v>
      </c>
      <c r="G369" s="4">
        <v>186</v>
      </c>
      <c r="H369" t="s">
        <v>21</v>
      </c>
      <c r="I369" t="s">
        <v>26</v>
      </c>
      <c r="J369" s="4">
        <v>154</v>
      </c>
      <c r="K369" t="s">
        <v>21</v>
      </c>
      <c r="L369" t="s">
        <v>32</v>
      </c>
      <c r="N369" t="s">
        <v>32</v>
      </c>
      <c r="O369" s="4">
        <v>0</v>
      </c>
      <c r="P369" s="5">
        <v>0</v>
      </c>
    </row>
    <row r="370" spans="1:16" x14ac:dyDescent="0.3">
      <c r="A370" s="4">
        <v>369</v>
      </c>
      <c r="B370" s="4">
        <v>43</v>
      </c>
      <c r="C370" t="s">
        <v>29</v>
      </c>
      <c r="D370" t="s">
        <v>34</v>
      </c>
      <c r="E370" t="s">
        <v>28</v>
      </c>
      <c r="F370" s="4">
        <v>150</v>
      </c>
      <c r="H370" t="s">
        <v>21</v>
      </c>
      <c r="I370" t="s">
        <v>26</v>
      </c>
      <c r="J370" s="4">
        <v>175</v>
      </c>
      <c r="K370" t="s">
        <v>21</v>
      </c>
      <c r="L370" t="s">
        <v>32</v>
      </c>
      <c r="N370" t="s">
        <v>26</v>
      </c>
      <c r="O370" s="4">
        <v>0</v>
      </c>
      <c r="P370" s="5">
        <v>0</v>
      </c>
    </row>
    <row r="371" spans="1:16" x14ac:dyDescent="0.3">
      <c r="A371" s="4">
        <v>370</v>
      </c>
      <c r="B371" s="4">
        <v>43</v>
      </c>
      <c r="C371" t="s">
        <v>16</v>
      </c>
      <c r="D371" t="s">
        <v>34</v>
      </c>
      <c r="E371" t="s">
        <v>30</v>
      </c>
      <c r="F371" s="4">
        <v>142</v>
      </c>
      <c r="G371" s="4">
        <v>207</v>
      </c>
      <c r="H371" t="s">
        <v>21</v>
      </c>
      <c r="I371" t="s">
        <v>26</v>
      </c>
      <c r="J371" s="4">
        <v>138</v>
      </c>
      <c r="K371" t="s">
        <v>21</v>
      </c>
      <c r="L371" t="s">
        <v>32</v>
      </c>
      <c r="N371" t="s">
        <v>32</v>
      </c>
      <c r="O371" s="4">
        <v>0</v>
      </c>
      <c r="P371" s="5">
        <v>0</v>
      </c>
    </row>
    <row r="372" spans="1:16" x14ac:dyDescent="0.3">
      <c r="A372" s="4">
        <v>371</v>
      </c>
      <c r="B372" s="4">
        <v>44</v>
      </c>
      <c r="C372" t="s">
        <v>29</v>
      </c>
      <c r="D372" t="s">
        <v>34</v>
      </c>
      <c r="E372" t="s">
        <v>24</v>
      </c>
      <c r="F372" s="4">
        <v>120</v>
      </c>
      <c r="G372" s="4">
        <v>218</v>
      </c>
      <c r="H372" t="s">
        <v>21</v>
      </c>
      <c r="I372" t="s">
        <v>33</v>
      </c>
      <c r="J372" s="4">
        <v>115</v>
      </c>
      <c r="K372" t="s">
        <v>21</v>
      </c>
      <c r="L372" t="s">
        <v>32</v>
      </c>
      <c r="N372" t="s">
        <v>32</v>
      </c>
      <c r="O372" s="4">
        <v>0</v>
      </c>
      <c r="P372" s="5">
        <v>0</v>
      </c>
    </row>
    <row r="373" spans="1:16" x14ac:dyDescent="0.3">
      <c r="A373" s="4">
        <v>372</v>
      </c>
      <c r="B373" s="4">
        <v>44</v>
      </c>
      <c r="C373" t="s">
        <v>16</v>
      </c>
      <c r="D373" t="s">
        <v>34</v>
      </c>
      <c r="E373" t="s">
        <v>30</v>
      </c>
      <c r="F373" s="4">
        <v>120</v>
      </c>
      <c r="G373" s="4">
        <v>184</v>
      </c>
      <c r="H373" t="s">
        <v>21</v>
      </c>
      <c r="I373" t="s">
        <v>26</v>
      </c>
      <c r="J373" s="4">
        <v>142</v>
      </c>
      <c r="K373" t="s">
        <v>21</v>
      </c>
      <c r="L373" t="s">
        <v>25</v>
      </c>
      <c r="N373" t="s">
        <v>32</v>
      </c>
      <c r="O373" s="4">
        <v>0</v>
      </c>
      <c r="P373" s="5">
        <v>1</v>
      </c>
    </row>
    <row r="374" spans="1:16" x14ac:dyDescent="0.3">
      <c r="A374" s="4">
        <v>373</v>
      </c>
      <c r="B374" s="4">
        <v>44</v>
      </c>
      <c r="C374" t="s">
        <v>16</v>
      </c>
      <c r="D374" t="s">
        <v>34</v>
      </c>
      <c r="E374" t="s">
        <v>30</v>
      </c>
      <c r="F374" s="4">
        <v>130</v>
      </c>
      <c r="G374" s="4">
        <v>215</v>
      </c>
      <c r="H374" t="s">
        <v>21</v>
      </c>
      <c r="I374" t="s">
        <v>26</v>
      </c>
      <c r="J374" s="4">
        <v>135</v>
      </c>
      <c r="K374" t="s">
        <v>21</v>
      </c>
      <c r="L374" t="s">
        <v>32</v>
      </c>
      <c r="N374" t="s">
        <v>32</v>
      </c>
      <c r="O374" s="4">
        <v>0</v>
      </c>
      <c r="P374" s="5">
        <v>0</v>
      </c>
    </row>
    <row r="375" spans="1:16" x14ac:dyDescent="0.3">
      <c r="A375" s="4">
        <v>374</v>
      </c>
      <c r="B375" s="4">
        <v>44</v>
      </c>
      <c r="C375" t="s">
        <v>16</v>
      </c>
      <c r="D375" t="s">
        <v>34</v>
      </c>
      <c r="E375" t="s">
        <v>24</v>
      </c>
      <c r="F375" s="4">
        <v>150</v>
      </c>
      <c r="G375" s="4">
        <v>412</v>
      </c>
      <c r="H375" t="s">
        <v>21</v>
      </c>
      <c r="I375" t="s">
        <v>26</v>
      </c>
      <c r="J375" s="4">
        <v>170</v>
      </c>
      <c r="K375" t="s">
        <v>21</v>
      </c>
      <c r="L375" t="s">
        <v>32</v>
      </c>
      <c r="N375" t="s">
        <v>32</v>
      </c>
      <c r="O375" s="4">
        <v>0</v>
      </c>
      <c r="P375" s="5">
        <v>0</v>
      </c>
    </row>
    <row r="376" spans="1:16" x14ac:dyDescent="0.3">
      <c r="A376" s="4">
        <v>375</v>
      </c>
      <c r="B376" s="4">
        <v>45</v>
      </c>
      <c r="C376" t="s">
        <v>29</v>
      </c>
      <c r="D376" t="s">
        <v>34</v>
      </c>
      <c r="E376" t="s">
        <v>30</v>
      </c>
      <c r="F376" s="4">
        <v>130</v>
      </c>
      <c r="G376" s="4">
        <v>237</v>
      </c>
      <c r="H376" t="s">
        <v>21</v>
      </c>
      <c r="I376" t="s">
        <v>26</v>
      </c>
      <c r="J376" s="4">
        <v>170</v>
      </c>
      <c r="K376" t="s">
        <v>21</v>
      </c>
      <c r="L376" t="s">
        <v>32</v>
      </c>
      <c r="N376" t="s">
        <v>32</v>
      </c>
      <c r="O376" s="4">
        <v>0</v>
      </c>
      <c r="P376" s="5">
        <v>0</v>
      </c>
    </row>
    <row r="377" spans="1:16" x14ac:dyDescent="0.3">
      <c r="A377" s="4">
        <v>376</v>
      </c>
      <c r="B377" s="4">
        <v>45</v>
      </c>
      <c r="C377" t="s">
        <v>29</v>
      </c>
      <c r="D377" t="s">
        <v>34</v>
      </c>
      <c r="E377" t="s">
        <v>30</v>
      </c>
      <c r="F377" s="4">
        <v>180</v>
      </c>
      <c r="H377" t="s">
        <v>21</v>
      </c>
      <c r="I377" t="s">
        <v>26</v>
      </c>
      <c r="J377" s="4">
        <v>180</v>
      </c>
      <c r="K377" t="s">
        <v>21</v>
      </c>
      <c r="L377" t="s">
        <v>32</v>
      </c>
      <c r="N377" t="s">
        <v>32</v>
      </c>
      <c r="O377" s="4">
        <v>0</v>
      </c>
      <c r="P377" s="5">
        <v>0</v>
      </c>
    </row>
    <row r="378" spans="1:16" x14ac:dyDescent="0.3">
      <c r="A378" s="4">
        <v>377</v>
      </c>
      <c r="B378" s="4">
        <v>45</v>
      </c>
      <c r="C378" t="s">
        <v>29</v>
      </c>
      <c r="D378" t="s">
        <v>34</v>
      </c>
      <c r="E378" t="s">
        <v>24</v>
      </c>
      <c r="F378" s="4">
        <v>132</v>
      </c>
      <c r="G378" s="4">
        <v>297</v>
      </c>
      <c r="H378" t="s">
        <v>21</v>
      </c>
      <c r="I378" t="s">
        <v>26</v>
      </c>
      <c r="J378" s="4">
        <v>144</v>
      </c>
      <c r="K378" t="s">
        <v>21</v>
      </c>
      <c r="L378" t="s">
        <v>32</v>
      </c>
      <c r="N378" t="s">
        <v>32</v>
      </c>
      <c r="O378" s="4">
        <v>0</v>
      </c>
      <c r="P378" s="5">
        <v>0</v>
      </c>
    </row>
    <row r="379" spans="1:16" x14ac:dyDescent="0.3">
      <c r="A379" s="4">
        <v>378</v>
      </c>
      <c r="B379" s="4">
        <v>45</v>
      </c>
      <c r="C379" t="s">
        <v>16</v>
      </c>
      <c r="D379" t="s">
        <v>34</v>
      </c>
      <c r="E379" t="s">
        <v>30</v>
      </c>
      <c r="F379" s="4">
        <v>140</v>
      </c>
      <c r="G379" s="4">
        <v>224</v>
      </c>
      <c r="H379" t="s">
        <v>19</v>
      </c>
      <c r="I379" t="s">
        <v>26</v>
      </c>
      <c r="J379" s="4">
        <v>122</v>
      </c>
      <c r="K379" t="s">
        <v>21</v>
      </c>
      <c r="L379" t="s">
        <v>32</v>
      </c>
      <c r="N379" t="s">
        <v>32</v>
      </c>
      <c r="O379" s="4">
        <v>0</v>
      </c>
      <c r="P379" s="5">
        <v>0</v>
      </c>
    </row>
    <row r="380" spans="1:16" x14ac:dyDescent="0.3">
      <c r="A380" s="4">
        <v>379</v>
      </c>
      <c r="B380" s="4">
        <v>45</v>
      </c>
      <c r="C380" t="s">
        <v>16</v>
      </c>
      <c r="D380" t="s">
        <v>34</v>
      </c>
      <c r="E380" t="s">
        <v>28</v>
      </c>
      <c r="F380" s="4">
        <v>135</v>
      </c>
      <c r="H380" t="s">
        <v>21</v>
      </c>
      <c r="I380" t="s">
        <v>26</v>
      </c>
      <c r="J380" s="4">
        <v>110</v>
      </c>
      <c r="K380" t="s">
        <v>21</v>
      </c>
      <c r="L380" t="s">
        <v>32</v>
      </c>
      <c r="N380" t="s">
        <v>32</v>
      </c>
      <c r="O380" s="4">
        <v>0</v>
      </c>
      <c r="P380" s="5">
        <v>0</v>
      </c>
    </row>
    <row r="381" spans="1:16" x14ac:dyDescent="0.3">
      <c r="A381" s="4">
        <v>380</v>
      </c>
      <c r="B381" s="4">
        <v>45</v>
      </c>
      <c r="C381" t="s">
        <v>16</v>
      </c>
      <c r="D381" t="s">
        <v>34</v>
      </c>
      <c r="E381" t="s">
        <v>24</v>
      </c>
      <c r="F381" s="4">
        <v>120</v>
      </c>
      <c r="G381" s="4">
        <v>225</v>
      </c>
      <c r="H381" t="s">
        <v>21</v>
      </c>
      <c r="I381" t="s">
        <v>26</v>
      </c>
      <c r="J381" s="4">
        <v>140</v>
      </c>
      <c r="K381" t="s">
        <v>21</v>
      </c>
      <c r="L381" t="s">
        <v>32</v>
      </c>
      <c r="N381" t="s">
        <v>32</v>
      </c>
      <c r="O381" s="4">
        <v>0</v>
      </c>
      <c r="P381" s="5">
        <v>0</v>
      </c>
    </row>
    <row r="382" spans="1:16" x14ac:dyDescent="0.3">
      <c r="A382" s="4">
        <v>381</v>
      </c>
      <c r="B382" s="4">
        <v>45</v>
      </c>
      <c r="C382" t="s">
        <v>16</v>
      </c>
      <c r="D382" t="s">
        <v>34</v>
      </c>
      <c r="E382" t="s">
        <v>24</v>
      </c>
      <c r="F382" s="4">
        <v>140</v>
      </c>
      <c r="G382" s="4">
        <v>224</v>
      </c>
      <c r="H382" t="s">
        <v>21</v>
      </c>
      <c r="I382" t="s">
        <v>26</v>
      </c>
      <c r="J382" s="4">
        <v>144</v>
      </c>
      <c r="K382" t="s">
        <v>21</v>
      </c>
      <c r="L382" t="s">
        <v>32</v>
      </c>
      <c r="N382" t="s">
        <v>32</v>
      </c>
      <c r="O382" s="4">
        <v>0</v>
      </c>
      <c r="P382" s="5">
        <v>0</v>
      </c>
    </row>
    <row r="383" spans="1:16" x14ac:dyDescent="0.3">
      <c r="A383" s="4">
        <v>382</v>
      </c>
      <c r="B383" s="4">
        <v>46</v>
      </c>
      <c r="C383" t="s">
        <v>29</v>
      </c>
      <c r="D383" t="s">
        <v>34</v>
      </c>
      <c r="E383" t="s">
        <v>24</v>
      </c>
      <c r="F383" s="4">
        <v>130</v>
      </c>
      <c r="G383" s="4">
        <v>238</v>
      </c>
      <c r="H383" t="s">
        <v>21</v>
      </c>
      <c r="I383" t="s">
        <v>26</v>
      </c>
      <c r="J383" s="4">
        <v>90</v>
      </c>
      <c r="K383" t="s">
        <v>21</v>
      </c>
      <c r="L383" t="s">
        <v>32</v>
      </c>
      <c r="N383" t="s">
        <v>32</v>
      </c>
      <c r="O383" s="4">
        <v>0</v>
      </c>
      <c r="P383" s="5">
        <v>0</v>
      </c>
    </row>
    <row r="384" spans="1:16" x14ac:dyDescent="0.3">
      <c r="A384" s="4">
        <v>383</v>
      </c>
      <c r="B384" s="4">
        <v>46</v>
      </c>
      <c r="C384" t="s">
        <v>16</v>
      </c>
      <c r="D384" t="s">
        <v>34</v>
      </c>
      <c r="E384" t="s">
        <v>30</v>
      </c>
      <c r="F384" s="4">
        <v>140</v>
      </c>
      <c r="G384" s="4">
        <v>275</v>
      </c>
      <c r="H384" t="s">
        <v>21</v>
      </c>
      <c r="I384" t="s">
        <v>26</v>
      </c>
      <c r="J384" s="4">
        <v>165</v>
      </c>
      <c r="K384" t="s">
        <v>19</v>
      </c>
      <c r="L384" t="s">
        <v>32</v>
      </c>
      <c r="N384" t="s">
        <v>32</v>
      </c>
      <c r="O384" s="4">
        <v>0</v>
      </c>
      <c r="P384" s="5">
        <v>0</v>
      </c>
    </row>
    <row r="385" spans="1:16" x14ac:dyDescent="0.3">
      <c r="A385" s="4">
        <v>384</v>
      </c>
      <c r="B385" s="4">
        <v>46</v>
      </c>
      <c r="C385" t="s">
        <v>16</v>
      </c>
      <c r="D385" t="s">
        <v>34</v>
      </c>
      <c r="E385" t="s">
        <v>28</v>
      </c>
      <c r="F385" s="4">
        <v>120</v>
      </c>
      <c r="G385" s="4">
        <v>230</v>
      </c>
      <c r="H385" t="s">
        <v>21</v>
      </c>
      <c r="I385" t="s">
        <v>26</v>
      </c>
      <c r="J385" s="4">
        <v>150</v>
      </c>
      <c r="K385" t="s">
        <v>21</v>
      </c>
      <c r="L385" t="s">
        <v>32</v>
      </c>
      <c r="N385" t="s">
        <v>32</v>
      </c>
      <c r="O385" s="4">
        <v>0</v>
      </c>
      <c r="P385" s="5">
        <v>0</v>
      </c>
    </row>
    <row r="386" spans="1:16" x14ac:dyDescent="0.3">
      <c r="A386" s="4">
        <v>385</v>
      </c>
      <c r="B386" s="4">
        <v>46</v>
      </c>
      <c r="C386" t="s">
        <v>16</v>
      </c>
      <c r="D386" t="s">
        <v>34</v>
      </c>
      <c r="E386" t="s">
        <v>28</v>
      </c>
      <c r="F386" s="4">
        <v>150</v>
      </c>
      <c r="G386" s="4">
        <v>163</v>
      </c>
      <c r="H386" t="s">
        <v>32</v>
      </c>
      <c r="I386" t="s">
        <v>26</v>
      </c>
      <c r="J386" s="4">
        <v>116</v>
      </c>
      <c r="K386" t="s">
        <v>21</v>
      </c>
      <c r="L386" t="s">
        <v>32</v>
      </c>
      <c r="N386" t="s">
        <v>32</v>
      </c>
      <c r="O386" s="4">
        <v>0</v>
      </c>
      <c r="P386" s="5">
        <v>0</v>
      </c>
    </row>
    <row r="387" spans="1:16" x14ac:dyDescent="0.3">
      <c r="A387" s="4">
        <v>386</v>
      </c>
      <c r="B387" s="4">
        <v>46</v>
      </c>
      <c r="C387" t="s">
        <v>16</v>
      </c>
      <c r="D387" t="s">
        <v>34</v>
      </c>
      <c r="E387" t="s">
        <v>24</v>
      </c>
      <c r="F387" s="4">
        <v>110</v>
      </c>
      <c r="G387" s="4">
        <v>238</v>
      </c>
      <c r="H387" t="s">
        <v>21</v>
      </c>
      <c r="I387" t="s">
        <v>33</v>
      </c>
      <c r="J387" s="4">
        <v>140</v>
      </c>
      <c r="K387" t="s">
        <v>19</v>
      </c>
      <c r="L387" t="s">
        <v>25</v>
      </c>
      <c r="N387" t="s">
        <v>26</v>
      </c>
      <c r="O387" s="4">
        <v>0</v>
      </c>
      <c r="P387" s="5">
        <v>1</v>
      </c>
    </row>
    <row r="388" spans="1:16" x14ac:dyDescent="0.3">
      <c r="A388" s="4">
        <v>387</v>
      </c>
      <c r="B388" s="4">
        <v>46</v>
      </c>
      <c r="C388" t="s">
        <v>16</v>
      </c>
      <c r="D388" t="s">
        <v>34</v>
      </c>
      <c r="E388" t="s">
        <v>24</v>
      </c>
      <c r="F388" s="4">
        <v>110</v>
      </c>
      <c r="G388" s="4">
        <v>240</v>
      </c>
      <c r="H388" t="s">
        <v>21</v>
      </c>
      <c r="I388" t="s">
        <v>33</v>
      </c>
      <c r="J388" s="4">
        <v>140</v>
      </c>
      <c r="K388" t="s">
        <v>21</v>
      </c>
      <c r="L388" t="s">
        <v>32</v>
      </c>
      <c r="N388" t="s">
        <v>26</v>
      </c>
      <c r="O388" s="4">
        <v>0</v>
      </c>
      <c r="P388" s="5">
        <v>0</v>
      </c>
    </row>
    <row r="389" spans="1:16" x14ac:dyDescent="0.3">
      <c r="A389" s="4">
        <v>388</v>
      </c>
      <c r="B389" s="4">
        <v>46</v>
      </c>
      <c r="C389" t="s">
        <v>16</v>
      </c>
      <c r="D389" t="s">
        <v>34</v>
      </c>
      <c r="E389" t="s">
        <v>24</v>
      </c>
      <c r="F389" s="4">
        <v>180</v>
      </c>
      <c r="G389" s="4">
        <v>280</v>
      </c>
      <c r="H389" t="s">
        <v>21</v>
      </c>
      <c r="I389" t="s">
        <v>33</v>
      </c>
      <c r="J389" s="4">
        <v>120</v>
      </c>
      <c r="K389" t="s">
        <v>21</v>
      </c>
      <c r="L389" t="s">
        <v>32</v>
      </c>
      <c r="N389" t="s">
        <v>32</v>
      </c>
      <c r="O389" s="4">
        <v>0</v>
      </c>
      <c r="P389" s="5">
        <v>0</v>
      </c>
    </row>
    <row r="390" spans="1:16" x14ac:dyDescent="0.3">
      <c r="A390" s="4">
        <v>389</v>
      </c>
      <c r="B390" s="4">
        <v>47</v>
      </c>
      <c r="C390" t="s">
        <v>29</v>
      </c>
      <c r="D390" t="s">
        <v>34</v>
      </c>
      <c r="E390" t="s">
        <v>30</v>
      </c>
      <c r="F390" s="4">
        <v>140</v>
      </c>
      <c r="G390" s="4">
        <v>257</v>
      </c>
      <c r="H390" t="s">
        <v>21</v>
      </c>
      <c r="I390" t="s">
        <v>26</v>
      </c>
      <c r="J390" s="4">
        <v>135</v>
      </c>
      <c r="K390" t="s">
        <v>21</v>
      </c>
      <c r="L390" t="s">
        <v>31</v>
      </c>
      <c r="N390" t="s">
        <v>32</v>
      </c>
      <c r="O390" s="4">
        <v>0</v>
      </c>
      <c r="P390" s="5">
        <v>1</v>
      </c>
    </row>
    <row r="391" spans="1:16" x14ac:dyDescent="0.3">
      <c r="A391" s="4">
        <v>390</v>
      </c>
      <c r="B391" s="4">
        <v>47</v>
      </c>
      <c r="C391" t="s">
        <v>29</v>
      </c>
      <c r="D391" t="s">
        <v>34</v>
      </c>
      <c r="E391" t="s">
        <v>28</v>
      </c>
      <c r="F391" s="4">
        <v>130</v>
      </c>
      <c r="H391" t="s">
        <v>21</v>
      </c>
      <c r="I391" t="s">
        <v>26</v>
      </c>
      <c r="J391" s="4">
        <v>145</v>
      </c>
      <c r="K391" t="s">
        <v>21</v>
      </c>
      <c r="L391" t="s">
        <v>25</v>
      </c>
      <c r="N391" t="s">
        <v>32</v>
      </c>
      <c r="O391" s="4">
        <v>0</v>
      </c>
      <c r="P391" s="5">
        <v>2</v>
      </c>
    </row>
    <row r="392" spans="1:16" x14ac:dyDescent="0.3">
      <c r="A392" s="4">
        <v>391</v>
      </c>
      <c r="B392" s="4">
        <v>47</v>
      </c>
      <c r="C392" t="s">
        <v>16</v>
      </c>
      <c r="D392" t="s">
        <v>34</v>
      </c>
      <c r="E392" t="s">
        <v>18</v>
      </c>
      <c r="F392" s="4">
        <v>110</v>
      </c>
      <c r="G392" s="4">
        <v>249</v>
      </c>
      <c r="H392" t="s">
        <v>21</v>
      </c>
      <c r="I392" t="s">
        <v>26</v>
      </c>
      <c r="J392" s="4">
        <v>150</v>
      </c>
      <c r="K392" t="s">
        <v>21</v>
      </c>
      <c r="L392" t="s">
        <v>32</v>
      </c>
      <c r="N392" t="s">
        <v>32</v>
      </c>
      <c r="O392" s="4">
        <v>0</v>
      </c>
      <c r="P392" s="5">
        <v>0</v>
      </c>
    </row>
    <row r="393" spans="1:16" x14ac:dyDescent="0.3">
      <c r="A393" s="4">
        <v>392</v>
      </c>
      <c r="B393" s="4">
        <v>47</v>
      </c>
      <c r="C393" t="s">
        <v>16</v>
      </c>
      <c r="D393" t="s">
        <v>34</v>
      </c>
      <c r="E393" t="s">
        <v>30</v>
      </c>
      <c r="F393" s="4">
        <v>160</v>
      </c>
      <c r="G393" s="4">
        <v>263</v>
      </c>
      <c r="H393" t="s">
        <v>21</v>
      </c>
      <c r="I393" t="s">
        <v>26</v>
      </c>
      <c r="J393" s="4">
        <v>174</v>
      </c>
      <c r="K393" t="s">
        <v>21</v>
      </c>
      <c r="L393" t="s">
        <v>32</v>
      </c>
      <c r="N393" t="s">
        <v>32</v>
      </c>
      <c r="O393" s="4">
        <v>0</v>
      </c>
      <c r="P393" s="5">
        <v>0</v>
      </c>
    </row>
    <row r="394" spans="1:16" x14ac:dyDescent="0.3">
      <c r="A394" s="4">
        <v>393</v>
      </c>
      <c r="B394" s="4">
        <v>47</v>
      </c>
      <c r="C394" t="s">
        <v>16</v>
      </c>
      <c r="D394" t="s">
        <v>34</v>
      </c>
      <c r="E394" t="s">
        <v>24</v>
      </c>
      <c r="F394" s="4">
        <v>140</v>
      </c>
      <c r="G394" s="4">
        <v>276</v>
      </c>
      <c r="H394" t="s">
        <v>19</v>
      </c>
      <c r="I394" t="s">
        <v>26</v>
      </c>
      <c r="J394" s="4">
        <v>125</v>
      </c>
      <c r="K394" t="s">
        <v>19</v>
      </c>
      <c r="L394" t="s">
        <v>32</v>
      </c>
      <c r="N394" t="s">
        <v>32</v>
      </c>
      <c r="O394" s="4">
        <v>0</v>
      </c>
      <c r="P394" s="5">
        <v>0</v>
      </c>
    </row>
    <row r="395" spans="1:16" x14ac:dyDescent="0.3">
      <c r="A395" s="4">
        <v>394</v>
      </c>
      <c r="B395" s="4">
        <v>48</v>
      </c>
      <c r="C395" t="s">
        <v>29</v>
      </c>
      <c r="D395" t="s">
        <v>34</v>
      </c>
      <c r="E395" t="s">
        <v>30</v>
      </c>
      <c r="G395" s="4">
        <v>308</v>
      </c>
      <c r="H395" t="s">
        <v>21</v>
      </c>
      <c r="I395" t="s">
        <v>33</v>
      </c>
      <c r="K395" t="s">
        <v>32</v>
      </c>
      <c r="L395" t="s">
        <v>31</v>
      </c>
      <c r="N395" t="s">
        <v>32</v>
      </c>
      <c r="O395" s="4">
        <v>0</v>
      </c>
      <c r="P395" s="5">
        <v>2</v>
      </c>
    </row>
    <row r="396" spans="1:16" x14ac:dyDescent="0.3">
      <c r="A396" s="4">
        <v>395</v>
      </c>
      <c r="B396" s="4">
        <v>48</v>
      </c>
      <c r="C396" t="s">
        <v>29</v>
      </c>
      <c r="D396" t="s">
        <v>34</v>
      </c>
      <c r="E396" t="s">
        <v>30</v>
      </c>
      <c r="F396" s="4">
        <v>120</v>
      </c>
      <c r="H396" t="s">
        <v>19</v>
      </c>
      <c r="I396" t="s">
        <v>33</v>
      </c>
      <c r="J396" s="4">
        <v>148</v>
      </c>
      <c r="K396" t="s">
        <v>21</v>
      </c>
      <c r="L396" t="s">
        <v>32</v>
      </c>
      <c r="N396" t="s">
        <v>32</v>
      </c>
      <c r="O396" s="4">
        <v>0</v>
      </c>
      <c r="P396" s="5">
        <v>0</v>
      </c>
    </row>
    <row r="397" spans="1:16" x14ac:dyDescent="0.3">
      <c r="A397" s="4">
        <v>396</v>
      </c>
      <c r="B397" s="4">
        <v>48</v>
      </c>
      <c r="C397" t="s">
        <v>29</v>
      </c>
      <c r="D397" t="s">
        <v>34</v>
      </c>
      <c r="E397" t="s">
        <v>30</v>
      </c>
      <c r="F397" s="4">
        <v>120</v>
      </c>
      <c r="G397" s="4">
        <v>284</v>
      </c>
      <c r="H397" t="s">
        <v>21</v>
      </c>
      <c r="I397" t="s">
        <v>26</v>
      </c>
      <c r="J397" s="4">
        <v>120</v>
      </c>
      <c r="K397" t="s">
        <v>21</v>
      </c>
      <c r="L397" t="s">
        <v>32</v>
      </c>
      <c r="N397" t="s">
        <v>32</v>
      </c>
      <c r="O397" s="4">
        <v>0</v>
      </c>
      <c r="P397" s="5">
        <v>0</v>
      </c>
    </row>
    <row r="398" spans="1:16" x14ac:dyDescent="0.3">
      <c r="A398" s="4">
        <v>397</v>
      </c>
      <c r="B398" s="4">
        <v>48</v>
      </c>
      <c r="C398" t="s">
        <v>29</v>
      </c>
      <c r="D398" t="s">
        <v>34</v>
      </c>
      <c r="E398" t="s">
        <v>28</v>
      </c>
      <c r="F398" s="4">
        <v>120</v>
      </c>
      <c r="G398" s="4">
        <v>195</v>
      </c>
      <c r="H398" t="s">
        <v>21</v>
      </c>
      <c r="I398" t="s">
        <v>26</v>
      </c>
      <c r="J398" s="4">
        <v>125</v>
      </c>
      <c r="K398" t="s">
        <v>21</v>
      </c>
      <c r="L398" t="s">
        <v>32</v>
      </c>
      <c r="N398" t="s">
        <v>32</v>
      </c>
      <c r="O398" s="4">
        <v>0</v>
      </c>
      <c r="P398" s="5">
        <v>0</v>
      </c>
    </row>
    <row r="399" spans="1:16" x14ac:dyDescent="0.3">
      <c r="A399" s="4">
        <v>398</v>
      </c>
      <c r="B399" s="4">
        <v>48</v>
      </c>
      <c r="C399" t="s">
        <v>29</v>
      </c>
      <c r="D399" t="s">
        <v>34</v>
      </c>
      <c r="E399" t="s">
        <v>24</v>
      </c>
      <c r="F399" s="4">
        <v>108</v>
      </c>
      <c r="G399" s="4">
        <v>163</v>
      </c>
      <c r="H399" t="s">
        <v>21</v>
      </c>
      <c r="I399" t="s">
        <v>26</v>
      </c>
      <c r="J399" s="4">
        <v>175</v>
      </c>
      <c r="K399" t="s">
        <v>21</v>
      </c>
      <c r="L399" t="s">
        <v>31</v>
      </c>
      <c r="N399" t="s">
        <v>32</v>
      </c>
      <c r="O399" s="4">
        <v>0</v>
      </c>
      <c r="P399" s="5">
        <v>2</v>
      </c>
    </row>
    <row r="400" spans="1:16" x14ac:dyDescent="0.3">
      <c r="A400" s="4">
        <v>399</v>
      </c>
      <c r="B400" s="4">
        <v>48</v>
      </c>
      <c r="C400" t="s">
        <v>29</v>
      </c>
      <c r="D400" t="s">
        <v>34</v>
      </c>
      <c r="E400" t="s">
        <v>24</v>
      </c>
      <c r="F400" s="4">
        <v>120</v>
      </c>
      <c r="G400" s="4">
        <v>254</v>
      </c>
      <c r="H400" t="s">
        <v>21</v>
      </c>
      <c r="I400" t="s">
        <v>33</v>
      </c>
      <c r="J400" s="4">
        <v>110</v>
      </c>
      <c r="K400" t="s">
        <v>21</v>
      </c>
      <c r="L400" t="s">
        <v>32</v>
      </c>
      <c r="N400" t="s">
        <v>32</v>
      </c>
      <c r="O400" s="4">
        <v>0</v>
      </c>
      <c r="P400" s="5">
        <v>0</v>
      </c>
    </row>
    <row r="401" spans="1:16" x14ac:dyDescent="0.3">
      <c r="A401" s="4">
        <v>400</v>
      </c>
      <c r="B401" s="4">
        <v>48</v>
      </c>
      <c r="C401" t="s">
        <v>29</v>
      </c>
      <c r="D401" t="s">
        <v>34</v>
      </c>
      <c r="E401" t="s">
        <v>24</v>
      </c>
      <c r="F401" s="4">
        <v>150</v>
      </c>
      <c r="G401" s="4">
        <v>227</v>
      </c>
      <c r="H401" t="s">
        <v>21</v>
      </c>
      <c r="I401" t="s">
        <v>26</v>
      </c>
      <c r="J401" s="4">
        <v>130</v>
      </c>
      <c r="K401" t="s">
        <v>19</v>
      </c>
      <c r="L401" t="s">
        <v>25</v>
      </c>
      <c r="N401" t="s">
        <v>32</v>
      </c>
      <c r="O401" s="4">
        <v>0</v>
      </c>
      <c r="P401" s="5">
        <v>1</v>
      </c>
    </row>
    <row r="402" spans="1:16" x14ac:dyDescent="0.3">
      <c r="A402" s="4">
        <v>401</v>
      </c>
      <c r="B402" s="4">
        <v>48</v>
      </c>
      <c r="C402" t="s">
        <v>16</v>
      </c>
      <c r="D402" t="s">
        <v>34</v>
      </c>
      <c r="E402" t="s">
        <v>30</v>
      </c>
      <c r="F402" s="4">
        <v>100</v>
      </c>
      <c r="H402" t="s">
        <v>21</v>
      </c>
      <c r="I402" t="s">
        <v>26</v>
      </c>
      <c r="J402" s="4">
        <v>100</v>
      </c>
      <c r="K402" t="s">
        <v>21</v>
      </c>
      <c r="L402" t="s">
        <v>32</v>
      </c>
      <c r="N402" t="s">
        <v>32</v>
      </c>
      <c r="O402" s="4">
        <v>0</v>
      </c>
      <c r="P402" s="5">
        <v>0</v>
      </c>
    </row>
    <row r="403" spans="1:16" x14ac:dyDescent="0.3">
      <c r="A403" s="4">
        <v>402</v>
      </c>
      <c r="B403" s="4">
        <v>48</v>
      </c>
      <c r="C403" t="s">
        <v>16</v>
      </c>
      <c r="D403" t="s">
        <v>34</v>
      </c>
      <c r="E403" t="s">
        <v>30</v>
      </c>
      <c r="F403" s="4">
        <v>130</v>
      </c>
      <c r="G403" s="4">
        <v>245</v>
      </c>
      <c r="H403" t="s">
        <v>21</v>
      </c>
      <c r="I403" t="s">
        <v>26</v>
      </c>
      <c r="J403" s="4">
        <v>160</v>
      </c>
      <c r="K403" t="s">
        <v>21</v>
      </c>
      <c r="L403" t="s">
        <v>32</v>
      </c>
      <c r="N403" t="s">
        <v>32</v>
      </c>
      <c r="O403" s="4">
        <v>0</v>
      </c>
      <c r="P403" s="5">
        <v>0</v>
      </c>
    </row>
    <row r="404" spans="1:16" x14ac:dyDescent="0.3">
      <c r="A404" s="4">
        <v>403</v>
      </c>
      <c r="B404" s="4">
        <v>48</v>
      </c>
      <c r="C404" t="s">
        <v>16</v>
      </c>
      <c r="D404" t="s">
        <v>34</v>
      </c>
      <c r="E404" t="s">
        <v>30</v>
      </c>
      <c r="F404" s="4">
        <v>140</v>
      </c>
      <c r="G404" s="4">
        <v>238</v>
      </c>
      <c r="H404" t="s">
        <v>21</v>
      </c>
      <c r="I404" t="s">
        <v>26</v>
      </c>
      <c r="J404" s="4">
        <v>118</v>
      </c>
      <c r="K404" t="s">
        <v>21</v>
      </c>
      <c r="L404" t="s">
        <v>32</v>
      </c>
      <c r="N404" t="s">
        <v>32</v>
      </c>
      <c r="O404" s="4">
        <v>0</v>
      </c>
      <c r="P404" s="5">
        <v>0</v>
      </c>
    </row>
    <row r="405" spans="1:16" x14ac:dyDescent="0.3">
      <c r="A405" s="4">
        <v>404</v>
      </c>
      <c r="B405" s="4">
        <v>48</v>
      </c>
      <c r="C405" t="s">
        <v>16</v>
      </c>
      <c r="D405" t="s">
        <v>34</v>
      </c>
      <c r="E405" t="s">
        <v>28</v>
      </c>
      <c r="F405" s="4">
        <v>110</v>
      </c>
      <c r="G405" s="4">
        <v>211</v>
      </c>
      <c r="H405" t="s">
        <v>21</v>
      </c>
      <c r="I405" t="s">
        <v>26</v>
      </c>
      <c r="J405" s="4">
        <v>138</v>
      </c>
      <c r="K405" t="s">
        <v>21</v>
      </c>
      <c r="L405" t="s">
        <v>32</v>
      </c>
      <c r="N405" t="s">
        <v>23</v>
      </c>
      <c r="O405" s="4">
        <v>0</v>
      </c>
      <c r="P405" s="5">
        <v>0</v>
      </c>
    </row>
    <row r="406" spans="1:16" x14ac:dyDescent="0.3">
      <c r="A406" s="4">
        <v>405</v>
      </c>
      <c r="B406" s="4">
        <v>49</v>
      </c>
      <c r="C406" t="s">
        <v>29</v>
      </c>
      <c r="D406" t="s">
        <v>34</v>
      </c>
      <c r="E406" t="s">
        <v>30</v>
      </c>
      <c r="F406" s="4">
        <v>110</v>
      </c>
      <c r="H406" t="s">
        <v>21</v>
      </c>
      <c r="I406" t="s">
        <v>26</v>
      </c>
      <c r="J406" s="4">
        <v>160</v>
      </c>
      <c r="K406" t="s">
        <v>21</v>
      </c>
      <c r="L406" t="s">
        <v>32</v>
      </c>
      <c r="N406" t="s">
        <v>32</v>
      </c>
      <c r="O406" s="4">
        <v>0</v>
      </c>
      <c r="P406" s="5">
        <v>0</v>
      </c>
    </row>
    <row r="407" spans="1:16" x14ac:dyDescent="0.3">
      <c r="A407" s="4">
        <v>406</v>
      </c>
      <c r="B407" s="4">
        <v>49</v>
      </c>
      <c r="C407" t="s">
        <v>29</v>
      </c>
      <c r="D407" t="s">
        <v>34</v>
      </c>
      <c r="E407" t="s">
        <v>30</v>
      </c>
      <c r="F407" s="4">
        <v>110</v>
      </c>
      <c r="H407" t="s">
        <v>21</v>
      </c>
      <c r="I407" t="s">
        <v>26</v>
      </c>
      <c r="J407" s="4">
        <v>160</v>
      </c>
      <c r="K407" t="s">
        <v>21</v>
      </c>
      <c r="L407" t="s">
        <v>32</v>
      </c>
      <c r="N407" t="s">
        <v>32</v>
      </c>
      <c r="O407" s="4">
        <v>0</v>
      </c>
      <c r="P407" s="5">
        <v>0</v>
      </c>
    </row>
    <row r="408" spans="1:16" x14ac:dyDescent="0.3">
      <c r="A408" s="4">
        <v>407</v>
      </c>
      <c r="B408" s="4">
        <v>49</v>
      </c>
      <c r="C408" t="s">
        <v>29</v>
      </c>
      <c r="D408" t="s">
        <v>34</v>
      </c>
      <c r="E408" t="s">
        <v>30</v>
      </c>
      <c r="F408" s="4">
        <v>124</v>
      </c>
      <c r="G408" s="4">
        <v>201</v>
      </c>
      <c r="H408" t="s">
        <v>21</v>
      </c>
      <c r="I408" t="s">
        <v>26</v>
      </c>
      <c r="J408" s="4">
        <v>164</v>
      </c>
      <c r="K408" t="s">
        <v>21</v>
      </c>
      <c r="L408" t="s">
        <v>32</v>
      </c>
      <c r="N408" t="s">
        <v>32</v>
      </c>
      <c r="O408" s="4">
        <v>0</v>
      </c>
      <c r="P408" s="5">
        <v>0</v>
      </c>
    </row>
    <row r="409" spans="1:16" x14ac:dyDescent="0.3">
      <c r="A409" s="4">
        <v>408</v>
      </c>
      <c r="B409" s="4">
        <v>49</v>
      </c>
      <c r="C409" t="s">
        <v>29</v>
      </c>
      <c r="D409" t="s">
        <v>34</v>
      </c>
      <c r="E409" t="s">
        <v>28</v>
      </c>
      <c r="F409" s="4">
        <v>130</v>
      </c>
      <c r="G409" s="4">
        <v>207</v>
      </c>
      <c r="H409" t="s">
        <v>21</v>
      </c>
      <c r="I409" t="s">
        <v>33</v>
      </c>
      <c r="J409" s="4">
        <v>135</v>
      </c>
      <c r="K409" t="s">
        <v>21</v>
      </c>
      <c r="L409" t="s">
        <v>32</v>
      </c>
      <c r="N409" t="s">
        <v>32</v>
      </c>
      <c r="O409" s="4">
        <v>0</v>
      </c>
      <c r="P409" s="5">
        <v>0</v>
      </c>
    </row>
    <row r="410" spans="1:16" x14ac:dyDescent="0.3">
      <c r="A410" s="4">
        <v>409</v>
      </c>
      <c r="B410" s="4">
        <v>49</v>
      </c>
      <c r="C410" t="s">
        <v>16</v>
      </c>
      <c r="D410" t="s">
        <v>34</v>
      </c>
      <c r="E410" t="s">
        <v>30</v>
      </c>
      <c r="F410" s="4">
        <v>100</v>
      </c>
      <c r="G410" s="4">
        <v>253</v>
      </c>
      <c r="H410" t="s">
        <v>21</v>
      </c>
      <c r="I410" t="s">
        <v>26</v>
      </c>
      <c r="J410" s="4">
        <v>174</v>
      </c>
      <c r="K410" t="s">
        <v>21</v>
      </c>
      <c r="L410" t="s">
        <v>32</v>
      </c>
      <c r="N410" t="s">
        <v>32</v>
      </c>
      <c r="O410" s="4">
        <v>0</v>
      </c>
      <c r="P410" s="5">
        <v>0</v>
      </c>
    </row>
    <row r="411" spans="1:16" x14ac:dyDescent="0.3">
      <c r="A411" s="4">
        <v>410</v>
      </c>
      <c r="B411" s="4">
        <v>49</v>
      </c>
      <c r="C411" t="s">
        <v>16</v>
      </c>
      <c r="D411" t="s">
        <v>34</v>
      </c>
      <c r="E411" t="s">
        <v>28</v>
      </c>
      <c r="F411" s="4">
        <v>140</v>
      </c>
      <c r="G411" s="4">
        <v>187</v>
      </c>
      <c r="H411" t="s">
        <v>21</v>
      </c>
      <c r="I411" t="s">
        <v>26</v>
      </c>
      <c r="J411" s="4">
        <v>172</v>
      </c>
      <c r="K411" t="s">
        <v>21</v>
      </c>
      <c r="L411" t="s">
        <v>32</v>
      </c>
      <c r="N411" t="s">
        <v>32</v>
      </c>
      <c r="O411" s="4">
        <v>0</v>
      </c>
      <c r="P411" s="5">
        <v>0</v>
      </c>
    </row>
    <row r="412" spans="1:16" x14ac:dyDescent="0.3">
      <c r="A412" s="4">
        <v>411</v>
      </c>
      <c r="B412" s="4">
        <v>49</v>
      </c>
      <c r="C412" t="s">
        <v>16</v>
      </c>
      <c r="D412" t="s">
        <v>34</v>
      </c>
      <c r="E412" t="s">
        <v>24</v>
      </c>
      <c r="F412" s="4">
        <v>120</v>
      </c>
      <c r="G412" s="4">
        <v>297</v>
      </c>
      <c r="H412" t="s">
        <v>32</v>
      </c>
      <c r="I412" t="s">
        <v>26</v>
      </c>
      <c r="J412" s="4">
        <v>132</v>
      </c>
      <c r="K412" t="s">
        <v>21</v>
      </c>
      <c r="L412" t="s">
        <v>25</v>
      </c>
      <c r="N412" t="s">
        <v>32</v>
      </c>
      <c r="O412" s="4">
        <v>0</v>
      </c>
      <c r="P412" s="5">
        <v>1</v>
      </c>
    </row>
    <row r="413" spans="1:16" x14ac:dyDescent="0.3">
      <c r="A413" s="4">
        <v>412</v>
      </c>
      <c r="B413" s="4">
        <v>49</v>
      </c>
      <c r="C413" t="s">
        <v>16</v>
      </c>
      <c r="D413" t="s">
        <v>34</v>
      </c>
      <c r="E413" t="s">
        <v>24</v>
      </c>
      <c r="F413" s="4">
        <v>140</v>
      </c>
      <c r="H413" t="s">
        <v>21</v>
      </c>
      <c r="I413" t="s">
        <v>26</v>
      </c>
      <c r="J413" s="4">
        <v>130</v>
      </c>
      <c r="K413" t="s">
        <v>21</v>
      </c>
      <c r="L413" t="s">
        <v>32</v>
      </c>
      <c r="N413" t="s">
        <v>32</v>
      </c>
      <c r="O413" s="4">
        <v>0</v>
      </c>
      <c r="P413" s="5">
        <v>0</v>
      </c>
    </row>
    <row r="414" spans="1:16" x14ac:dyDescent="0.3">
      <c r="A414" s="4">
        <v>413</v>
      </c>
      <c r="B414" s="4">
        <v>50</v>
      </c>
      <c r="C414" t="s">
        <v>29</v>
      </c>
      <c r="D414" t="s">
        <v>34</v>
      </c>
      <c r="E414" t="s">
        <v>30</v>
      </c>
      <c r="F414" s="4">
        <v>110</v>
      </c>
      <c r="G414" s="4">
        <v>202</v>
      </c>
      <c r="H414" t="s">
        <v>21</v>
      </c>
      <c r="I414" t="s">
        <v>26</v>
      </c>
      <c r="J414" s="4">
        <v>145</v>
      </c>
      <c r="K414" t="s">
        <v>21</v>
      </c>
      <c r="L414" t="s">
        <v>32</v>
      </c>
      <c r="N414" t="s">
        <v>32</v>
      </c>
      <c r="O414" s="4">
        <v>0</v>
      </c>
      <c r="P414" s="5">
        <v>0</v>
      </c>
    </row>
    <row r="415" spans="1:16" x14ac:dyDescent="0.3">
      <c r="A415" s="4">
        <v>414</v>
      </c>
      <c r="B415" s="4">
        <v>50</v>
      </c>
      <c r="C415" t="s">
        <v>29</v>
      </c>
      <c r="D415" t="s">
        <v>34</v>
      </c>
      <c r="E415" t="s">
        <v>24</v>
      </c>
      <c r="F415" s="4">
        <v>120</v>
      </c>
      <c r="G415" s="4">
        <v>328</v>
      </c>
      <c r="H415" t="s">
        <v>21</v>
      </c>
      <c r="I415" t="s">
        <v>26</v>
      </c>
      <c r="J415" s="4">
        <v>110</v>
      </c>
      <c r="K415" t="s">
        <v>19</v>
      </c>
      <c r="L415" t="s">
        <v>25</v>
      </c>
      <c r="N415" t="s">
        <v>32</v>
      </c>
      <c r="O415" s="4">
        <v>0</v>
      </c>
      <c r="P415" s="5">
        <v>1</v>
      </c>
    </row>
    <row r="416" spans="1:16" x14ac:dyDescent="0.3">
      <c r="A416" s="4">
        <v>415</v>
      </c>
      <c r="B416" s="4">
        <v>50</v>
      </c>
      <c r="C416" t="s">
        <v>16</v>
      </c>
      <c r="D416" t="s">
        <v>34</v>
      </c>
      <c r="E416" t="s">
        <v>30</v>
      </c>
      <c r="F416" s="4">
        <v>120</v>
      </c>
      <c r="G416" s="4">
        <v>168</v>
      </c>
      <c r="H416" t="s">
        <v>21</v>
      </c>
      <c r="I416" t="s">
        <v>26</v>
      </c>
      <c r="J416" s="4">
        <v>160</v>
      </c>
      <c r="K416" t="s">
        <v>21</v>
      </c>
      <c r="L416" t="s">
        <v>32</v>
      </c>
      <c r="M416" s="4">
        <v>0</v>
      </c>
      <c r="N416" t="s">
        <v>32</v>
      </c>
      <c r="O416" s="4">
        <v>0</v>
      </c>
      <c r="P416" s="5">
        <v>0</v>
      </c>
    </row>
    <row r="417" spans="1:16" x14ac:dyDescent="0.3">
      <c r="A417" s="4">
        <v>416</v>
      </c>
      <c r="B417" s="4">
        <v>50</v>
      </c>
      <c r="C417" t="s">
        <v>16</v>
      </c>
      <c r="D417" t="s">
        <v>34</v>
      </c>
      <c r="E417" t="s">
        <v>30</v>
      </c>
      <c r="F417" s="4">
        <v>140</v>
      </c>
      <c r="G417" s="4">
        <v>216</v>
      </c>
      <c r="H417" t="s">
        <v>21</v>
      </c>
      <c r="I417" t="s">
        <v>26</v>
      </c>
      <c r="J417" s="4">
        <v>170</v>
      </c>
      <c r="K417" t="s">
        <v>21</v>
      </c>
      <c r="L417" t="s">
        <v>32</v>
      </c>
      <c r="N417" t="s">
        <v>26</v>
      </c>
      <c r="O417" s="4">
        <v>0</v>
      </c>
      <c r="P417" s="5">
        <v>0</v>
      </c>
    </row>
    <row r="418" spans="1:16" x14ac:dyDescent="0.3">
      <c r="A418" s="4">
        <v>417</v>
      </c>
      <c r="B418" s="4">
        <v>50</v>
      </c>
      <c r="C418" t="s">
        <v>16</v>
      </c>
      <c r="D418" t="s">
        <v>34</v>
      </c>
      <c r="E418" t="s">
        <v>30</v>
      </c>
      <c r="F418" s="4">
        <v>170</v>
      </c>
      <c r="G418" s="4">
        <v>209</v>
      </c>
      <c r="H418" t="s">
        <v>21</v>
      </c>
      <c r="I418" t="s">
        <v>33</v>
      </c>
      <c r="J418" s="4">
        <v>116</v>
      </c>
      <c r="K418" t="s">
        <v>21</v>
      </c>
      <c r="L418" t="s">
        <v>32</v>
      </c>
      <c r="N418" t="s">
        <v>32</v>
      </c>
      <c r="O418" s="4">
        <v>0</v>
      </c>
      <c r="P418" s="5">
        <v>0</v>
      </c>
    </row>
    <row r="419" spans="1:16" x14ac:dyDescent="0.3">
      <c r="A419" s="4">
        <v>418</v>
      </c>
      <c r="B419" s="4">
        <v>50</v>
      </c>
      <c r="C419" t="s">
        <v>16</v>
      </c>
      <c r="D419" t="s">
        <v>34</v>
      </c>
      <c r="E419" t="s">
        <v>24</v>
      </c>
      <c r="F419" s="4">
        <v>140</v>
      </c>
      <c r="G419" s="4">
        <v>129</v>
      </c>
      <c r="H419" t="s">
        <v>21</v>
      </c>
      <c r="I419" t="s">
        <v>26</v>
      </c>
      <c r="J419" s="4">
        <v>135</v>
      </c>
      <c r="K419" t="s">
        <v>21</v>
      </c>
      <c r="L419" t="s">
        <v>32</v>
      </c>
      <c r="N419" t="s">
        <v>32</v>
      </c>
      <c r="O419" s="4">
        <v>0</v>
      </c>
      <c r="P419" s="5">
        <v>0</v>
      </c>
    </row>
    <row r="420" spans="1:16" x14ac:dyDescent="0.3">
      <c r="A420" s="4">
        <v>419</v>
      </c>
      <c r="B420" s="4">
        <v>50</v>
      </c>
      <c r="C420" t="s">
        <v>16</v>
      </c>
      <c r="D420" t="s">
        <v>34</v>
      </c>
      <c r="E420" t="s">
        <v>24</v>
      </c>
      <c r="F420" s="4">
        <v>150</v>
      </c>
      <c r="G420" s="4">
        <v>215</v>
      </c>
      <c r="H420" t="s">
        <v>21</v>
      </c>
      <c r="I420" t="s">
        <v>26</v>
      </c>
      <c r="J420" s="4">
        <v>140</v>
      </c>
      <c r="K420" t="s">
        <v>19</v>
      </c>
      <c r="L420" t="s">
        <v>32</v>
      </c>
      <c r="N420" t="s">
        <v>32</v>
      </c>
      <c r="O420" s="4">
        <v>0</v>
      </c>
      <c r="P420" s="5">
        <v>0</v>
      </c>
    </row>
    <row r="421" spans="1:16" x14ac:dyDescent="0.3">
      <c r="A421" s="4">
        <v>420</v>
      </c>
      <c r="B421" s="4">
        <v>51</v>
      </c>
      <c r="C421" t="s">
        <v>29</v>
      </c>
      <c r="D421" t="s">
        <v>34</v>
      </c>
      <c r="E421" t="s">
        <v>30</v>
      </c>
      <c r="F421" s="4">
        <v>160</v>
      </c>
      <c r="G421" s="4">
        <v>194</v>
      </c>
      <c r="H421" t="s">
        <v>21</v>
      </c>
      <c r="I421" t="s">
        <v>26</v>
      </c>
      <c r="J421" s="4">
        <v>170</v>
      </c>
      <c r="K421" t="s">
        <v>21</v>
      </c>
      <c r="L421" t="s">
        <v>32</v>
      </c>
      <c r="N421" t="s">
        <v>32</v>
      </c>
      <c r="O421" s="4">
        <v>0</v>
      </c>
      <c r="P421" s="5">
        <v>0</v>
      </c>
    </row>
    <row r="422" spans="1:16" x14ac:dyDescent="0.3">
      <c r="A422" s="4">
        <v>421</v>
      </c>
      <c r="B422" s="4">
        <v>51</v>
      </c>
      <c r="C422" t="s">
        <v>29</v>
      </c>
      <c r="D422" t="s">
        <v>34</v>
      </c>
      <c r="E422" t="s">
        <v>28</v>
      </c>
      <c r="F422" s="4">
        <v>110</v>
      </c>
      <c r="G422" s="4">
        <v>190</v>
      </c>
      <c r="H422" t="s">
        <v>21</v>
      </c>
      <c r="I422" t="s">
        <v>26</v>
      </c>
      <c r="J422" s="4">
        <v>120</v>
      </c>
      <c r="K422" t="s">
        <v>21</v>
      </c>
      <c r="L422" t="s">
        <v>32</v>
      </c>
      <c r="N422" t="s">
        <v>32</v>
      </c>
      <c r="O422" s="4">
        <v>0</v>
      </c>
      <c r="P422" s="5">
        <v>0</v>
      </c>
    </row>
    <row r="423" spans="1:16" x14ac:dyDescent="0.3">
      <c r="A423" s="4">
        <v>422</v>
      </c>
      <c r="B423" s="4">
        <v>51</v>
      </c>
      <c r="C423" t="s">
        <v>29</v>
      </c>
      <c r="D423" t="s">
        <v>34</v>
      </c>
      <c r="E423" t="s">
        <v>28</v>
      </c>
      <c r="F423" s="4">
        <v>130</v>
      </c>
      <c r="G423" s="4">
        <v>220</v>
      </c>
      <c r="H423" t="s">
        <v>21</v>
      </c>
      <c r="I423" t="s">
        <v>26</v>
      </c>
      <c r="J423" s="4">
        <v>160</v>
      </c>
      <c r="K423" t="s">
        <v>19</v>
      </c>
      <c r="L423" t="s">
        <v>31</v>
      </c>
      <c r="N423" t="s">
        <v>32</v>
      </c>
      <c r="O423" s="4">
        <v>0</v>
      </c>
      <c r="P423" s="5">
        <v>2</v>
      </c>
    </row>
    <row r="424" spans="1:16" x14ac:dyDescent="0.3">
      <c r="A424" s="4">
        <v>423</v>
      </c>
      <c r="B424" s="4">
        <v>51</v>
      </c>
      <c r="C424" t="s">
        <v>29</v>
      </c>
      <c r="D424" t="s">
        <v>34</v>
      </c>
      <c r="E424" t="s">
        <v>28</v>
      </c>
      <c r="F424" s="4">
        <v>150</v>
      </c>
      <c r="G424" s="4">
        <v>200</v>
      </c>
      <c r="H424" t="s">
        <v>21</v>
      </c>
      <c r="I424" t="s">
        <v>26</v>
      </c>
      <c r="J424" s="4">
        <v>120</v>
      </c>
      <c r="K424" t="s">
        <v>21</v>
      </c>
      <c r="L424" t="s">
        <v>31</v>
      </c>
      <c r="N424" t="s">
        <v>32</v>
      </c>
      <c r="O424" s="4">
        <v>0</v>
      </c>
      <c r="P424" s="5">
        <v>0.5</v>
      </c>
    </row>
    <row r="425" spans="1:16" x14ac:dyDescent="0.3">
      <c r="A425" s="4">
        <v>424</v>
      </c>
      <c r="B425" s="4">
        <v>51</v>
      </c>
      <c r="C425" t="s">
        <v>16</v>
      </c>
      <c r="D425" t="s">
        <v>34</v>
      </c>
      <c r="E425" t="s">
        <v>30</v>
      </c>
      <c r="F425" s="4">
        <v>125</v>
      </c>
      <c r="G425" s="4">
        <v>188</v>
      </c>
      <c r="H425" t="s">
        <v>21</v>
      </c>
      <c r="I425" t="s">
        <v>26</v>
      </c>
      <c r="J425" s="4">
        <v>145</v>
      </c>
      <c r="K425" t="s">
        <v>21</v>
      </c>
      <c r="L425" t="s">
        <v>32</v>
      </c>
      <c r="N425" t="s">
        <v>32</v>
      </c>
      <c r="O425" s="4">
        <v>0</v>
      </c>
      <c r="P425" s="5">
        <v>0</v>
      </c>
    </row>
    <row r="426" spans="1:16" x14ac:dyDescent="0.3">
      <c r="A426" s="4">
        <v>425</v>
      </c>
      <c r="B426" s="4">
        <v>51</v>
      </c>
      <c r="C426" t="s">
        <v>16</v>
      </c>
      <c r="D426" t="s">
        <v>34</v>
      </c>
      <c r="E426" t="s">
        <v>30</v>
      </c>
      <c r="F426" s="4">
        <v>130</v>
      </c>
      <c r="G426" s="4">
        <v>224</v>
      </c>
      <c r="H426" t="s">
        <v>21</v>
      </c>
      <c r="I426" t="s">
        <v>26</v>
      </c>
      <c r="J426" s="4">
        <v>150</v>
      </c>
      <c r="K426" t="s">
        <v>21</v>
      </c>
      <c r="L426" t="s">
        <v>32</v>
      </c>
      <c r="N426" t="s">
        <v>32</v>
      </c>
      <c r="O426" s="4">
        <v>0</v>
      </c>
      <c r="P426" s="5">
        <v>0</v>
      </c>
    </row>
    <row r="427" spans="1:16" x14ac:dyDescent="0.3">
      <c r="A427" s="4">
        <v>426</v>
      </c>
      <c r="B427" s="4">
        <v>51</v>
      </c>
      <c r="C427" t="s">
        <v>16</v>
      </c>
      <c r="D427" t="s">
        <v>34</v>
      </c>
      <c r="E427" t="s">
        <v>24</v>
      </c>
      <c r="F427" s="4">
        <v>130</v>
      </c>
      <c r="G427" s="4">
        <v>179</v>
      </c>
      <c r="H427" t="s">
        <v>21</v>
      </c>
      <c r="I427" t="s">
        <v>26</v>
      </c>
      <c r="J427" s="4">
        <v>100</v>
      </c>
      <c r="K427" t="s">
        <v>21</v>
      </c>
      <c r="L427" t="s">
        <v>32</v>
      </c>
      <c r="N427" t="s">
        <v>27</v>
      </c>
      <c r="O427" s="4">
        <v>0</v>
      </c>
      <c r="P427" s="5">
        <v>0</v>
      </c>
    </row>
    <row r="428" spans="1:16" x14ac:dyDescent="0.3">
      <c r="A428" s="4">
        <v>427</v>
      </c>
      <c r="B428" s="4">
        <v>52</v>
      </c>
      <c r="C428" t="s">
        <v>29</v>
      </c>
      <c r="D428" t="s">
        <v>34</v>
      </c>
      <c r="E428" t="s">
        <v>30</v>
      </c>
      <c r="F428" s="4">
        <v>120</v>
      </c>
      <c r="G428" s="4">
        <v>210</v>
      </c>
      <c r="H428" t="s">
        <v>21</v>
      </c>
      <c r="I428" t="s">
        <v>26</v>
      </c>
      <c r="J428" s="4">
        <v>148</v>
      </c>
      <c r="K428" t="s">
        <v>21</v>
      </c>
      <c r="L428" t="s">
        <v>32</v>
      </c>
      <c r="N428" t="s">
        <v>32</v>
      </c>
      <c r="O428" s="4">
        <v>0</v>
      </c>
      <c r="P428" s="5">
        <v>0</v>
      </c>
    </row>
    <row r="429" spans="1:16" x14ac:dyDescent="0.3">
      <c r="A429" s="4">
        <v>428</v>
      </c>
      <c r="B429" s="4">
        <v>52</v>
      </c>
      <c r="C429" t="s">
        <v>29</v>
      </c>
      <c r="D429" t="s">
        <v>34</v>
      </c>
      <c r="E429" t="s">
        <v>30</v>
      </c>
      <c r="F429" s="4">
        <v>140</v>
      </c>
      <c r="H429" t="s">
        <v>21</v>
      </c>
      <c r="I429" t="s">
        <v>26</v>
      </c>
      <c r="J429" s="4">
        <v>140</v>
      </c>
      <c r="K429" t="s">
        <v>21</v>
      </c>
      <c r="L429" t="s">
        <v>32</v>
      </c>
      <c r="N429" t="s">
        <v>32</v>
      </c>
      <c r="O429" s="4">
        <v>0</v>
      </c>
      <c r="P429" s="5">
        <v>0</v>
      </c>
    </row>
    <row r="430" spans="1:16" x14ac:dyDescent="0.3">
      <c r="A430" s="4">
        <v>429</v>
      </c>
      <c r="B430" s="4">
        <v>52</v>
      </c>
      <c r="C430" t="s">
        <v>29</v>
      </c>
      <c r="D430" t="s">
        <v>34</v>
      </c>
      <c r="E430" t="s">
        <v>28</v>
      </c>
      <c r="F430" s="4">
        <v>125</v>
      </c>
      <c r="G430" s="4">
        <v>272</v>
      </c>
      <c r="H430" t="s">
        <v>21</v>
      </c>
      <c r="I430" t="s">
        <v>26</v>
      </c>
      <c r="J430" s="4">
        <v>139</v>
      </c>
      <c r="K430" t="s">
        <v>21</v>
      </c>
      <c r="L430" t="s">
        <v>32</v>
      </c>
      <c r="N430" t="s">
        <v>32</v>
      </c>
      <c r="O430" s="4">
        <v>0</v>
      </c>
      <c r="P430" s="5">
        <v>0</v>
      </c>
    </row>
    <row r="431" spans="1:16" x14ac:dyDescent="0.3">
      <c r="A431" s="4">
        <v>430</v>
      </c>
      <c r="B431" s="4">
        <v>52</v>
      </c>
      <c r="C431" t="s">
        <v>29</v>
      </c>
      <c r="D431" t="s">
        <v>34</v>
      </c>
      <c r="E431" t="s">
        <v>24</v>
      </c>
      <c r="F431" s="4">
        <v>130</v>
      </c>
      <c r="G431" s="4">
        <v>180</v>
      </c>
      <c r="H431" t="s">
        <v>21</v>
      </c>
      <c r="I431" t="s">
        <v>26</v>
      </c>
      <c r="J431" s="4">
        <v>140</v>
      </c>
      <c r="K431" t="s">
        <v>19</v>
      </c>
      <c r="L431" t="s">
        <v>25</v>
      </c>
      <c r="N431" t="s">
        <v>32</v>
      </c>
      <c r="O431" s="4">
        <v>0</v>
      </c>
      <c r="P431" s="5">
        <v>0.5</v>
      </c>
    </row>
    <row r="432" spans="1:16" x14ac:dyDescent="0.3">
      <c r="A432" s="4">
        <v>431</v>
      </c>
      <c r="B432" s="4">
        <v>52</v>
      </c>
      <c r="C432" t="s">
        <v>16</v>
      </c>
      <c r="D432" t="s">
        <v>34</v>
      </c>
      <c r="E432" t="s">
        <v>30</v>
      </c>
      <c r="F432" s="4">
        <v>120</v>
      </c>
      <c r="G432" s="4">
        <v>284</v>
      </c>
      <c r="H432" t="s">
        <v>21</v>
      </c>
      <c r="I432" t="s">
        <v>26</v>
      </c>
      <c r="J432" s="4">
        <v>118</v>
      </c>
      <c r="K432" t="s">
        <v>21</v>
      </c>
      <c r="L432" t="s">
        <v>32</v>
      </c>
      <c r="N432" t="s">
        <v>32</v>
      </c>
      <c r="O432" s="4">
        <v>0</v>
      </c>
      <c r="P432" s="5">
        <v>0</v>
      </c>
    </row>
    <row r="433" spans="1:16" x14ac:dyDescent="0.3">
      <c r="A433" s="4">
        <v>432</v>
      </c>
      <c r="B433" s="4">
        <v>52</v>
      </c>
      <c r="C433" t="s">
        <v>16</v>
      </c>
      <c r="D433" t="s">
        <v>34</v>
      </c>
      <c r="E433" t="s">
        <v>30</v>
      </c>
      <c r="F433" s="4">
        <v>140</v>
      </c>
      <c r="G433" s="4">
        <v>100</v>
      </c>
      <c r="H433" t="s">
        <v>21</v>
      </c>
      <c r="I433" t="s">
        <v>26</v>
      </c>
      <c r="J433" s="4">
        <v>138</v>
      </c>
      <c r="K433" t="s">
        <v>19</v>
      </c>
      <c r="L433" t="s">
        <v>32</v>
      </c>
      <c r="N433" t="s">
        <v>32</v>
      </c>
      <c r="O433" s="4">
        <v>0</v>
      </c>
      <c r="P433" s="5">
        <v>0</v>
      </c>
    </row>
    <row r="434" spans="1:16" x14ac:dyDescent="0.3">
      <c r="A434" s="4">
        <v>433</v>
      </c>
      <c r="B434" s="4">
        <v>52</v>
      </c>
      <c r="C434" t="s">
        <v>16</v>
      </c>
      <c r="D434" t="s">
        <v>34</v>
      </c>
      <c r="E434" t="s">
        <v>30</v>
      </c>
      <c r="F434" s="4">
        <v>160</v>
      </c>
      <c r="G434" s="4">
        <v>196</v>
      </c>
      <c r="H434" t="s">
        <v>21</v>
      </c>
      <c r="I434" t="s">
        <v>26</v>
      </c>
      <c r="J434" s="4">
        <v>165</v>
      </c>
      <c r="K434" t="s">
        <v>21</v>
      </c>
      <c r="L434" t="s">
        <v>32</v>
      </c>
      <c r="N434" t="s">
        <v>32</v>
      </c>
      <c r="O434" s="4">
        <v>0</v>
      </c>
      <c r="P434" s="5">
        <v>0</v>
      </c>
    </row>
    <row r="435" spans="1:16" x14ac:dyDescent="0.3">
      <c r="A435" s="4">
        <v>434</v>
      </c>
      <c r="B435" s="4">
        <v>52</v>
      </c>
      <c r="C435" t="s">
        <v>16</v>
      </c>
      <c r="D435" t="s">
        <v>34</v>
      </c>
      <c r="E435" t="s">
        <v>28</v>
      </c>
      <c r="F435" s="4">
        <v>140</v>
      </c>
      <c r="G435" s="4">
        <v>259</v>
      </c>
      <c r="H435" t="s">
        <v>21</v>
      </c>
      <c r="I435" t="s">
        <v>33</v>
      </c>
      <c r="J435" s="4">
        <v>170</v>
      </c>
      <c r="K435" t="s">
        <v>21</v>
      </c>
      <c r="L435" t="s">
        <v>32</v>
      </c>
      <c r="N435" t="s">
        <v>32</v>
      </c>
      <c r="O435" s="4">
        <v>0</v>
      </c>
      <c r="P435" s="5">
        <v>0</v>
      </c>
    </row>
    <row r="436" spans="1:16" x14ac:dyDescent="0.3">
      <c r="A436" s="4">
        <v>435</v>
      </c>
      <c r="B436" s="4">
        <v>53</v>
      </c>
      <c r="C436" t="s">
        <v>29</v>
      </c>
      <c r="D436" t="s">
        <v>34</v>
      </c>
      <c r="E436" t="s">
        <v>30</v>
      </c>
      <c r="F436" s="4">
        <v>113</v>
      </c>
      <c r="G436" s="4">
        <v>468</v>
      </c>
      <c r="H436" t="s">
        <v>32</v>
      </c>
      <c r="I436" t="s">
        <v>26</v>
      </c>
      <c r="J436" s="4">
        <v>127</v>
      </c>
      <c r="K436" t="s">
        <v>21</v>
      </c>
      <c r="L436" t="s">
        <v>32</v>
      </c>
      <c r="N436" t="s">
        <v>32</v>
      </c>
      <c r="O436" s="4">
        <v>0</v>
      </c>
      <c r="P436" s="5">
        <v>0</v>
      </c>
    </row>
    <row r="437" spans="1:16" x14ac:dyDescent="0.3">
      <c r="A437" s="4">
        <v>436</v>
      </c>
      <c r="B437" s="4">
        <v>53</v>
      </c>
      <c r="C437" t="s">
        <v>29</v>
      </c>
      <c r="D437" t="s">
        <v>34</v>
      </c>
      <c r="E437" t="s">
        <v>30</v>
      </c>
      <c r="F437" s="4">
        <v>140</v>
      </c>
      <c r="G437" s="4">
        <v>216</v>
      </c>
      <c r="H437" t="s">
        <v>21</v>
      </c>
      <c r="I437" t="s">
        <v>26</v>
      </c>
      <c r="J437" s="4">
        <v>142</v>
      </c>
      <c r="K437" t="s">
        <v>19</v>
      </c>
      <c r="L437" t="s">
        <v>25</v>
      </c>
      <c r="N437" t="s">
        <v>32</v>
      </c>
      <c r="O437" s="4">
        <v>0</v>
      </c>
      <c r="P437" s="5">
        <v>2</v>
      </c>
    </row>
    <row r="438" spans="1:16" x14ac:dyDescent="0.3">
      <c r="A438" s="4">
        <v>437</v>
      </c>
      <c r="B438" s="4">
        <v>53</v>
      </c>
      <c r="C438" t="s">
        <v>29</v>
      </c>
      <c r="D438" t="s">
        <v>34</v>
      </c>
      <c r="E438" t="s">
        <v>28</v>
      </c>
      <c r="F438" s="4">
        <v>120</v>
      </c>
      <c r="G438" s="4">
        <v>274</v>
      </c>
      <c r="H438" t="s">
        <v>21</v>
      </c>
      <c r="I438" t="s">
        <v>26</v>
      </c>
      <c r="J438" s="4">
        <v>130</v>
      </c>
      <c r="K438" t="s">
        <v>21</v>
      </c>
      <c r="L438" t="s">
        <v>32</v>
      </c>
      <c r="N438" t="s">
        <v>32</v>
      </c>
      <c r="O438" s="4">
        <v>0</v>
      </c>
      <c r="P438" s="5">
        <v>0</v>
      </c>
    </row>
    <row r="439" spans="1:16" x14ac:dyDescent="0.3">
      <c r="A439" s="4">
        <v>438</v>
      </c>
      <c r="B439" s="4">
        <v>53</v>
      </c>
      <c r="C439" t="s">
        <v>16</v>
      </c>
      <c r="D439" t="s">
        <v>34</v>
      </c>
      <c r="E439" t="s">
        <v>30</v>
      </c>
      <c r="F439" s="4">
        <v>120</v>
      </c>
      <c r="H439" t="s">
        <v>21</v>
      </c>
      <c r="I439" t="s">
        <v>26</v>
      </c>
      <c r="J439" s="4">
        <v>132</v>
      </c>
      <c r="K439" t="s">
        <v>21</v>
      </c>
      <c r="L439" t="s">
        <v>32</v>
      </c>
      <c r="N439" t="s">
        <v>32</v>
      </c>
      <c r="O439" s="4">
        <v>0</v>
      </c>
      <c r="P439" s="5">
        <v>0</v>
      </c>
    </row>
    <row r="440" spans="1:16" x14ac:dyDescent="0.3">
      <c r="A440" s="4">
        <v>439</v>
      </c>
      <c r="B440" s="4">
        <v>53</v>
      </c>
      <c r="C440" t="s">
        <v>16</v>
      </c>
      <c r="D440" t="s">
        <v>34</v>
      </c>
      <c r="E440" t="s">
        <v>30</v>
      </c>
      <c r="F440" s="4">
        <v>140</v>
      </c>
      <c r="G440" s="4">
        <v>320</v>
      </c>
      <c r="H440" t="s">
        <v>21</v>
      </c>
      <c r="I440" t="s">
        <v>26</v>
      </c>
      <c r="J440" s="4">
        <v>162</v>
      </c>
      <c r="K440" t="s">
        <v>21</v>
      </c>
      <c r="L440" t="s">
        <v>32</v>
      </c>
      <c r="N440" t="s">
        <v>32</v>
      </c>
      <c r="O440" s="4">
        <v>0</v>
      </c>
      <c r="P440" s="5">
        <v>0</v>
      </c>
    </row>
    <row r="441" spans="1:16" x14ac:dyDescent="0.3">
      <c r="A441" s="4">
        <v>440</v>
      </c>
      <c r="B441" s="4">
        <v>53</v>
      </c>
      <c r="C441" t="s">
        <v>16</v>
      </c>
      <c r="D441" t="s">
        <v>34</v>
      </c>
      <c r="E441" t="s">
        <v>28</v>
      </c>
      <c r="F441" s="4">
        <v>120</v>
      </c>
      <c r="G441" s="4">
        <v>195</v>
      </c>
      <c r="H441" t="s">
        <v>21</v>
      </c>
      <c r="I441" t="s">
        <v>26</v>
      </c>
      <c r="J441" s="4">
        <v>140</v>
      </c>
      <c r="K441" t="s">
        <v>21</v>
      </c>
      <c r="L441" t="s">
        <v>32</v>
      </c>
      <c r="N441" t="s">
        <v>32</v>
      </c>
      <c r="O441" s="4">
        <v>0</v>
      </c>
      <c r="P441" s="5">
        <v>0</v>
      </c>
    </row>
    <row r="442" spans="1:16" x14ac:dyDescent="0.3">
      <c r="A442" s="4">
        <v>441</v>
      </c>
      <c r="B442" s="4">
        <v>53</v>
      </c>
      <c r="C442" t="s">
        <v>16</v>
      </c>
      <c r="D442" t="s">
        <v>34</v>
      </c>
      <c r="E442" t="s">
        <v>24</v>
      </c>
      <c r="F442" s="4">
        <v>124</v>
      </c>
      <c r="G442" s="4">
        <v>260</v>
      </c>
      <c r="H442" t="s">
        <v>21</v>
      </c>
      <c r="I442" t="s">
        <v>33</v>
      </c>
      <c r="J442" s="4">
        <v>112</v>
      </c>
      <c r="K442" t="s">
        <v>19</v>
      </c>
      <c r="L442" t="s">
        <v>25</v>
      </c>
      <c r="N442" t="s">
        <v>32</v>
      </c>
      <c r="O442" s="4">
        <v>0</v>
      </c>
      <c r="P442" s="5">
        <v>3</v>
      </c>
    </row>
    <row r="443" spans="1:16" x14ac:dyDescent="0.3">
      <c r="A443" s="4">
        <v>442</v>
      </c>
      <c r="B443" s="4">
        <v>53</v>
      </c>
      <c r="C443" t="s">
        <v>16</v>
      </c>
      <c r="D443" t="s">
        <v>34</v>
      </c>
      <c r="E443" t="s">
        <v>24</v>
      </c>
      <c r="F443" s="4">
        <v>130</v>
      </c>
      <c r="G443" s="4">
        <v>182</v>
      </c>
      <c r="H443" t="s">
        <v>21</v>
      </c>
      <c r="I443" t="s">
        <v>26</v>
      </c>
      <c r="J443" s="4">
        <v>148</v>
      </c>
      <c r="K443" t="s">
        <v>21</v>
      </c>
      <c r="L443" t="s">
        <v>32</v>
      </c>
      <c r="N443" t="s">
        <v>32</v>
      </c>
      <c r="O443" s="4">
        <v>0</v>
      </c>
      <c r="P443" s="5">
        <v>0</v>
      </c>
    </row>
    <row r="444" spans="1:16" x14ac:dyDescent="0.3">
      <c r="A444" s="4">
        <v>443</v>
      </c>
      <c r="B444" s="4">
        <v>53</v>
      </c>
      <c r="C444" t="s">
        <v>16</v>
      </c>
      <c r="D444" t="s">
        <v>34</v>
      </c>
      <c r="E444" t="s">
        <v>24</v>
      </c>
      <c r="F444" s="4">
        <v>140</v>
      </c>
      <c r="G444" s="4">
        <v>243</v>
      </c>
      <c r="H444" t="s">
        <v>21</v>
      </c>
      <c r="I444" t="s">
        <v>26</v>
      </c>
      <c r="J444" s="4">
        <v>155</v>
      </c>
      <c r="K444" t="s">
        <v>21</v>
      </c>
      <c r="L444" t="s">
        <v>32</v>
      </c>
      <c r="N444" t="s">
        <v>32</v>
      </c>
      <c r="O444" s="4">
        <v>0</v>
      </c>
      <c r="P444" s="5">
        <v>0</v>
      </c>
    </row>
    <row r="445" spans="1:16" x14ac:dyDescent="0.3">
      <c r="A445" s="4">
        <v>444</v>
      </c>
      <c r="B445" s="4">
        <v>54</v>
      </c>
      <c r="C445" t="s">
        <v>29</v>
      </c>
      <c r="D445" t="s">
        <v>34</v>
      </c>
      <c r="E445" t="s">
        <v>30</v>
      </c>
      <c r="F445" s="4">
        <v>120</v>
      </c>
      <c r="G445" s="4">
        <v>221</v>
      </c>
      <c r="H445" t="s">
        <v>21</v>
      </c>
      <c r="I445" t="s">
        <v>26</v>
      </c>
      <c r="J445" s="4">
        <v>138</v>
      </c>
      <c r="K445" t="s">
        <v>21</v>
      </c>
      <c r="L445" t="s">
        <v>31</v>
      </c>
      <c r="N445" t="s">
        <v>32</v>
      </c>
      <c r="O445" s="4">
        <v>0</v>
      </c>
      <c r="P445" s="5">
        <v>1</v>
      </c>
    </row>
    <row r="446" spans="1:16" x14ac:dyDescent="0.3">
      <c r="A446" s="4">
        <v>445</v>
      </c>
      <c r="B446" s="4">
        <v>54</v>
      </c>
      <c r="C446" t="s">
        <v>29</v>
      </c>
      <c r="D446" t="s">
        <v>34</v>
      </c>
      <c r="E446" t="s">
        <v>30</v>
      </c>
      <c r="F446" s="4">
        <v>120</v>
      </c>
      <c r="G446" s="4">
        <v>230</v>
      </c>
      <c r="H446" t="s">
        <v>19</v>
      </c>
      <c r="I446" t="s">
        <v>26</v>
      </c>
      <c r="J446" s="4">
        <v>140</v>
      </c>
      <c r="K446" t="s">
        <v>21</v>
      </c>
      <c r="L446" t="s">
        <v>32</v>
      </c>
      <c r="N446" t="s">
        <v>32</v>
      </c>
      <c r="O446" s="4">
        <v>0</v>
      </c>
      <c r="P446" s="5">
        <v>0</v>
      </c>
    </row>
    <row r="447" spans="1:16" x14ac:dyDescent="0.3">
      <c r="A447" s="4">
        <v>446</v>
      </c>
      <c r="B447" s="4">
        <v>54</v>
      </c>
      <c r="C447" t="s">
        <v>29</v>
      </c>
      <c r="D447" t="s">
        <v>34</v>
      </c>
      <c r="E447" t="s">
        <v>30</v>
      </c>
      <c r="F447" s="4">
        <v>120</v>
      </c>
      <c r="G447" s="4">
        <v>273</v>
      </c>
      <c r="H447" t="s">
        <v>21</v>
      </c>
      <c r="I447" t="s">
        <v>26</v>
      </c>
      <c r="J447" s="4">
        <v>150</v>
      </c>
      <c r="K447" t="s">
        <v>21</v>
      </c>
      <c r="L447" t="s">
        <v>25</v>
      </c>
      <c r="N447" t="s">
        <v>32</v>
      </c>
      <c r="O447" s="4">
        <v>0</v>
      </c>
      <c r="P447" s="5">
        <v>0.5</v>
      </c>
    </row>
    <row r="448" spans="1:16" x14ac:dyDescent="0.3">
      <c r="A448" s="4">
        <v>447</v>
      </c>
      <c r="B448" s="4">
        <v>54</v>
      </c>
      <c r="C448" t="s">
        <v>29</v>
      </c>
      <c r="D448" t="s">
        <v>34</v>
      </c>
      <c r="E448" t="s">
        <v>30</v>
      </c>
      <c r="F448" s="4">
        <v>130</v>
      </c>
      <c r="G448" s="4">
        <v>253</v>
      </c>
      <c r="H448" t="s">
        <v>21</v>
      </c>
      <c r="I448" t="s">
        <v>33</v>
      </c>
      <c r="J448" s="4">
        <v>155</v>
      </c>
      <c r="K448" t="s">
        <v>21</v>
      </c>
      <c r="L448" t="s">
        <v>32</v>
      </c>
      <c r="N448" t="s">
        <v>32</v>
      </c>
      <c r="O448" s="4">
        <v>0</v>
      </c>
      <c r="P448" s="5">
        <v>0</v>
      </c>
    </row>
    <row r="449" spans="1:16" x14ac:dyDescent="0.3">
      <c r="A449" s="4">
        <v>448</v>
      </c>
      <c r="B449" s="4">
        <v>54</v>
      </c>
      <c r="C449" t="s">
        <v>29</v>
      </c>
      <c r="D449" t="s">
        <v>34</v>
      </c>
      <c r="E449" t="s">
        <v>30</v>
      </c>
      <c r="F449" s="4">
        <v>140</v>
      </c>
      <c r="G449" s="4">
        <v>309</v>
      </c>
      <c r="H449" t="s">
        <v>32</v>
      </c>
      <c r="I449" t="s">
        <v>33</v>
      </c>
      <c r="J449" s="4">
        <v>140</v>
      </c>
      <c r="K449" t="s">
        <v>21</v>
      </c>
      <c r="L449" t="s">
        <v>32</v>
      </c>
      <c r="N449" t="s">
        <v>32</v>
      </c>
      <c r="O449" s="4">
        <v>0</v>
      </c>
      <c r="P449" s="5">
        <v>0</v>
      </c>
    </row>
    <row r="450" spans="1:16" x14ac:dyDescent="0.3">
      <c r="A450" s="4">
        <v>449</v>
      </c>
      <c r="B450" s="4">
        <v>54</v>
      </c>
      <c r="C450" t="s">
        <v>29</v>
      </c>
      <c r="D450" t="s">
        <v>34</v>
      </c>
      <c r="E450" t="s">
        <v>30</v>
      </c>
      <c r="F450" s="4">
        <v>150</v>
      </c>
      <c r="G450" s="4">
        <v>230</v>
      </c>
      <c r="H450" t="s">
        <v>21</v>
      </c>
      <c r="I450" t="s">
        <v>26</v>
      </c>
      <c r="J450" s="4">
        <v>130</v>
      </c>
      <c r="K450" t="s">
        <v>21</v>
      </c>
      <c r="L450" t="s">
        <v>32</v>
      </c>
      <c r="N450" t="s">
        <v>32</v>
      </c>
      <c r="O450" s="4">
        <v>0</v>
      </c>
      <c r="P450" s="5">
        <v>0</v>
      </c>
    </row>
    <row r="451" spans="1:16" x14ac:dyDescent="0.3">
      <c r="A451" s="4">
        <v>450</v>
      </c>
      <c r="B451" s="4">
        <v>54</v>
      </c>
      <c r="C451" t="s">
        <v>29</v>
      </c>
      <c r="D451" t="s">
        <v>34</v>
      </c>
      <c r="E451" t="s">
        <v>30</v>
      </c>
      <c r="F451" s="4">
        <v>160</v>
      </c>
      <c r="G451" s="4">
        <v>312</v>
      </c>
      <c r="H451" t="s">
        <v>21</v>
      </c>
      <c r="I451" t="s">
        <v>26</v>
      </c>
      <c r="J451" s="4">
        <v>130</v>
      </c>
      <c r="K451" t="s">
        <v>21</v>
      </c>
      <c r="L451" t="s">
        <v>32</v>
      </c>
      <c r="N451" t="s">
        <v>32</v>
      </c>
      <c r="O451" s="4">
        <v>0</v>
      </c>
      <c r="P451" s="5">
        <v>0</v>
      </c>
    </row>
    <row r="452" spans="1:16" x14ac:dyDescent="0.3">
      <c r="A452" s="4">
        <v>451</v>
      </c>
      <c r="B452" s="4">
        <v>54</v>
      </c>
      <c r="C452" t="s">
        <v>16</v>
      </c>
      <c r="D452" t="s">
        <v>34</v>
      </c>
      <c r="E452" t="s">
        <v>18</v>
      </c>
      <c r="F452" s="4">
        <v>120</v>
      </c>
      <c r="G452" s="4">
        <v>171</v>
      </c>
      <c r="H452" t="s">
        <v>21</v>
      </c>
      <c r="I452" t="s">
        <v>26</v>
      </c>
      <c r="J452" s="4">
        <v>137</v>
      </c>
      <c r="K452" t="s">
        <v>21</v>
      </c>
      <c r="L452" t="s">
        <v>31</v>
      </c>
      <c r="N452" t="s">
        <v>32</v>
      </c>
      <c r="O452" s="4">
        <v>0</v>
      </c>
      <c r="P452" s="5">
        <v>2</v>
      </c>
    </row>
    <row r="453" spans="1:16" x14ac:dyDescent="0.3">
      <c r="A453" s="4">
        <v>452</v>
      </c>
      <c r="B453" s="4">
        <v>54</v>
      </c>
      <c r="C453" t="s">
        <v>16</v>
      </c>
      <c r="D453" t="s">
        <v>34</v>
      </c>
      <c r="E453" t="s">
        <v>30</v>
      </c>
      <c r="F453" s="4">
        <v>110</v>
      </c>
      <c r="G453" s="4">
        <v>208</v>
      </c>
      <c r="H453" t="s">
        <v>21</v>
      </c>
      <c r="I453" t="s">
        <v>26</v>
      </c>
      <c r="J453" s="4">
        <v>142</v>
      </c>
      <c r="K453" t="s">
        <v>21</v>
      </c>
      <c r="L453" t="s">
        <v>32</v>
      </c>
      <c r="N453" t="s">
        <v>32</v>
      </c>
      <c r="O453" s="4">
        <v>0</v>
      </c>
      <c r="P453" s="5">
        <v>0</v>
      </c>
    </row>
    <row r="454" spans="1:16" x14ac:dyDescent="0.3">
      <c r="A454" s="4">
        <v>453</v>
      </c>
      <c r="B454" s="4">
        <v>54</v>
      </c>
      <c r="C454" t="s">
        <v>16</v>
      </c>
      <c r="D454" t="s">
        <v>34</v>
      </c>
      <c r="E454" t="s">
        <v>30</v>
      </c>
      <c r="F454" s="4">
        <v>120</v>
      </c>
      <c r="G454" s="4">
        <v>238</v>
      </c>
      <c r="H454" t="s">
        <v>21</v>
      </c>
      <c r="I454" t="s">
        <v>26</v>
      </c>
      <c r="J454" s="4">
        <v>154</v>
      </c>
      <c r="K454" t="s">
        <v>21</v>
      </c>
      <c r="L454" t="s">
        <v>32</v>
      </c>
      <c r="N454" t="s">
        <v>32</v>
      </c>
      <c r="O454" s="4">
        <v>0</v>
      </c>
      <c r="P454" s="5">
        <v>0</v>
      </c>
    </row>
    <row r="455" spans="1:16" x14ac:dyDescent="0.3">
      <c r="A455" s="4">
        <v>454</v>
      </c>
      <c r="B455" s="4">
        <v>54</v>
      </c>
      <c r="C455" t="s">
        <v>16</v>
      </c>
      <c r="D455" t="s">
        <v>34</v>
      </c>
      <c r="E455" t="s">
        <v>30</v>
      </c>
      <c r="F455" s="4">
        <v>120</v>
      </c>
      <c r="G455" s="4">
        <v>246</v>
      </c>
      <c r="H455" t="s">
        <v>21</v>
      </c>
      <c r="I455" t="s">
        <v>26</v>
      </c>
      <c r="J455" s="4">
        <v>110</v>
      </c>
      <c r="K455" t="s">
        <v>21</v>
      </c>
      <c r="L455" t="s">
        <v>32</v>
      </c>
      <c r="N455" t="s">
        <v>32</v>
      </c>
      <c r="O455" s="4">
        <v>0</v>
      </c>
      <c r="P455" s="5">
        <v>0</v>
      </c>
    </row>
    <row r="456" spans="1:16" x14ac:dyDescent="0.3">
      <c r="A456" s="4">
        <v>455</v>
      </c>
      <c r="B456" s="4">
        <v>54</v>
      </c>
      <c r="C456" t="s">
        <v>16</v>
      </c>
      <c r="D456" t="s">
        <v>34</v>
      </c>
      <c r="E456" t="s">
        <v>30</v>
      </c>
      <c r="F456" s="4">
        <v>160</v>
      </c>
      <c r="G456" s="4">
        <v>195</v>
      </c>
      <c r="H456" t="s">
        <v>21</v>
      </c>
      <c r="I456" t="s">
        <v>33</v>
      </c>
      <c r="J456" s="4">
        <v>130</v>
      </c>
      <c r="K456" t="s">
        <v>21</v>
      </c>
      <c r="L456" t="s">
        <v>31</v>
      </c>
      <c r="N456" t="s">
        <v>32</v>
      </c>
      <c r="O456" s="4">
        <v>0</v>
      </c>
      <c r="P456" s="5">
        <v>1</v>
      </c>
    </row>
    <row r="457" spans="1:16" x14ac:dyDescent="0.3">
      <c r="A457" s="4">
        <v>456</v>
      </c>
      <c r="B457" s="4">
        <v>54</v>
      </c>
      <c r="C457" t="s">
        <v>16</v>
      </c>
      <c r="D457" t="s">
        <v>34</v>
      </c>
      <c r="E457" t="s">
        <v>30</v>
      </c>
      <c r="F457" s="4">
        <v>160</v>
      </c>
      <c r="G457" s="4">
        <v>305</v>
      </c>
      <c r="H457" t="s">
        <v>21</v>
      </c>
      <c r="I457" t="s">
        <v>26</v>
      </c>
      <c r="J457" s="4">
        <v>175</v>
      </c>
      <c r="K457" t="s">
        <v>21</v>
      </c>
      <c r="L457" t="s">
        <v>32</v>
      </c>
      <c r="N457" t="s">
        <v>32</v>
      </c>
      <c r="O457" s="4">
        <v>0</v>
      </c>
      <c r="P457" s="5">
        <v>0</v>
      </c>
    </row>
    <row r="458" spans="1:16" x14ac:dyDescent="0.3">
      <c r="A458" s="4">
        <v>457</v>
      </c>
      <c r="B458" s="4">
        <v>54</v>
      </c>
      <c r="C458" t="s">
        <v>16</v>
      </c>
      <c r="D458" t="s">
        <v>34</v>
      </c>
      <c r="E458" t="s">
        <v>28</v>
      </c>
      <c r="F458" s="4">
        <v>120</v>
      </c>
      <c r="G458" s="4">
        <v>217</v>
      </c>
      <c r="H458" t="s">
        <v>21</v>
      </c>
      <c r="I458" t="s">
        <v>26</v>
      </c>
      <c r="J458" s="4">
        <v>137</v>
      </c>
      <c r="K458" t="s">
        <v>21</v>
      </c>
      <c r="L458" t="s">
        <v>32</v>
      </c>
      <c r="N458" t="s">
        <v>32</v>
      </c>
      <c r="O458" s="4">
        <v>0</v>
      </c>
      <c r="P458" s="5">
        <v>0</v>
      </c>
    </row>
    <row r="459" spans="1:16" x14ac:dyDescent="0.3">
      <c r="A459" s="4">
        <v>458</v>
      </c>
      <c r="B459" s="4">
        <v>54</v>
      </c>
      <c r="C459" t="s">
        <v>16</v>
      </c>
      <c r="D459" t="s">
        <v>34</v>
      </c>
      <c r="E459" t="s">
        <v>28</v>
      </c>
      <c r="F459" s="4">
        <v>150</v>
      </c>
      <c r="H459" t="s">
        <v>21</v>
      </c>
      <c r="I459" t="s">
        <v>26</v>
      </c>
      <c r="J459" s="4">
        <v>122</v>
      </c>
      <c r="K459" t="s">
        <v>21</v>
      </c>
      <c r="L459" t="s">
        <v>32</v>
      </c>
      <c r="N459" t="s">
        <v>32</v>
      </c>
      <c r="O459" s="4">
        <v>0</v>
      </c>
      <c r="P459" s="5">
        <v>0</v>
      </c>
    </row>
    <row r="460" spans="1:16" x14ac:dyDescent="0.3">
      <c r="A460" s="4">
        <v>459</v>
      </c>
      <c r="B460" s="4">
        <v>54</v>
      </c>
      <c r="C460" t="s">
        <v>16</v>
      </c>
      <c r="D460" t="s">
        <v>34</v>
      </c>
      <c r="E460" t="s">
        <v>24</v>
      </c>
      <c r="F460" s="4">
        <v>150</v>
      </c>
      <c r="G460" s="4">
        <v>365</v>
      </c>
      <c r="H460" t="s">
        <v>21</v>
      </c>
      <c r="I460" t="s">
        <v>33</v>
      </c>
      <c r="J460" s="4">
        <v>134</v>
      </c>
      <c r="K460" t="s">
        <v>21</v>
      </c>
      <c r="L460" t="s">
        <v>31</v>
      </c>
      <c r="N460" t="s">
        <v>32</v>
      </c>
      <c r="O460" s="4">
        <v>0</v>
      </c>
      <c r="P460" s="5">
        <v>1</v>
      </c>
    </row>
    <row r="461" spans="1:16" x14ac:dyDescent="0.3">
      <c r="A461" s="4">
        <v>460</v>
      </c>
      <c r="B461" s="4">
        <v>55</v>
      </c>
      <c r="C461" t="s">
        <v>29</v>
      </c>
      <c r="D461" t="s">
        <v>34</v>
      </c>
      <c r="E461" t="s">
        <v>30</v>
      </c>
      <c r="F461" s="4">
        <v>110</v>
      </c>
      <c r="G461" s="4">
        <v>344</v>
      </c>
      <c r="H461" t="s">
        <v>21</v>
      </c>
      <c r="I461" t="s">
        <v>33</v>
      </c>
      <c r="J461" s="4">
        <v>160</v>
      </c>
      <c r="K461" t="s">
        <v>21</v>
      </c>
      <c r="L461" t="s">
        <v>32</v>
      </c>
      <c r="N461" t="s">
        <v>32</v>
      </c>
      <c r="O461" s="4">
        <v>0</v>
      </c>
      <c r="P461" s="5">
        <v>0</v>
      </c>
    </row>
    <row r="462" spans="1:16" x14ac:dyDescent="0.3">
      <c r="A462" s="4">
        <v>461</v>
      </c>
      <c r="B462" s="4">
        <v>55</v>
      </c>
      <c r="C462" t="s">
        <v>29</v>
      </c>
      <c r="D462" t="s">
        <v>34</v>
      </c>
      <c r="E462" t="s">
        <v>30</v>
      </c>
      <c r="F462" s="4">
        <v>122</v>
      </c>
      <c r="G462" s="4">
        <v>320</v>
      </c>
      <c r="H462" t="s">
        <v>21</v>
      </c>
      <c r="I462" t="s">
        <v>26</v>
      </c>
      <c r="J462" s="4">
        <v>155</v>
      </c>
      <c r="K462" t="s">
        <v>21</v>
      </c>
      <c r="L462" t="s">
        <v>32</v>
      </c>
      <c r="N462" t="s">
        <v>32</v>
      </c>
      <c r="O462" s="4">
        <v>0</v>
      </c>
      <c r="P462" s="5">
        <v>0</v>
      </c>
    </row>
    <row r="463" spans="1:16" x14ac:dyDescent="0.3">
      <c r="A463" s="4">
        <v>462</v>
      </c>
      <c r="B463" s="4">
        <v>55</v>
      </c>
      <c r="C463" t="s">
        <v>29</v>
      </c>
      <c r="D463" t="s">
        <v>34</v>
      </c>
      <c r="E463" t="s">
        <v>30</v>
      </c>
      <c r="F463" s="4">
        <v>130</v>
      </c>
      <c r="G463" s="4">
        <v>394</v>
      </c>
      <c r="H463" t="s">
        <v>21</v>
      </c>
      <c r="I463" t="s">
        <v>20</v>
      </c>
      <c r="J463" s="4">
        <v>150</v>
      </c>
      <c r="K463" t="s">
        <v>21</v>
      </c>
      <c r="L463" t="s">
        <v>32</v>
      </c>
      <c r="N463" t="s">
        <v>32</v>
      </c>
      <c r="O463" s="4">
        <v>0</v>
      </c>
      <c r="P463" s="5">
        <v>0</v>
      </c>
    </row>
    <row r="464" spans="1:16" x14ac:dyDescent="0.3">
      <c r="A464" s="4">
        <v>463</v>
      </c>
      <c r="B464" s="4">
        <v>55</v>
      </c>
      <c r="C464" t="s">
        <v>16</v>
      </c>
      <c r="D464" t="s">
        <v>34</v>
      </c>
      <c r="E464" t="s">
        <v>30</v>
      </c>
      <c r="F464" s="4">
        <v>120</v>
      </c>
      <c r="G464" s="4">
        <v>256</v>
      </c>
      <c r="H464" t="s">
        <v>19</v>
      </c>
      <c r="I464" t="s">
        <v>26</v>
      </c>
      <c r="J464" s="4">
        <v>137</v>
      </c>
      <c r="K464" t="s">
        <v>21</v>
      </c>
      <c r="L464" t="s">
        <v>32</v>
      </c>
      <c r="N464" t="s">
        <v>27</v>
      </c>
      <c r="O464" s="4">
        <v>0</v>
      </c>
      <c r="P464" s="5">
        <v>0</v>
      </c>
    </row>
    <row r="465" spans="1:16" x14ac:dyDescent="0.3">
      <c r="A465" s="4">
        <v>464</v>
      </c>
      <c r="B465" s="4">
        <v>55</v>
      </c>
      <c r="C465" t="s">
        <v>16</v>
      </c>
      <c r="D465" t="s">
        <v>34</v>
      </c>
      <c r="E465" t="s">
        <v>30</v>
      </c>
      <c r="F465" s="4">
        <v>140</v>
      </c>
      <c r="G465" s="4">
        <v>196</v>
      </c>
      <c r="H465" t="s">
        <v>21</v>
      </c>
      <c r="I465" t="s">
        <v>26</v>
      </c>
      <c r="J465" s="4">
        <v>150</v>
      </c>
      <c r="K465" t="s">
        <v>21</v>
      </c>
      <c r="L465" t="s">
        <v>32</v>
      </c>
      <c r="N465" t="s">
        <v>27</v>
      </c>
      <c r="O465" s="4">
        <v>0</v>
      </c>
      <c r="P465" s="5">
        <v>0</v>
      </c>
    </row>
    <row r="466" spans="1:16" x14ac:dyDescent="0.3">
      <c r="A466" s="4">
        <v>465</v>
      </c>
      <c r="B466" s="4">
        <v>55</v>
      </c>
      <c r="C466" t="s">
        <v>16</v>
      </c>
      <c r="D466" t="s">
        <v>34</v>
      </c>
      <c r="E466" t="s">
        <v>30</v>
      </c>
      <c r="F466" s="4">
        <v>145</v>
      </c>
      <c r="G466" s="4">
        <v>326</v>
      </c>
      <c r="H466" t="s">
        <v>21</v>
      </c>
      <c r="I466" t="s">
        <v>26</v>
      </c>
      <c r="J466" s="4">
        <v>155</v>
      </c>
      <c r="K466" t="s">
        <v>21</v>
      </c>
      <c r="L466" t="s">
        <v>32</v>
      </c>
      <c r="N466" t="s">
        <v>32</v>
      </c>
      <c r="O466" s="4">
        <v>0</v>
      </c>
      <c r="P466" s="5">
        <v>0</v>
      </c>
    </row>
    <row r="467" spans="1:16" x14ac:dyDescent="0.3">
      <c r="A467" s="4">
        <v>466</v>
      </c>
      <c r="B467" s="4">
        <v>55</v>
      </c>
      <c r="C467" t="s">
        <v>16</v>
      </c>
      <c r="D467" t="s">
        <v>34</v>
      </c>
      <c r="E467" t="s">
        <v>28</v>
      </c>
      <c r="F467" s="4">
        <v>110</v>
      </c>
      <c r="G467" s="4">
        <v>277</v>
      </c>
      <c r="H467" t="s">
        <v>21</v>
      </c>
      <c r="I467" t="s">
        <v>26</v>
      </c>
      <c r="J467" s="4">
        <v>160</v>
      </c>
      <c r="K467" t="s">
        <v>21</v>
      </c>
      <c r="L467" t="s">
        <v>32</v>
      </c>
      <c r="N467" t="s">
        <v>32</v>
      </c>
      <c r="O467" s="4">
        <v>0</v>
      </c>
      <c r="P467" s="5">
        <v>0</v>
      </c>
    </row>
    <row r="468" spans="1:16" x14ac:dyDescent="0.3">
      <c r="A468" s="4">
        <v>467</v>
      </c>
      <c r="B468" s="4">
        <v>55</v>
      </c>
      <c r="C468" t="s">
        <v>16</v>
      </c>
      <c r="D468" t="s">
        <v>34</v>
      </c>
      <c r="E468" t="s">
        <v>28</v>
      </c>
      <c r="F468" s="4">
        <v>120</v>
      </c>
      <c r="G468" s="4">
        <v>220</v>
      </c>
      <c r="H468" t="s">
        <v>21</v>
      </c>
      <c r="I468" t="s">
        <v>20</v>
      </c>
      <c r="J468" s="4">
        <v>134</v>
      </c>
      <c r="K468" t="s">
        <v>21</v>
      </c>
      <c r="L468" t="s">
        <v>32</v>
      </c>
      <c r="N468" t="s">
        <v>32</v>
      </c>
      <c r="O468" s="4">
        <v>0</v>
      </c>
      <c r="P468" s="5">
        <v>0</v>
      </c>
    </row>
    <row r="469" spans="1:16" x14ac:dyDescent="0.3">
      <c r="A469" s="4">
        <v>468</v>
      </c>
      <c r="B469" s="4">
        <v>55</v>
      </c>
      <c r="C469" t="s">
        <v>16</v>
      </c>
      <c r="D469" t="s">
        <v>34</v>
      </c>
      <c r="E469" t="s">
        <v>24</v>
      </c>
      <c r="F469" s="4">
        <v>120</v>
      </c>
      <c r="G469" s="4">
        <v>270</v>
      </c>
      <c r="H469" t="s">
        <v>21</v>
      </c>
      <c r="I469" t="s">
        <v>26</v>
      </c>
      <c r="J469" s="4">
        <v>140</v>
      </c>
      <c r="K469" t="s">
        <v>21</v>
      </c>
      <c r="L469" t="s">
        <v>32</v>
      </c>
      <c r="N469" t="s">
        <v>32</v>
      </c>
      <c r="O469" s="4">
        <v>0</v>
      </c>
      <c r="P469" s="5">
        <v>0</v>
      </c>
    </row>
    <row r="470" spans="1:16" x14ac:dyDescent="0.3">
      <c r="A470" s="4">
        <v>469</v>
      </c>
      <c r="B470" s="4">
        <v>55</v>
      </c>
      <c r="C470" t="s">
        <v>16</v>
      </c>
      <c r="D470" t="s">
        <v>34</v>
      </c>
      <c r="E470" t="s">
        <v>24</v>
      </c>
      <c r="F470" s="4">
        <v>140</v>
      </c>
      <c r="G470" s="4">
        <v>229</v>
      </c>
      <c r="H470" t="s">
        <v>21</v>
      </c>
      <c r="I470" t="s">
        <v>26</v>
      </c>
      <c r="J470" s="4">
        <v>110</v>
      </c>
      <c r="K470" t="s">
        <v>19</v>
      </c>
      <c r="L470" t="s">
        <v>25</v>
      </c>
      <c r="N470" t="s">
        <v>32</v>
      </c>
      <c r="O470" s="4">
        <v>0</v>
      </c>
      <c r="P470" s="5">
        <v>0.5</v>
      </c>
    </row>
    <row r="471" spans="1:16" x14ac:dyDescent="0.3">
      <c r="A471" s="4">
        <v>470</v>
      </c>
      <c r="B471" s="4">
        <v>56</v>
      </c>
      <c r="C471" t="s">
        <v>29</v>
      </c>
      <c r="D471" t="s">
        <v>34</v>
      </c>
      <c r="E471" t="s">
        <v>28</v>
      </c>
      <c r="F471" s="4">
        <v>130</v>
      </c>
      <c r="G471" s="4">
        <v>219</v>
      </c>
      <c r="H471" t="s">
        <v>32</v>
      </c>
      <c r="I471" t="s">
        <v>33</v>
      </c>
      <c r="J471" s="4">
        <v>164</v>
      </c>
      <c r="K471" t="s">
        <v>21</v>
      </c>
      <c r="L471" t="s">
        <v>32</v>
      </c>
      <c r="N471" t="s">
        <v>27</v>
      </c>
      <c r="O471" s="4">
        <v>0</v>
      </c>
      <c r="P471" s="5">
        <v>0</v>
      </c>
    </row>
    <row r="472" spans="1:16" x14ac:dyDescent="0.3">
      <c r="A472" s="4">
        <v>471</v>
      </c>
      <c r="B472" s="4">
        <v>56</v>
      </c>
      <c r="C472" t="s">
        <v>16</v>
      </c>
      <c r="D472" t="s">
        <v>34</v>
      </c>
      <c r="E472" t="s">
        <v>30</v>
      </c>
      <c r="F472" s="4">
        <v>130</v>
      </c>
      <c r="G472" s="4">
        <v>184</v>
      </c>
      <c r="H472" t="s">
        <v>21</v>
      </c>
      <c r="I472" t="s">
        <v>26</v>
      </c>
      <c r="J472" s="4">
        <v>100</v>
      </c>
      <c r="K472" t="s">
        <v>21</v>
      </c>
      <c r="L472" t="s">
        <v>32</v>
      </c>
      <c r="N472" t="s">
        <v>32</v>
      </c>
      <c r="O472" s="4">
        <v>0</v>
      </c>
      <c r="P472" s="5">
        <v>0</v>
      </c>
    </row>
    <row r="473" spans="1:16" x14ac:dyDescent="0.3">
      <c r="A473" s="4">
        <v>472</v>
      </c>
      <c r="B473" s="4">
        <v>56</v>
      </c>
      <c r="C473" t="s">
        <v>16</v>
      </c>
      <c r="D473" t="s">
        <v>34</v>
      </c>
      <c r="E473" t="s">
        <v>28</v>
      </c>
      <c r="F473" s="4">
        <v>130</v>
      </c>
      <c r="H473" t="s">
        <v>21</v>
      </c>
      <c r="I473" t="s">
        <v>26</v>
      </c>
      <c r="J473" s="4">
        <v>114</v>
      </c>
      <c r="K473" t="s">
        <v>21</v>
      </c>
      <c r="L473" t="s">
        <v>32</v>
      </c>
      <c r="N473" t="s">
        <v>32</v>
      </c>
      <c r="O473" s="4">
        <v>0</v>
      </c>
      <c r="P473" s="5">
        <v>0</v>
      </c>
    </row>
    <row r="474" spans="1:16" x14ac:dyDescent="0.3">
      <c r="A474" s="4">
        <v>473</v>
      </c>
      <c r="B474" s="4">
        <v>56</v>
      </c>
      <c r="C474" t="s">
        <v>16</v>
      </c>
      <c r="D474" t="s">
        <v>34</v>
      </c>
      <c r="E474" t="s">
        <v>28</v>
      </c>
      <c r="F474" s="4">
        <v>130</v>
      </c>
      <c r="G474" s="4">
        <v>276</v>
      </c>
      <c r="H474" t="s">
        <v>21</v>
      </c>
      <c r="I474" t="s">
        <v>26</v>
      </c>
      <c r="J474" s="4">
        <v>128</v>
      </c>
      <c r="K474" t="s">
        <v>19</v>
      </c>
      <c r="L474" t="s">
        <v>31</v>
      </c>
      <c r="N474" t="s">
        <v>23</v>
      </c>
      <c r="O474" s="4">
        <v>0</v>
      </c>
      <c r="P474" s="5">
        <v>1</v>
      </c>
    </row>
    <row r="475" spans="1:16" x14ac:dyDescent="0.3">
      <c r="A475" s="4">
        <v>474</v>
      </c>
      <c r="B475" s="4">
        <v>56</v>
      </c>
      <c r="C475" t="s">
        <v>16</v>
      </c>
      <c r="D475" t="s">
        <v>34</v>
      </c>
      <c r="E475" t="s">
        <v>24</v>
      </c>
      <c r="F475" s="4">
        <v>120</v>
      </c>
      <c r="G475" s="4">
        <v>85</v>
      </c>
      <c r="H475" t="s">
        <v>21</v>
      </c>
      <c r="I475" t="s">
        <v>26</v>
      </c>
      <c r="J475" s="4">
        <v>140</v>
      </c>
      <c r="K475" t="s">
        <v>21</v>
      </c>
      <c r="L475" t="s">
        <v>32</v>
      </c>
      <c r="N475" t="s">
        <v>32</v>
      </c>
      <c r="O475" s="4">
        <v>0</v>
      </c>
      <c r="P475" s="5">
        <v>0</v>
      </c>
    </row>
    <row r="476" spans="1:16" x14ac:dyDescent="0.3">
      <c r="A476" s="4">
        <v>475</v>
      </c>
      <c r="B476" s="4">
        <v>57</v>
      </c>
      <c r="C476" t="s">
        <v>29</v>
      </c>
      <c r="D476" t="s">
        <v>34</v>
      </c>
      <c r="E476" t="s">
        <v>18</v>
      </c>
      <c r="F476" s="4">
        <v>130</v>
      </c>
      <c r="G476" s="4">
        <v>308</v>
      </c>
      <c r="H476" t="s">
        <v>21</v>
      </c>
      <c r="I476" t="s">
        <v>26</v>
      </c>
      <c r="J476" s="4">
        <v>98</v>
      </c>
      <c r="K476" t="s">
        <v>21</v>
      </c>
      <c r="L476" t="s">
        <v>25</v>
      </c>
      <c r="N476" t="s">
        <v>32</v>
      </c>
      <c r="O476" s="4">
        <v>0</v>
      </c>
      <c r="P476" s="5">
        <v>1</v>
      </c>
    </row>
    <row r="477" spans="1:16" x14ac:dyDescent="0.3">
      <c r="A477" s="4">
        <v>476</v>
      </c>
      <c r="B477" s="4">
        <v>57</v>
      </c>
      <c r="C477" t="s">
        <v>29</v>
      </c>
      <c r="D477" t="s">
        <v>34</v>
      </c>
      <c r="E477" t="s">
        <v>24</v>
      </c>
      <c r="F477" s="4">
        <v>180</v>
      </c>
      <c r="G477" s="4">
        <v>347</v>
      </c>
      <c r="H477" t="s">
        <v>21</v>
      </c>
      <c r="I477" t="s">
        <v>33</v>
      </c>
      <c r="J477" s="4">
        <v>126</v>
      </c>
      <c r="K477" t="s">
        <v>19</v>
      </c>
      <c r="L477" t="s">
        <v>25</v>
      </c>
      <c r="N477" t="s">
        <v>32</v>
      </c>
      <c r="O477" s="4">
        <v>0</v>
      </c>
      <c r="P477" s="5">
        <v>0.8</v>
      </c>
    </row>
    <row r="478" spans="1:16" x14ac:dyDescent="0.3">
      <c r="A478" s="4">
        <v>477</v>
      </c>
      <c r="B478" s="4">
        <v>57</v>
      </c>
      <c r="C478" t="s">
        <v>16</v>
      </c>
      <c r="D478" t="s">
        <v>34</v>
      </c>
      <c r="E478" t="s">
        <v>30</v>
      </c>
      <c r="F478" s="4">
        <v>140</v>
      </c>
      <c r="G478" s="4">
        <v>260</v>
      </c>
      <c r="H478" t="s">
        <v>19</v>
      </c>
      <c r="I478" t="s">
        <v>26</v>
      </c>
      <c r="J478" s="4">
        <v>140</v>
      </c>
      <c r="K478" t="s">
        <v>21</v>
      </c>
      <c r="L478" t="s">
        <v>32</v>
      </c>
      <c r="N478" t="s">
        <v>23</v>
      </c>
      <c r="O478" s="4">
        <v>0</v>
      </c>
      <c r="P478" s="5">
        <v>0</v>
      </c>
    </row>
    <row r="479" spans="1:16" x14ac:dyDescent="0.3">
      <c r="A479" s="4">
        <v>478</v>
      </c>
      <c r="B479" s="4">
        <v>58</v>
      </c>
      <c r="C479" t="s">
        <v>16</v>
      </c>
      <c r="D479" t="s">
        <v>34</v>
      </c>
      <c r="E479" t="s">
        <v>30</v>
      </c>
      <c r="F479" s="4">
        <v>130</v>
      </c>
      <c r="G479" s="4">
        <v>230</v>
      </c>
      <c r="H479" t="s">
        <v>21</v>
      </c>
      <c r="I479" t="s">
        <v>26</v>
      </c>
      <c r="J479" s="4">
        <v>150</v>
      </c>
      <c r="K479" t="s">
        <v>21</v>
      </c>
      <c r="L479" t="s">
        <v>32</v>
      </c>
      <c r="N479" t="s">
        <v>32</v>
      </c>
      <c r="O479" s="4">
        <v>0</v>
      </c>
      <c r="P479" s="5">
        <v>0</v>
      </c>
    </row>
    <row r="480" spans="1:16" x14ac:dyDescent="0.3">
      <c r="A480" s="4">
        <v>479</v>
      </c>
      <c r="B480" s="4">
        <v>58</v>
      </c>
      <c r="C480" t="s">
        <v>16</v>
      </c>
      <c r="D480" t="s">
        <v>34</v>
      </c>
      <c r="E480" t="s">
        <v>30</v>
      </c>
      <c r="F480" s="4">
        <v>130</v>
      </c>
      <c r="G480" s="4">
        <v>251</v>
      </c>
      <c r="H480" t="s">
        <v>21</v>
      </c>
      <c r="I480" t="s">
        <v>26</v>
      </c>
      <c r="J480" s="4">
        <v>110</v>
      </c>
      <c r="K480" t="s">
        <v>21</v>
      </c>
      <c r="L480" t="s">
        <v>32</v>
      </c>
      <c r="N480" t="s">
        <v>32</v>
      </c>
      <c r="O480" s="4">
        <v>0</v>
      </c>
      <c r="P480" s="5">
        <v>0</v>
      </c>
    </row>
    <row r="481" spans="1:16" x14ac:dyDescent="0.3">
      <c r="A481" s="4">
        <v>480</v>
      </c>
      <c r="B481" s="4">
        <v>58</v>
      </c>
      <c r="C481" t="s">
        <v>16</v>
      </c>
      <c r="D481" t="s">
        <v>34</v>
      </c>
      <c r="E481" t="s">
        <v>28</v>
      </c>
      <c r="F481" s="4">
        <v>140</v>
      </c>
      <c r="G481" s="4">
        <v>179</v>
      </c>
      <c r="H481" t="s">
        <v>21</v>
      </c>
      <c r="I481" t="s">
        <v>26</v>
      </c>
      <c r="J481" s="4">
        <v>160</v>
      </c>
      <c r="K481" t="s">
        <v>21</v>
      </c>
      <c r="L481" t="s">
        <v>32</v>
      </c>
      <c r="N481" t="s">
        <v>32</v>
      </c>
      <c r="O481" s="4">
        <v>0</v>
      </c>
      <c r="P481" s="5">
        <v>0</v>
      </c>
    </row>
    <row r="482" spans="1:16" x14ac:dyDescent="0.3">
      <c r="A482" s="4">
        <v>481</v>
      </c>
      <c r="B482" s="4">
        <v>58</v>
      </c>
      <c r="C482" t="s">
        <v>16</v>
      </c>
      <c r="D482" t="s">
        <v>34</v>
      </c>
      <c r="E482" t="s">
        <v>24</v>
      </c>
      <c r="F482" s="4">
        <v>135</v>
      </c>
      <c r="G482" s="4">
        <v>222</v>
      </c>
      <c r="H482" t="s">
        <v>21</v>
      </c>
      <c r="I482" t="s">
        <v>26</v>
      </c>
      <c r="J482" s="4">
        <v>100</v>
      </c>
      <c r="K482" t="s">
        <v>21</v>
      </c>
      <c r="L482" t="s">
        <v>32</v>
      </c>
      <c r="N482" t="s">
        <v>32</v>
      </c>
      <c r="O482" s="4">
        <v>0</v>
      </c>
      <c r="P482" s="5">
        <v>0</v>
      </c>
    </row>
    <row r="483" spans="1:16" x14ac:dyDescent="0.3">
      <c r="A483" s="4">
        <v>482</v>
      </c>
      <c r="B483" s="4">
        <v>59</v>
      </c>
      <c r="C483" t="s">
        <v>29</v>
      </c>
      <c r="D483" t="s">
        <v>34</v>
      </c>
      <c r="E483" t="s">
        <v>30</v>
      </c>
      <c r="F483" s="4">
        <v>130</v>
      </c>
      <c r="G483" s="4">
        <v>188</v>
      </c>
      <c r="H483" t="s">
        <v>21</v>
      </c>
      <c r="I483" t="s">
        <v>26</v>
      </c>
      <c r="J483" s="4">
        <v>124</v>
      </c>
      <c r="K483" t="s">
        <v>21</v>
      </c>
      <c r="L483" t="s">
        <v>25</v>
      </c>
      <c r="N483" t="s">
        <v>32</v>
      </c>
      <c r="O483" s="4">
        <v>0</v>
      </c>
      <c r="P483" s="5">
        <v>1</v>
      </c>
    </row>
    <row r="484" spans="1:16" x14ac:dyDescent="0.3">
      <c r="A484" s="4">
        <v>483</v>
      </c>
      <c r="B484" s="4">
        <v>59</v>
      </c>
      <c r="C484" t="s">
        <v>16</v>
      </c>
      <c r="D484" t="s">
        <v>34</v>
      </c>
      <c r="E484" t="s">
        <v>30</v>
      </c>
      <c r="F484" s="4">
        <v>140</v>
      </c>
      <c r="G484" s="4">
        <v>287</v>
      </c>
      <c r="H484" t="s">
        <v>21</v>
      </c>
      <c r="I484" t="s">
        <v>26</v>
      </c>
      <c r="J484" s="4">
        <v>150</v>
      </c>
      <c r="K484" t="s">
        <v>21</v>
      </c>
      <c r="L484" t="s">
        <v>32</v>
      </c>
      <c r="N484" t="s">
        <v>32</v>
      </c>
      <c r="O484" s="4">
        <v>0</v>
      </c>
      <c r="P484" s="5">
        <v>0</v>
      </c>
    </row>
    <row r="485" spans="1:16" x14ac:dyDescent="0.3">
      <c r="A485" s="4">
        <v>484</v>
      </c>
      <c r="B485" s="4">
        <v>59</v>
      </c>
      <c r="C485" t="s">
        <v>16</v>
      </c>
      <c r="D485" t="s">
        <v>34</v>
      </c>
      <c r="E485" t="s">
        <v>28</v>
      </c>
      <c r="F485" s="4">
        <v>130</v>
      </c>
      <c r="G485" s="4">
        <v>318</v>
      </c>
      <c r="H485" t="s">
        <v>21</v>
      </c>
      <c r="I485" t="s">
        <v>26</v>
      </c>
      <c r="J485" s="4">
        <v>120</v>
      </c>
      <c r="K485" t="s">
        <v>19</v>
      </c>
      <c r="L485" t="s">
        <v>25</v>
      </c>
      <c r="N485" t="s">
        <v>26</v>
      </c>
      <c r="O485" s="4">
        <v>0</v>
      </c>
      <c r="P485" s="5">
        <v>1</v>
      </c>
    </row>
    <row r="486" spans="1:16" x14ac:dyDescent="0.3">
      <c r="A486" s="4">
        <v>485</v>
      </c>
      <c r="B486" s="4">
        <v>59</v>
      </c>
      <c r="C486" t="s">
        <v>16</v>
      </c>
      <c r="D486" t="s">
        <v>34</v>
      </c>
      <c r="E486" t="s">
        <v>28</v>
      </c>
      <c r="F486" s="4">
        <v>180</v>
      </c>
      <c r="G486" s="4">
        <v>213</v>
      </c>
      <c r="H486" t="s">
        <v>21</v>
      </c>
      <c r="I486" t="s">
        <v>26</v>
      </c>
      <c r="J486" s="4">
        <v>100</v>
      </c>
      <c r="K486" t="s">
        <v>21</v>
      </c>
      <c r="L486" t="s">
        <v>32</v>
      </c>
      <c r="N486" t="s">
        <v>32</v>
      </c>
      <c r="O486" s="4">
        <v>0</v>
      </c>
      <c r="P486" s="5">
        <v>0</v>
      </c>
    </row>
    <row r="487" spans="1:16" x14ac:dyDescent="0.3">
      <c r="A487" s="4">
        <v>486</v>
      </c>
      <c r="B487" s="4">
        <v>59</v>
      </c>
      <c r="C487" t="s">
        <v>16</v>
      </c>
      <c r="D487" t="s">
        <v>34</v>
      </c>
      <c r="E487" t="s">
        <v>24</v>
      </c>
      <c r="F487" s="4">
        <v>140</v>
      </c>
      <c r="H487" t="s">
        <v>21</v>
      </c>
      <c r="I487" t="s">
        <v>26</v>
      </c>
      <c r="J487" s="4">
        <v>140</v>
      </c>
      <c r="K487" t="s">
        <v>21</v>
      </c>
      <c r="L487" t="s">
        <v>32</v>
      </c>
      <c r="M487" s="4">
        <v>0</v>
      </c>
      <c r="N487" t="s">
        <v>32</v>
      </c>
      <c r="O487" s="4">
        <v>0</v>
      </c>
      <c r="P487" s="5">
        <v>0</v>
      </c>
    </row>
    <row r="488" spans="1:16" x14ac:dyDescent="0.3">
      <c r="A488" s="4">
        <v>487</v>
      </c>
      <c r="B488" s="4">
        <v>60</v>
      </c>
      <c r="C488" t="s">
        <v>16</v>
      </c>
      <c r="D488" t="s">
        <v>34</v>
      </c>
      <c r="E488" t="s">
        <v>28</v>
      </c>
      <c r="F488" s="4">
        <v>120</v>
      </c>
      <c r="G488" s="4">
        <v>246</v>
      </c>
      <c r="H488" t="s">
        <v>21</v>
      </c>
      <c r="I488" t="s">
        <v>20</v>
      </c>
      <c r="J488" s="4">
        <v>135</v>
      </c>
      <c r="K488" t="s">
        <v>21</v>
      </c>
      <c r="L488" t="s">
        <v>32</v>
      </c>
      <c r="N488" t="s">
        <v>32</v>
      </c>
      <c r="O488" s="4">
        <v>0</v>
      </c>
      <c r="P488" s="5">
        <v>0</v>
      </c>
    </row>
    <row r="489" spans="1:16" x14ac:dyDescent="0.3">
      <c r="A489" s="4">
        <v>488</v>
      </c>
      <c r="B489" s="4">
        <v>61</v>
      </c>
      <c r="C489" t="s">
        <v>29</v>
      </c>
      <c r="D489" t="s">
        <v>34</v>
      </c>
      <c r="E489" t="s">
        <v>24</v>
      </c>
      <c r="F489" s="4">
        <v>130</v>
      </c>
      <c r="G489" s="4">
        <v>294</v>
      </c>
      <c r="H489" t="s">
        <v>21</v>
      </c>
      <c r="I489" t="s">
        <v>33</v>
      </c>
      <c r="J489" s="4">
        <v>120</v>
      </c>
      <c r="K489" t="s">
        <v>19</v>
      </c>
      <c r="L489" t="s">
        <v>25</v>
      </c>
      <c r="N489" t="s">
        <v>32</v>
      </c>
      <c r="O489" s="4">
        <v>0</v>
      </c>
      <c r="P489" s="5">
        <v>1</v>
      </c>
    </row>
    <row r="490" spans="1:16" x14ac:dyDescent="0.3">
      <c r="A490" s="4">
        <v>489</v>
      </c>
      <c r="B490" s="4">
        <v>61</v>
      </c>
      <c r="C490" t="s">
        <v>16</v>
      </c>
      <c r="D490" t="s">
        <v>34</v>
      </c>
      <c r="E490" t="s">
        <v>24</v>
      </c>
      <c r="F490" s="4">
        <v>125</v>
      </c>
      <c r="G490" s="4">
        <v>292</v>
      </c>
      <c r="H490" t="s">
        <v>21</v>
      </c>
      <c r="I490" t="s">
        <v>33</v>
      </c>
      <c r="J490" s="4">
        <v>115</v>
      </c>
      <c r="K490" t="s">
        <v>19</v>
      </c>
      <c r="L490" t="s">
        <v>32</v>
      </c>
      <c r="N490" t="s">
        <v>32</v>
      </c>
      <c r="O490" s="4">
        <v>0</v>
      </c>
      <c r="P490" s="5">
        <v>0</v>
      </c>
    </row>
    <row r="491" spans="1:16" x14ac:dyDescent="0.3">
      <c r="A491" s="4">
        <v>490</v>
      </c>
      <c r="B491" s="4">
        <v>62</v>
      </c>
      <c r="C491" t="s">
        <v>29</v>
      </c>
      <c r="D491" t="s">
        <v>34</v>
      </c>
      <c r="E491" t="s">
        <v>18</v>
      </c>
      <c r="F491" s="4">
        <v>160</v>
      </c>
      <c r="G491" s="4">
        <v>193</v>
      </c>
      <c r="H491" t="s">
        <v>21</v>
      </c>
      <c r="I491" t="s">
        <v>26</v>
      </c>
      <c r="J491" s="4">
        <v>116</v>
      </c>
      <c r="K491" t="s">
        <v>21</v>
      </c>
      <c r="L491" t="s">
        <v>32</v>
      </c>
      <c r="N491" t="s">
        <v>32</v>
      </c>
      <c r="O491" s="4">
        <v>0</v>
      </c>
      <c r="P491" s="5">
        <v>0</v>
      </c>
    </row>
    <row r="492" spans="1:16" x14ac:dyDescent="0.3">
      <c r="A492" s="4">
        <v>491</v>
      </c>
      <c r="B492" s="4">
        <v>62</v>
      </c>
      <c r="C492" t="s">
        <v>16</v>
      </c>
      <c r="D492" t="s">
        <v>34</v>
      </c>
      <c r="E492" t="s">
        <v>30</v>
      </c>
      <c r="F492" s="4">
        <v>140</v>
      </c>
      <c r="G492" s="4">
        <v>271</v>
      </c>
      <c r="H492" t="s">
        <v>21</v>
      </c>
      <c r="I492" t="s">
        <v>26</v>
      </c>
      <c r="J492" s="4">
        <v>152</v>
      </c>
      <c r="K492" t="s">
        <v>21</v>
      </c>
      <c r="L492" t="s">
        <v>31</v>
      </c>
      <c r="N492" t="s">
        <v>32</v>
      </c>
      <c r="O492" s="4">
        <v>0</v>
      </c>
      <c r="P492" s="5">
        <v>1</v>
      </c>
    </row>
    <row r="493" spans="1:16" x14ac:dyDescent="0.3">
      <c r="A493" s="4">
        <v>492</v>
      </c>
      <c r="B493" s="4">
        <v>31</v>
      </c>
      <c r="C493" t="s">
        <v>16</v>
      </c>
      <c r="D493" t="s">
        <v>34</v>
      </c>
      <c r="E493" t="s">
        <v>24</v>
      </c>
      <c r="F493" s="4">
        <v>120</v>
      </c>
      <c r="G493" s="4">
        <v>270</v>
      </c>
      <c r="H493" t="s">
        <v>21</v>
      </c>
      <c r="I493" t="s">
        <v>26</v>
      </c>
      <c r="J493" s="4">
        <v>153</v>
      </c>
      <c r="K493" t="s">
        <v>19</v>
      </c>
      <c r="L493" t="s">
        <v>25</v>
      </c>
      <c r="N493" t="s">
        <v>32</v>
      </c>
      <c r="O493" s="4">
        <v>1</v>
      </c>
      <c r="P493" s="5">
        <v>0.5</v>
      </c>
    </row>
    <row r="494" spans="1:16" x14ac:dyDescent="0.3">
      <c r="A494" s="4">
        <v>493</v>
      </c>
      <c r="B494" s="4">
        <v>33</v>
      </c>
      <c r="C494" t="s">
        <v>29</v>
      </c>
      <c r="D494" t="s">
        <v>34</v>
      </c>
      <c r="E494" t="s">
        <v>24</v>
      </c>
      <c r="F494" s="4">
        <v>100</v>
      </c>
      <c r="G494" s="4">
        <v>246</v>
      </c>
      <c r="H494" t="s">
        <v>21</v>
      </c>
      <c r="I494" t="s">
        <v>26</v>
      </c>
      <c r="J494" s="4">
        <v>150</v>
      </c>
      <c r="K494" t="s">
        <v>19</v>
      </c>
      <c r="L494" t="s">
        <v>25</v>
      </c>
      <c r="N494" t="s">
        <v>32</v>
      </c>
      <c r="O494" s="4">
        <v>1</v>
      </c>
      <c r="P494" s="5">
        <v>1</v>
      </c>
    </row>
    <row r="495" spans="1:16" x14ac:dyDescent="0.3">
      <c r="A495" s="4">
        <v>494</v>
      </c>
      <c r="B495" s="4">
        <v>34</v>
      </c>
      <c r="C495" t="s">
        <v>16</v>
      </c>
      <c r="D495" t="s">
        <v>34</v>
      </c>
      <c r="E495" t="s">
        <v>18</v>
      </c>
      <c r="F495" s="4">
        <v>140</v>
      </c>
      <c r="G495" s="4">
        <v>156</v>
      </c>
      <c r="H495" t="s">
        <v>21</v>
      </c>
      <c r="I495" t="s">
        <v>26</v>
      </c>
      <c r="J495" s="4">
        <v>180</v>
      </c>
      <c r="K495" t="s">
        <v>21</v>
      </c>
      <c r="L495" t="s">
        <v>32</v>
      </c>
      <c r="N495" t="s">
        <v>32</v>
      </c>
      <c r="O495" s="4">
        <v>1</v>
      </c>
      <c r="P495" s="5">
        <v>0</v>
      </c>
    </row>
    <row r="496" spans="1:16" x14ac:dyDescent="0.3">
      <c r="A496" s="4">
        <v>495</v>
      </c>
      <c r="B496" s="4">
        <v>35</v>
      </c>
      <c r="C496" t="s">
        <v>16</v>
      </c>
      <c r="D496" t="s">
        <v>34</v>
      </c>
      <c r="E496" t="s">
        <v>30</v>
      </c>
      <c r="F496" s="4">
        <v>110</v>
      </c>
      <c r="G496" s="4">
        <v>257</v>
      </c>
      <c r="H496" t="s">
        <v>21</v>
      </c>
      <c r="I496" t="s">
        <v>26</v>
      </c>
      <c r="J496" s="4">
        <v>140</v>
      </c>
      <c r="K496" t="s">
        <v>21</v>
      </c>
      <c r="L496" t="s">
        <v>32</v>
      </c>
      <c r="N496" t="s">
        <v>32</v>
      </c>
      <c r="O496" s="4">
        <v>1</v>
      </c>
      <c r="P496" s="5">
        <v>0</v>
      </c>
    </row>
    <row r="497" spans="1:16" x14ac:dyDescent="0.3">
      <c r="A497" s="4">
        <v>496</v>
      </c>
      <c r="B497" s="4">
        <v>36</v>
      </c>
      <c r="C497" t="s">
        <v>16</v>
      </c>
      <c r="D497" t="s">
        <v>34</v>
      </c>
      <c r="E497" t="s">
        <v>30</v>
      </c>
      <c r="F497" s="4">
        <v>120</v>
      </c>
      <c r="G497" s="4">
        <v>267</v>
      </c>
      <c r="H497" t="s">
        <v>21</v>
      </c>
      <c r="I497" t="s">
        <v>26</v>
      </c>
      <c r="J497" s="4">
        <v>160</v>
      </c>
      <c r="K497" t="s">
        <v>21</v>
      </c>
      <c r="L497" t="s">
        <v>25</v>
      </c>
      <c r="N497" t="s">
        <v>32</v>
      </c>
      <c r="O497" s="4">
        <v>1</v>
      </c>
      <c r="P497" s="5">
        <v>3</v>
      </c>
    </row>
    <row r="498" spans="1:16" x14ac:dyDescent="0.3">
      <c r="A498" s="4">
        <v>497</v>
      </c>
      <c r="B498" s="4">
        <v>37</v>
      </c>
      <c r="C498" t="s">
        <v>16</v>
      </c>
      <c r="D498" t="s">
        <v>34</v>
      </c>
      <c r="E498" t="s">
        <v>24</v>
      </c>
      <c r="F498" s="4">
        <v>140</v>
      </c>
      <c r="G498" s="4">
        <v>207</v>
      </c>
      <c r="H498" t="s">
        <v>21</v>
      </c>
      <c r="I498" t="s">
        <v>26</v>
      </c>
      <c r="J498" s="4">
        <v>130</v>
      </c>
      <c r="K498" t="s">
        <v>19</v>
      </c>
      <c r="L498" t="s">
        <v>25</v>
      </c>
      <c r="N498" t="s">
        <v>32</v>
      </c>
      <c r="O498" s="4">
        <v>1</v>
      </c>
      <c r="P498" s="5">
        <v>0.5</v>
      </c>
    </row>
    <row r="499" spans="1:16" x14ac:dyDescent="0.3">
      <c r="A499" s="4">
        <v>498</v>
      </c>
      <c r="B499" s="4">
        <v>38</v>
      </c>
      <c r="C499" t="s">
        <v>16</v>
      </c>
      <c r="D499" t="s">
        <v>34</v>
      </c>
      <c r="E499" t="s">
        <v>24</v>
      </c>
      <c r="F499" s="4">
        <v>110</v>
      </c>
      <c r="G499" s="4">
        <v>196</v>
      </c>
      <c r="H499" t="s">
        <v>21</v>
      </c>
      <c r="I499" t="s">
        <v>26</v>
      </c>
      <c r="J499" s="4">
        <v>166</v>
      </c>
      <c r="K499" t="s">
        <v>21</v>
      </c>
      <c r="L499" t="s">
        <v>32</v>
      </c>
      <c r="N499" t="s">
        <v>32</v>
      </c>
      <c r="O499" s="4">
        <v>1</v>
      </c>
      <c r="P499" s="5">
        <v>0</v>
      </c>
    </row>
    <row r="500" spans="1:16" x14ac:dyDescent="0.3">
      <c r="A500" s="4">
        <v>499</v>
      </c>
      <c r="B500" s="4">
        <v>38</v>
      </c>
      <c r="C500" t="s">
        <v>16</v>
      </c>
      <c r="D500" t="s">
        <v>34</v>
      </c>
      <c r="E500" t="s">
        <v>24</v>
      </c>
      <c r="F500" s="4">
        <v>120</v>
      </c>
      <c r="G500" s="4">
        <v>282</v>
      </c>
      <c r="H500" t="s">
        <v>21</v>
      </c>
      <c r="I500" t="s">
        <v>26</v>
      </c>
      <c r="J500" s="4">
        <v>170</v>
      </c>
      <c r="K500" t="s">
        <v>21</v>
      </c>
      <c r="L500" t="s">
        <v>32</v>
      </c>
      <c r="N500" t="s">
        <v>32</v>
      </c>
      <c r="O500" s="4">
        <v>1</v>
      </c>
      <c r="P500" s="5">
        <v>0</v>
      </c>
    </row>
    <row r="501" spans="1:16" x14ac:dyDescent="0.3">
      <c r="A501" s="4">
        <v>500</v>
      </c>
      <c r="B501" s="4">
        <v>38</v>
      </c>
      <c r="C501" t="s">
        <v>16</v>
      </c>
      <c r="D501" t="s">
        <v>34</v>
      </c>
      <c r="E501" t="s">
        <v>24</v>
      </c>
      <c r="F501" s="4">
        <v>92</v>
      </c>
      <c r="G501" s="4">
        <v>117</v>
      </c>
      <c r="H501" t="s">
        <v>21</v>
      </c>
      <c r="I501" t="s">
        <v>26</v>
      </c>
      <c r="J501" s="4">
        <v>134</v>
      </c>
      <c r="K501" t="s">
        <v>19</v>
      </c>
      <c r="L501" t="s">
        <v>25</v>
      </c>
      <c r="N501" t="s">
        <v>32</v>
      </c>
      <c r="O501" s="4">
        <v>1</v>
      </c>
      <c r="P501" s="5">
        <v>0.5</v>
      </c>
    </row>
    <row r="502" spans="1:16" x14ac:dyDescent="0.3">
      <c r="A502" s="4">
        <v>501</v>
      </c>
      <c r="B502" s="4">
        <v>40</v>
      </c>
      <c r="C502" t="s">
        <v>16</v>
      </c>
      <c r="D502" t="s">
        <v>34</v>
      </c>
      <c r="E502" t="s">
        <v>24</v>
      </c>
      <c r="F502" s="4">
        <v>120</v>
      </c>
      <c r="G502" s="4">
        <v>466</v>
      </c>
      <c r="H502" t="s">
        <v>32</v>
      </c>
      <c r="I502" t="s">
        <v>26</v>
      </c>
      <c r="J502" s="4">
        <v>152</v>
      </c>
      <c r="K502" t="s">
        <v>19</v>
      </c>
      <c r="L502" t="s">
        <v>25</v>
      </c>
      <c r="N502" t="s">
        <v>23</v>
      </c>
      <c r="O502" s="4">
        <v>1</v>
      </c>
      <c r="P502" s="5">
        <v>1</v>
      </c>
    </row>
    <row r="503" spans="1:16" x14ac:dyDescent="0.3">
      <c r="A503" s="4">
        <v>502</v>
      </c>
      <c r="B503" s="4">
        <v>41</v>
      </c>
      <c r="C503" t="s">
        <v>16</v>
      </c>
      <c r="D503" t="s">
        <v>34</v>
      </c>
      <c r="E503" t="s">
        <v>24</v>
      </c>
      <c r="F503" s="4">
        <v>110</v>
      </c>
      <c r="G503" s="4">
        <v>289</v>
      </c>
      <c r="H503" t="s">
        <v>21</v>
      </c>
      <c r="I503" t="s">
        <v>26</v>
      </c>
      <c r="J503" s="4">
        <v>170</v>
      </c>
      <c r="K503" t="s">
        <v>21</v>
      </c>
      <c r="L503" t="s">
        <v>32</v>
      </c>
      <c r="N503" t="s">
        <v>23</v>
      </c>
      <c r="O503" s="4">
        <v>1</v>
      </c>
      <c r="P503" s="5">
        <v>0</v>
      </c>
    </row>
    <row r="504" spans="1:16" x14ac:dyDescent="0.3">
      <c r="A504" s="4">
        <v>503</v>
      </c>
      <c r="B504" s="4">
        <v>41</v>
      </c>
      <c r="C504" t="s">
        <v>16</v>
      </c>
      <c r="D504" t="s">
        <v>34</v>
      </c>
      <c r="E504" t="s">
        <v>24</v>
      </c>
      <c r="F504" s="4">
        <v>120</v>
      </c>
      <c r="G504" s="4">
        <v>237</v>
      </c>
      <c r="H504" t="s">
        <v>32</v>
      </c>
      <c r="I504" t="s">
        <v>26</v>
      </c>
      <c r="J504" s="4">
        <v>138</v>
      </c>
      <c r="K504" t="s">
        <v>19</v>
      </c>
      <c r="L504" t="s">
        <v>25</v>
      </c>
      <c r="N504" t="s">
        <v>32</v>
      </c>
      <c r="O504" s="4">
        <v>1</v>
      </c>
      <c r="P504" s="5">
        <v>1</v>
      </c>
    </row>
    <row r="505" spans="1:16" x14ac:dyDescent="0.3">
      <c r="A505" s="4">
        <v>504</v>
      </c>
      <c r="B505" s="4">
        <v>43</v>
      </c>
      <c r="C505" t="s">
        <v>16</v>
      </c>
      <c r="D505" t="s">
        <v>34</v>
      </c>
      <c r="E505" t="s">
        <v>24</v>
      </c>
      <c r="F505" s="4">
        <v>150</v>
      </c>
      <c r="G505" s="4">
        <v>247</v>
      </c>
      <c r="H505" t="s">
        <v>21</v>
      </c>
      <c r="I505" t="s">
        <v>26</v>
      </c>
      <c r="J505" s="4">
        <v>130</v>
      </c>
      <c r="K505" t="s">
        <v>19</v>
      </c>
      <c r="L505" t="s">
        <v>25</v>
      </c>
      <c r="N505" t="s">
        <v>32</v>
      </c>
      <c r="O505" s="4">
        <v>1</v>
      </c>
      <c r="P505" s="5">
        <v>2</v>
      </c>
    </row>
    <row r="506" spans="1:16" x14ac:dyDescent="0.3">
      <c r="A506" s="4">
        <v>505</v>
      </c>
      <c r="B506" s="4">
        <v>46</v>
      </c>
      <c r="C506" t="s">
        <v>16</v>
      </c>
      <c r="D506" t="s">
        <v>34</v>
      </c>
      <c r="E506" t="s">
        <v>24</v>
      </c>
      <c r="F506" s="4">
        <v>110</v>
      </c>
      <c r="G506" s="4">
        <v>202</v>
      </c>
      <c r="H506" t="s">
        <v>21</v>
      </c>
      <c r="I506" t="s">
        <v>26</v>
      </c>
      <c r="J506" s="4">
        <v>150</v>
      </c>
      <c r="K506" t="s">
        <v>19</v>
      </c>
      <c r="L506" t="s">
        <v>32</v>
      </c>
      <c r="N506" t="s">
        <v>32</v>
      </c>
      <c r="O506" s="4">
        <v>1</v>
      </c>
      <c r="P506" s="5">
        <v>0</v>
      </c>
    </row>
    <row r="507" spans="1:16" x14ac:dyDescent="0.3">
      <c r="A507" s="4">
        <v>506</v>
      </c>
      <c r="B507" s="4">
        <v>46</v>
      </c>
      <c r="C507" t="s">
        <v>16</v>
      </c>
      <c r="D507" t="s">
        <v>34</v>
      </c>
      <c r="E507" t="s">
        <v>24</v>
      </c>
      <c r="F507" s="4">
        <v>118</v>
      </c>
      <c r="G507" s="4">
        <v>186</v>
      </c>
      <c r="H507" t="s">
        <v>21</v>
      </c>
      <c r="I507" t="s">
        <v>26</v>
      </c>
      <c r="J507" s="4">
        <v>124</v>
      </c>
      <c r="K507" t="s">
        <v>21</v>
      </c>
      <c r="L507" t="s">
        <v>32</v>
      </c>
      <c r="N507" t="s">
        <v>27</v>
      </c>
      <c r="O507" s="4">
        <v>1</v>
      </c>
      <c r="P507" s="5">
        <v>0</v>
      </c>
    </row>
    <row r="508" spans="1:16" x14ac:dyDescent="0.3">
      <c r="A508" s="4">
        <v>507</v>
      </c>
      <c r="B508" s="4">
        <v>46</v>
      </c>
      <c r="C508" t="s">
        <v>16</v>
      </c>
      <c r="D508" t="s">
        <v>34</v>
      </c>
      <c r="E508" t="s">
        <v>24</v>
      </c>
      <c r="F508" s="4">
        <v>120</v>
      </c>
      <c r="G508" s="4">
        <v>277</v>
      </c>
      <c r="H508" t="s">
        <v>21</v>
      </c>
      <c r="I508" t="s">
        <v>26</v>
      </c>
      <c r="J508" s="4">
        <v>125</v>
      </c>
      <c r="K508" t="s">
        <v>19</v>
      </c>
      <c r="L508" t="s">
        <v>25</v>
      </c>
      <c r="N508" t="s">
        <v>32</v>
      </c>
      <c r="O508" s="4">
        <v>1</v>
      </c>
      <c r="P508" s="5">
        <v>1</v>
      </c>
    </row>
    <row r="509" spans="1:16" x14ac:dyDescent="0.3">
      <c r="A509" s="4">
        <v>508</v>
      </c>
      <c r="B509" s="4">
        <v>47</v>
      </c>
      <c r="C509" t="s">
        <v>16</v>
      </c>
      <c r="D509" t="s">
        <v>34</v>
      </c>
      <c r="E509" t="s">
        <v>28</v>
      </c>
      <c r="F509" s="4">
        <v>140</v>
      </c>
      <c r="G509" s="4">
        <v>193</v>
      </c>
      <c r="H509" t="s">
        <v>21</v>
      </c>
      <c r="I509" t="s">
        <v>26</v>
      </c>
      <c r="J509" s="4">
        <v>145</v>
      </c>
      <c r="K509" t="s">
        <v>19</v>
      </c>
      <c r="L509" t="s">
        <v>25</v>
      </c>
      <c r="N509" t="s">
        <v>32</v>
      </c>
      <c r="O509" s="4">
        <v>1</v>
      </c>
      <c r="P509" s="5">
        <v>1</v>
      </c>
    </row>
    <row r="510" spans="1:16" x14ac:dyDescent="0.3">
      <c r="A510" s="4">
        <v>509</v>
      </c>
      <c r="B510" s="4">
        <v>47</v>
      </c>
      <c r="C510" t="s">
        <v>16</v>
      </c>
      <c r="D510" t="s">
        <v>34</v>
      </c>
      <c r="E510" t="s">
        <v>24</v>
      </c>
      <c r="F510" s="4">
        <v>150</v>
      </c>
      <c r="G510" s="4">
        <v>226</v>
      </c>
      <c r="H510" t="s">
        <v>21</v>
      </c>
      <c r="I510" t="s">
        <v>26</v>
      </c>
      <c r="J510" s="4">
        <v>98</v>
      </c>
      <c r="K510" t="s">
        <v>19</v>
      </c>
      <c r="L510" t="s">
        <v>25</v>
      </c>
      <c r="M510" s="4">
        <v>0</v>
      </c>
      <c r="N510" t="s">
        <v>27</v>
      </c>
      <c r="O510" s="4">
        <v>1</v>
      </c>
      <c r="P510" s="5">
        <v>0.5</v>
      </c>
    </row>
    <row r="511" spans="1:16" x14ac:dyDescent="0.3">
      <c r="A511" s="4">
        <v>510</v>
      </c>
      <c r="B511" s="4">
        <v>48</v>
      </c>
      <c r="C511" t="s">
        <v>16</v>
      </c>
      <c r="D511" t="s">
        <v>34</v>
      </c>
      <c r="E511" t="s">
        <v>24</v>
      </c>
      <c r="F511" s="4">
        <v>106</v>
      </c>
      <c r="G511" s="4">
        <v>263</v>
      </c>
      <c r="H511" t="s">
        <v>19</v>
      </c>
      <c r="I511" t="s">
        <v>26</v>
      </c>
      <c r="J511" s="4">
        <v>110</v>
      </c>
      <c r="K511" t="s">
        <v>21</v>
      </c>
      <c r="L511" t="s">
        <v>32</v>
      </c>
      <c r="N511" t="s">
        <v>32</v>
      </c>
      <c r="O511" s="4">
        <v>1</v>
      </c>
      <c r="P511" s="5">
        <v>0</v>
      </c>
    </row>
    <row r="512" spans="1:16" x14ac:dyDescent="0.3">
      <c r="A512" s="4">
        <v>511</v>
      </c>
      <c r="B512" s="4">
        <v>48</v>
      </c>
      <c r="C512" t="s">
        <v>16</v>
      </c>
      <c r="D512" t="s">
        <v>34</v>
      </c>
      <c r="E512" t="s">
        <v>24</v>
      </c>
      <c r="F512" s="4">
        <v>120</v>
      </c>
      <c r="G512" s="4">
        <v>260</v>
      </c>
      <c r="H512" t="s">
        <v>21</v>
      </c>
      <c r="I512" t="s">
        <v>26</v>
      </c>
      <c r="J512" s="4">
        <v>115</v>
      </c>
      <c r="K512" t="s">
        <v>21</v>
      </c>
      <c r="L512" t="s">
        <v>25</v>
      </c>
      <c r="N512" t="s">
        <v>32</v>
      </c>
      <c r="O512" s="4">
        <v>1</v>
      </c>
      <c r="P512" s="5">
        <v>2</v>
      </c>
    </row>
    <row r="513" spans="1:16" x14ac:dyDescent="0.3">
      <c r="A513" s="4">
        <v>512</v>
      </c>
      <c r="B513" s="4">
        <v>48</v>
      </c>
      <c r="C513" t="s">
        <v>16</v>
      </c>
      <c r="D513" t="s">
        <v>34</v>
      </c>
      <c r="E513" t="s">
        <v>24</v>
      </c>
      <c r="F513" s="4">
        <v>160</v>
      </c>
      <c r="G513" s="4">
        <v>268</v>
      </c>
      <c r="H513" t="s">
        <v>21</v>
      </c>
      <c r="I513" t="s">
        <v>26</v>
      </c>
      <c r="J513" s="4">
        <v>103</v>
      </c>
      <c r="K513" t="s">
        <v>19</v>
      </c>
      <c r="L513" t="s">
        <v>25</v>
      </c>
      <c r="N513" t="s">
        <v>32</v>
      </c>
      <c r="O513" s="4">
        <v>1</v>
      </c>
      <c r="P513" s="5">
        <v>1</v>
      </c>
    </row>
    <row r="514" spans="1:16" x14ac:dyDescent="0.3">
      <c r="A514" s="4">
        <v>513</v>
      </c>
      <c r="B514" s="4">
        <v>49</v>
      </c>
      <c r="C514" t="s">
        <v>29</v>
      </c>
      <c r="D514" t="s">
        <v>34</v>
      </c>
      <c r="E514" t="s">
        <v>28</v>
      </c>
      <c r="F514" s="4">
        <v>160</v>
      </c>
      <c r="G514" s="4">
        <v>180</v>
      </c>
      <c r="H514" t="s">
        <v>21</v>
      </c>
      <c r="I514" t="s">
        <v>26</v>
      </c>
      <c r="J514" s="4">
        <v>156</v>
      </c>
      <c r="K514" t="s">
        <v>21</v>
      </c>
      <c r="L514" t="s">
        <v>25</v>
      </c>
      <c r="N514" t="s">
        <v>32</v>
      </c>
      <c r="O514" s="4">
        <v>1</v>
      </c>
      <c r="P514" s="5">
        <v>1</v>
      </c>
    </row>
    <row r="515" spans="1:16" x14ac:dyDescent="0.3">
      <c r="A515" s="4">
        <v>514</v>
      </c>
      <c r="B515" s="4">
        <v>49</v>
      </c>
      <c r="C515" t="s">
        <v>16</v>
      </c>
      <c r="D515" t="s">
        <v>34</v>
      </c>
      <c r="E515" t="s">
        <v>28</v>
      </c>
      <c r="F515" s="4">
        <v>115</v>
      </c>
      <c r="G515" s="4">
        <v>265</v>
      </c>
      <c r="H515" t="s">
        <v>21</v>
      </c>
      <c r="I515" t="s">
        <v>26</v>
      </c>
      <c r="J515" s="4">
        <v>175</v>
      </c>
      <c r="K515" t="s">
        <v>21</v>
      </c>
      <c r="L515" t="s">
        <v>32</v>
      </c>
      <c r="N515" t="s">
        <v>32</v>
      </c>
      <c r="O515" s="4">
        <v>1</v>
      </c>
      <c r="P515" s="5">
        <v>0</v>
      </c>
    </row>
    <row r="516" spans="1:16" x14ac:dyDescent="0.3">
      <c r="A516" s="4">
        <v>515</v>
      </c>
      <c r="B516" s="4">
        <v>49</v>
      </c>
      <c r="C516" t="s">
        <v>16</v>
      </c>
      <c r="D516" t="s">
        <v>34</v>
      </c>
      <c r="E516" t="s">
        <v>24</v>
      </c>
      <c r="F516" s="4">
        <v>130</v>
      </c>
      <c r="G516" s="4">
        <v>206</v>
      </c>
      <c r="H516" t="s">
        <v>21</v>
      </c>
      <c r="I516" t="s">
        <v>26</v>
      </c>
      <c r="J516" s="4">
        <v>170</v>
      </c>
      <c r="K516" t="s">
        <v>21</v>
      </c>
      <c r="L516" t="s">
        <v>32</v>
      </c>
      <c r="N516" t="s">
        <v>32</v>
      </c>
      <c r="O516" s="4">
        <v>1</v>
      </c>
      <c r="P516" s="5">
        <v>0</v>
      </c>
    </row>
    <row r="517" spans="1:16" x14ac:dyDescent="0.3">
      <c r="A517" s="4">
        <v>516</v>
      </c>
      <c r="B517" s="4">
        <v>50</v>
      </c>
      <c r="C517" t="s">
        <v>29</v>
      </c>
      <c r="D517" t="s">
        <v>34</v>
      </c>
      <c r="E517" t="s">
        <v>28</v>
      </c>
      <c r="F517" s="4">
        <v>140</v>
      </c>
      <c r="G517" s="4">
        <v>288</v>
      </c>
      <c r="H517" t="s">
        <v>21</v>
      </c>
      <c r="I517" t="s">
        <v>26</v>
      </c>
      <c r="J517" s="4">
        <v>140</v>
      </c>
      <c r="K517" t="s">
        <v>19</v>
      </c>
      <c r="L517" t="s">
        <v>32</v>
      </c>
      <c r="N517" t="s">
        <v>27</v>
      </c>
      <c r="O517" s="4">
        <v>1</v>
      </c>
      <c r="P517" s="5">
        <v>0</v>
      </c>
    </row>
    <row r="518" spans="1:16" x14ac:dyDescent="0.3">
      <c r="A518" s="4">
        <v>517</v>
      </c>
      <c r="B518" s="4">
        <v>50</v>
      </c>
      <c r="C518" t="s">
        <v>16</v>
      </c>
      <c r="D518" t="s">
        <v>34</v>
      </c>
      <c r="E518" t="s">
        <v>24</v>
      </c>
      <c r="F518" s="4">
        <v>145</v>
      </c>
      <c r="G518" s="4">
        <v>264</v>
      </c>
      <c r="H518" t="s">
        <v>21</v>
      </c>
      <c r="I518" t="s">
        <v>26</v>
      </c>
      <c r="J518" s="4">
        <v>150</v>
      </c>
      <c r="K518" t="s">
        <v>21</v>
      </c>
      <c r="L518" t="s">
        <v>32</v>
      </c>
      <c r="N518" t="s">
        <v>32</v>
      </c>
      <c r="O518" s="4">
        <v>1</v>
      </c>
      <c r="P518" s="5">
        <v>0</v>
      </c>
    </row>
    <row r="519" spans="1:16" x14ac:dyDescent="0.3">
      <c r="A519" s="4">
        <v>518</v>
      </c>
      <c r="B519" s="4">
        <v>51</v>
      </c>
      <c r="C519" t="s">
        <v>29</v>
      </c>
      <c r="D519" t="s">
        <v>34</v>
      </c>
      <c r="E519" t="s">
        <v>24</v>
      </c>
      <c r="F519" s="4">
        <v>160</v>
      </c>
      <c r="G519" s="4">
        <v>303</v>
      </c>
      <c r="H519" t="s">
        <v>21</v>
      </c>
      <c r="I519" t="s">
        <v>26</v>
      </c>
      <c r="J519" s="4">
        <v>150</v>
      </c>
      <c r="K519" t="s">
        <v>19</v>
      </c>
      <c r="L519" t="s">
        <v>25</v>
      </c>
      <c r="N519" t="s">
        <v>32</v>
      </c>
      <c r="O519" s="4">
        <v>1</v>
      </c>
      <c r="P519" s="5">
        <v>1</v>
      </c>
    </row>
    <row r="520" spans="1:16" x14ac:dyDescent="0.3">
      <c r="A520" s="4">
        <v>519</v>
      </c>
      <c r="B520" s="4">
        <v>52</v>
      </c>
      <c r="C520" t="s">
        <v>16</v>
      </c>
      <c r="D520" t="s">
        <v>34</v>
      </c>
      <c r="E520" t="s">
        <v>24</v>
      </c>
      <c r="F520" s="4">
        <v>130</v>
      </c>
      <c r="G520" s="4">
        <v>225</v>
      </c>
      <c r="H520" t="s">
        <v>21</v>
      </c>
      <c r="I520" t="s">
        <v>26</v>
      </c>
      <c r="J520" s="4">
        <v>120</v>
      </c>
      <c r="K520" t="s">
        <v>19</v>
      </c>
      <c r="L520" t="s">
        <v>25</v>
      </c>
      <c r="N520" t="s">
        <v>32</v>
      </c>
      <c r="O520" s="4">
        <v>1</v>
      </c>
      <c r="P520" s="5">
        <v>2</v>
      </c>
    </row>
    <row r="521" spans="1:16" x14ac:dyDescent="0.3">
      <c r="A521" s="4">
        <v>520</v>
      </c>
      <c r="B521" s="4">
        <v>54</v>
      </c>
      <c r="C521" t="s">
        <v>16</v>
      </c>
      <c r="D521" t="s">
        <v>34</v>
      </c>
      <c r="E521" t="s">
        <v>24</v>
      </c>
      <c r="F521" s="4">
        <v>125</v>
      </c>
      <c r="G521" s="4">
        <v>216</v>
      </c>
      <c r="H521" t="s">
        <v>21</v>
      </c>
      <c r="I521" t="s">
        <v>26</v>
      </c>
      <c r="J521" s="4">
        <v>140</v>
      </c>
      <c r="K521" t="s">
        <v>21</v>
      </c>
      <c r="L521" t="s">
        <v>32</v>
      </c>
      <c r="N521" t="s">
        <v>32</v>
      </c>
      <c r="O521" s="4">
        <v>1</v>
      </c>
      <c r="P521" s="5">
        <v>0</v>
      </c>
    </row>
    <row r="522" spans="1:16" x14ac:dyDescent="0.3">
      <c r="A522" s="4">
        <v>521</v>
      </c>
      <c r="B522" s="4">
        <v>54</v>
      </c>
      <c r="C522" t="s">
        <v>16</v>
      </c>
      <c r="D522" t="s">
        <v>34</v>
      </c>
      <c r="E522" t="s">
        <v>24</v>
      </c>
      <c r="F522" s="4">
        <v>125</v>
      </c>
      <c r="G522" s="4">
        <v>224</v>
      </c>
      <c r="H522" t="s">
        <v>21</v>
      </c>
      <c r="I522" t="s">
        <v>26</v>
      </c>
      <c r="J522" s="4">
        <v>122</v>
      </c>
      <c r="K522" t="s">
        <v>21</v>
      </c>
      <c r="L522" t="s">
        <v>25</v>
      </c>
      <c r="N522" t="s">
        <v>32</v>
      </c>
      <c r="O522" s="4">
        <v>1</v>
      </c>
      <c r="P522" s="5">
        <v>2</v>
      </c>
    </row>
    <row r="523" spans="1:16" x14ac:dyDescent="0.3">
      <c r="A523" s="4">
        <v>522</v>
      </c>
      <c r="B523" s="4">
        <v>55</v>
      </c>
      <c r="C523" t="s">
        <v>16</v>
      </c>
      <c r="D523" t="s">
        <v>34</v>
      </c>
      <c r="E523" t="s">
        <v>24</v>
      </c>
      <c r="F523" s="4">
        <v>140</v>
      </c>
      <c r="G523" s="4">
        <v>201</v>
      </c>
      <c r="H523" t="s">
        <v>21</v>
      </c>
      <c r="I523" t="s">
        <v>26</v>
      </c>
      <c r="J523" s="4">
        <v>130</v>
      </c>
      <c r="K523" t="s">
        <v>19</v>
      </c>
      <c r="L523" t="s">
        <v>25</v>
      </c>
      <c r="N523" t="s">
        <v>32</v>
      </c>
      <c r="O523" s="4">
        <v>1</v>
      </c>
      <c r="P523" s="5">
        <v>3</v>
      </c>
    </row>
    <row r="524" spans="1:16" x14ac:dyDescent="0.3">
      <c r="A524" s="4">
        <v>523</v>
      </c>
      <c r="B524" s="4">
        <v>57</v>
      </c>
      <c r="C524" t="s">
        <v>16</v>
      </c>
      <c r="D524" t="s">
        <v>34</v>
      </c>
      <c r="E524" t="s">
        <v>30</v>
      </c>
      <c r="F524" s="4">
        <v>140</v>
      </c>
      <c r="G524" s="4">
        <v>265</v>
      </c>
      <c r="H524" t="s">
        <v>21</v>
      </c>
      <c r="I524" t="s">
        <v>33</v>
      </c>
      <c r="J524" s="4">
        <v>145</v>
      </c>
      <c r="K524" t="s">
        <v>19</v>
      </c>
      <c r="L524" t="s">
        <v>25</v>
      </c>
      <c r="N524" t="s">
        <v>32</v>
      </c>
      <c r="O524" s="4">
        <v>1</v>
      </c>
      <c r="P524" s="5">
        <v>1</v>
      </c>
    </row>
    <row r="525" spans="1:16" x14ac:dyDescent="0.3">
      <c r="A525" s="4">
        <v>524</v>
      </c>
      <c r="B525" s="4">
        <v>58</v>
      </c>
      <c r="C525" t="s">
        <v>16</v>
      </c>
      <c r="D525" t="s">
        <v>34</v>
      </c>
      <c r="E525" t="s">
        <v>28</v>
      </c>
      <c r="F525" s="4">
        <v>130</v>
      </c>
      <c r="G525" s="4">
        <v>213</v>
      </c>
      <c r="H525" t="s">
        <v>21</v>
      </c>
      <c r="I525" t="s">
        <v>33</v>
      </c>
      <c r="J525" s="4">
        <v>140</v>
      </c>
      <c r="K525" t="s">
        <v>21</v>
      </c>
      <c r="L525" t="s">
        <v>32</v>
      </c>
      <c r="N525" t="s">
        <v>23</v>
      </c>
      <c r="O525" s="4">
        <v>1</v>
      </c>
      <c r="P525" s="5">
        <v>0</v>
      </c>
    </row>
    <row r="526" spans="1:16" x14ac:dyDescent="0.3">
      <c r="A526" s="4">
        <v>525</v>
      </c>
      <c r="B526" s="4">
        <v>59</v>
      </c>
      <c r="C526" t="s">
        <v>29</v>
      </c>
      <c r="D526" t="s">
        <v>34</v>
      </c>
      <c r="E526" t="s">
        <v>24</v>
      </c>
      <c r="F526" s="4">
        <v>130</v>
      </c>
      <c r="G526" s="4">
        <v>338</v>
      </c>
      <c r="H526" t="s">
        <v>19</v>
      </c>
      <c r="I526" t="s">
        <v>33</v>
      </c>
      <c r="J526" s="4">
        <v>130</v>
      </c>
      <c r="K526" t="s">
        <v>19</v>
      </c>
      <c r="L526" t="s">
        <v>25</v>
      </c>
      <c r="N526" t="s">
        <v>32</v>
      </c>
      <c r="O526" s="4">
        <v>1</v>
      </c>
      <c r="P526" s="5">
        <v>0.5</v>
      </c>
    </row>
    <row r="527" spans="1:16" x14ac:dyDescent="0.3">
      <c r="A527" s="4">
        <v>526</v>
      </c>
      <c r="B527" s="4">
        <v>60</v>
      </c>
      <c r="C527" t="s">
        <v>16</v>
      </c>
      <c r="D527" t="s">
        <v>34</v>
      </c>
      <c r="E527" t="s">
        <v>24</v>
      </c>
      <c r="F527" s="4">
        <v>100</v>
      </c>
      <c r="G527" s="4">
        <v>248</v>
      </c>
      <c r="H527" t="s">
        <v>21</v>
      </c>
      <c r="I527" t="s">
        <v>26</v>
      </c>
      <c r="J527" s="4">
        <v>125</v>
      </c>
      <c r="K527" t="s">
        <v>21</v>
      </c>
      <c r="L527" t="s">
        <v>25</v>
      </c>
      <c r="N527" t="s">
        <v>32</v>
      </c>
      <c r="O527" s="4">
        <v>1</v>
      </c>
      <c r="P527" s="5">
        <v>1</v>
      </c>
    </row>
    <row r="528" spans="1:16" x14ac:dyDescent="0.3">
      <c r="A528" s="4">
        <v>527</v>
      </c>
      <c r="B528" s="4">
        <v>63</v>
      </c>
      <c r="C528" t="s">
        <v>16</v>
      </c>
      <c r="D528" t="s">
        <v>34</v>
      </c>
      <c r="E528" t="s">
        <v>24</v>
      </c>
      <c r="F528" s="4">
        <v>150</v>
      </c>
      <c r="G528" s="4">
        <v>223</v>
      </c>
      <c r="H528" t="s">
        <v>21</v>
      </c>
      <c r="I528" t="s">
        <v>26</v>
      </c>
      <c r="J528" s="4">
        <v>115</v>
      </c>
      <c r="K528" t="s">
        <v>21</v>
      </c>
      <c r="L528" t="s">
        <v>32</v>
      </c>
      <c r="N528" t="s">
        <v>32</v>
      </c>
      <c r="O528" s="4">
        <v>1</v>
      </c>
      <c r="P528" s="5">
        <v>0</v>
      </c>
    </row>
    <row r="529" spans="1:16" x14ac:dyDescent="0.3">
      <c r="A529" s="4">
        <v>528</v>
      </c>
      <c r="B529" s="4">
        <v>65</v>
      </c>
      <c r="C529" t="s">
        <v>16</v>
      </c>
      <c r="D529" t="s">
        <v>34</v>
      </c>
      <c r="E529" t="s">
        <v>24</v>
      </c>
      <c r="F529" s="4">
        <v>140</v>
      </c>
      <c r="G529" s="4">
        <v>306</v>
      </c>
      <c r="H529" t="s">
        <v>19</v>
      </c>
      <c r="I529" t="s">
        <v>26</v>
      </c>
      <c r="J529" s="4">
        <v>87</v>
      </c>
      <c r="K529" t="s">
        <v>19</v>
      </c>
      <c r="L529" t="s">
        <v>25</v>
      </c>
      <c r="N529" t="s">
        <v>32</v>
      </c>
      <c r="O529" s="4">
        <v>1</v>
      </c>
      <c r="P529" s="5">
        <v>0.5</v>
      </c>
    </row>
    <row r="530" spans="1:16" x14ac:dyDescent="0.3">
      <c r="A530" s="4">
        <v>529</v>
      </c>
      <c r="B530" s="4">
        <v>32</v>
      </c>
      <c r="C530" t="s">
        <v>16</v>
      </c>
      <c r="D530" t="s">
        <v>34</v>
      </c>
      <c r="E530" t="s">
        <v>24</v>
      </c>
      <c r="F530" s="4">
        <v>118</v>
      </c>
      <c r="G530" s="4">
        <v>529</v>
      </c>
      <c r="H530" t="s">
        <v>21</v>
      </c>
      <c r="I530" t="s">
        <v>26</v>
      </c>
      <c r="J530" s="4">
        <v>130</v>
      </c>
      <c r="K530" t="s">
        <v>21</v>
      </c>
      <c r="L530" t="s">
        <v>32</v>
      </c>
      <c r="N530" t="s">
        <v>32</v>
      </c>
      <c r="O530" s="4">
        <v>1</v>
      </c>
      <c r="P530" s="5">
        <v>0</v>
      </c>
    </row>
    <row r="531" spans="1:16" x14ac:dyDescent="0.3">
      <c r="A531" s="4">
        <v>530</v>
      </c>
      <c r="B531" s="4">
        <v>38</v>
      </c>
      <c r="C531" t="s">
        <v>16</v>
      </c>
      <c r="D531" t="s">
        <v>34</v>
      </c>
      <c r="E531" t="s">
        <v>24</v>
      </c>
      <c r="F531" s="4">
        <v>110</v>
      </c>
      <c r="H531" t="s">
        <v>21</v>
      </c>
      <c r="I531" t="s">
        <v>26</v>
      </c>
      <c r="J531" s="4">
        <v>150</v>
      </c>
      <c r="K531" t="s">
        <v>19</v>
      </c>
      <c r="L531" t="s">
        <v>25</v>
      </c>
      <c r="N531" t="s">
        <v>32</v>
      </c>
      <c r="O531" s="4">
        <v>1</v>
      </c>
      <c r="P531" s="5">
        <v>1</v>
      </c>
    </row>
    <row r="532" spans="1:16" x14ac:dyDescent="0.3">
      <c r="A532" s="4">
        <v>531</v>
      </c>
      <c r="B532" s="4">
        <v>39</v>
      </c>
      <c r="C532" t="s">
        <v>16</v>
      </c>
      <c r="D532" t="s">
        <v>34</v>
      </c>
      <c r="E532" t="s">
        <v>24</v>
      </c>
      <c r="F532" s="4">
        <v>110</v>
      </c>
      <c r="G532" s="4">
        <v>280</v>
      </c>
      <c r="H532" t="s">
        <v>21</v>
      </c>
      <c r="I532" t="s">
        <v>26</v>
      </c>
      <c r="J532" s="4">
        <v>150</v>
      </c>
      <c r="K532" t="s">
        <v>21</v>
      </c>
      <c r="L532" t="s">
        <v>32</v>
      </c>
      <c r="N532" t="s">
        <v>23</v>
      </c>
      <c r="O532" s="4">
        <v>1</v>
      </c>
      <c r="P532" s="5">
        <v>0</v>
      </c>
    </row>
    <row r="533" spans="1:16" x14ac:dyDescent="0.3">
      <c r="A533" s="4">
        <v>532</v>
      </c>
      <c r="B533" s="4">
        <v>40</v>
      </c>
      <c r="C533" t="s">
        <v>29</v>
      </c>
      <c r="D533" t="s">
        <v>34</v>
      </c>
      <c r="E533" t="s">
        <v>24</v>
      </c>
      <c r="F533" s="4">
        <v>150</v>
      </c>
      <c r="G533" s="4">
        <v>392</v>
      </c>
      <c r="H533" t="s">
        <v>21</v>
      </c>
      <c r="I533" t="s">
        <v>26</v>
      </c>
      <c r="J533" s="4">
        <v>130</v>
      </c>
      <c r="K533" t="s">
        <v>21</v>
      </c>
      <c r="L533" t="s">
        <v>25</v>
      </c>
      <c r="N533" t="s">
        <v>23</v>
      </c>
      <c r="O533" s="4">
        <v>1</v>
      </c>
      <c r="P533" s="5">
        <v>2</v>
      </c>
    </row>
    <row r="534" spans="1:16" x14ac:dyDescent="0.3">
      <c r="A534" s="4">
        <v>533</v>
      </c>
      <c r="B534" s="4">
        <v>43</v>
      </c>
      <c r="C534" t="s">
        <v>16</v>
      </c>
      <c r="D534" t="s">
        <v>34</v>
      </c>
      <c r="E534" t="s">
        <v>18</v>
      </c>
      <c r="F534" s="4">
        <v>120</v>
      </c>
      <c r="G534" s="4">
        <v>291</v>
      </c>
      <c r="H534" t="s">
        <v>21</v>
      </c>
      <c r="I534" t="s">
        <v>33</v>
      </c>
      <c r="J534" s="4">
        <v>155</v>
      </c>
      <c r="K534" t="s">
        <v>21</v>
      </c>
      <c r="L534" t="s">
        <v>32</v>
      </c>
      <c r="N534" t="s">
        <v>32</v>
      </c>
      <c r="O534" s="4">
        <v>1</v>
      </c>
      <c r="P534" s="5">
        <v>0</v>
      </c>
    </row>
    <row r="535" spans="1:16" x14ac:dyDescent="0.3">
      <c r="A535" s="4">
        <v>534</v>
      </c>
      <c r="B535" s="4">
        <v>45</v>
      </c>
      <c r="C535" t="s">
        <v>16</v>
      </c>
      <c r="D535" t="s">
        <v>34</v>
      </c>
      <c r="E535" t="s">
        <v>24</v>
      </c>
      <c r="F535" s="4">
        <v>130</v>
      </c>
      <c r="G535" s="4">
        <v>219</v>
      </c>
      <c r="H535" t="s">
        <v>21</v>
      </c>
      <c r="I535" t="s">
        <v>33</v>
      </c>
      <c r="J535" s="4">
        <v>130</v>
      </c>
      <c r="K535" t="s">
        <v>19</v>
      </c>
      <c r="L535" t="s">
        <v>25</v>
      </c>
      <c r="N535" t="s">
        <v>32</v>
      </c>
      <c r="O535" s="4">
        <v>1</v>
      </c>
      <c r="P535" s="5">
        <v>1</v>
      </c>
    </row>
    <row r="536" spans="1:16" x14ac:dyDescent="0.3">
      <c r="A536" s="4">
        <v>535</v>
      </c>
      <c r="B536" s="4">
        <v>46</v>
      </c>
      <c r="C536" t="s">
        <v>16</v>
      </c>
      <c r="D536" t="s">
        <v>34</v>
      </c>
      <c r="E536" t="s">
        <v>24</v>
      </c>
      <c r="F536" s="4">
        <v>120</v>
      </c>
      <c r="G536" s="4">
        <v>231</v>
      </c>
      <c r="H536" t="s">
        <v>21</v>
      </c>
      <c r="I536" t="s">
        <v>26</v>
      </c>
      <c r="J536" s="4">
        <v>115</v>
      </c>
      <c r="K536" t="s">
        <v>19</v>
      </c>
      <c r="L536" t="s">
        <v>32</v>
      </c>
      <c r="N536" t="s">
        <v>32</v>
      </c>
      <c r="O536" s="4">
        <v>1</v>
      </c>
      <c r="P536" s="5">
        <v>0</v>
      </c>
    </row>
    <row r="537" spans="1:16" x14ac:dyDescent="0.3">
      <c r="A537" s="4">
        <v>536</v>
      </c>
      <c r="B537" s="4">
        <v>46</v>
      </c>
      <c r="C537" t="s">
        <v>16</v>
      </c>
      <c r="D537" t="s">
        <v>34</v>
      </c>
      <c r="E537" t="s">
        <v>24</v>
      </c>
      <c r="F537" s="4">
        <v>130</v>
      </c>
      <c r="G537" s="4">
        <v>222</v>
      </c>
      <c r="H537" t="s">
        <v>21</v>
      </c>
      <c r="I537" t="s">
        <v>26</v>
      </c>
      <c r="J537" s="4">
        <v>112</v>
      </c>
      <c r="K537" t="s">
        <v>21</v>
      </c>
      <c r="L537" t="s">
        <v>32</v>
      </c>
      <c r="N537" t="s">
        <v>32</v>
      </c>
      <c r="O537" s="4">
        <v>1</v>
      </c>
      <c r="P537" s="5">
        <v>0</v>
      </c>
    </row>
    <row r="538" spans="1:16" x14ac:dyDescent="0.3">
      <c r="A538" s="4">
        <v>537</v>
      </c>
      <c r="B538" s="4">
        <v>48</v>
      </c>
      <c r="C538" t="s">
        <v>16</v>
      </c>
      <c r="D538" t="s">
        <v>34</v>
      </c>
      <c r="E538" t="s">
        <v>24</v>
      </c>
      <c r="F538" s="4">
        <v>122</v>
      </c>
      <c r="G538" s="4">
        <v>275</v>
      </c>
      <c r="H538" t="s">
        <v>19</v>
      </c>
      <c r="I538" t="s">
        <v>33</v>
      </c>
      <c r="J538" s="4">
        <v>150</v>
      </c>
      <c r="K538" t="s">
        <v>19</v>
      </c>
      <c r="L538" t="s">
        <v>22</v>
      </c>
      <c r="N538" t="s">
        <v>32</v>
      </c>
      <c r="O538" s="4">
        <v>1</v>
      </c>
      <c r="P538" s="5">
        <v>2</v>
      </c>
    </row>
    <row r="539" spans="1:16" x14ac:dyDescent="0.3">
      <c r="A539" s="4">
        <v>538</v>
      </c>
      <c r="B539" s="4">
        <v>48</v>
      </c>
      <c r="C539" t="s">
        <v>16</v>
      </c>
      <c r="D539" t="s">
        <v>34</v>
      </c>
      <c r="E539" t="s">
        <v>24</v>
      </c>
      <c r="F539" s="4">
        <v>160</v>
      </c>
      <c r="G539" s="4">
        <v>193</v>
      </c>
      <c r="H539" t="s">
        <v>21</v>
      </c>
      <c r="I539" t="s">
        <v>26</v>
      </c>
      <c r="J539" s="4">
        <v>102</v>
      </c>
      <c r="K539" t="s">
        <v>19</v>
      </c>
      <c r="L539" t="s">
        <v>25</v>
      </c>
      <c r="N539" t="s">
        <v>32</v>
      </c>
      <c r="O539" s="4">
        <v>1</v>
      </c>
      <c r="P539" s="5">
        <v>3</v>
      </c>
    </row>
    <row r="540" spans="1:16" x14ac:dyDescent="0.3">
      <c r="A540" s="4">
        <v>539</v>
      </c>
      <c r="B540" s="4">
        <v>48</v>
      </c>
      <c r="C540" t="s">
        <v>16</v>
      </c>
      <c r="D540" t="s">
        <v>34</v>
      </c>
      <c r="E540" t="s">
        <v>24</v>
      </c>
      <c r="F540" s="4">
        <v>160</v>
      </c>
      <c r="G540" s="4">
        <v>329</v>
      </c>
      <c r="H540" t="s">
        <v>21</v>
      </c>
      <c r="I540" t="s">
        <v>26</v>
      </c>
      <c r="J540" s="4">
        <v>92</v>
      </c>
      <c r="K540" t="s">
        <v>19</v>
      </c>
      <c r="L540" t="s">
        <v>25</v>
      </c>
      <c r="N540" t="s">
        <v>32</v>
      </c>
      <c r="O540" s="4">
        <v>1</v>
      </c>
      <c r="P540" s="5">
        <v>0.5</v>
      </c>
    </row>
    <row r="541" spans="1:16" x14ac:dyDescent="0.3">
      <c r="A541" s="4">
        <v>540</v>
      </c>
      <c r="B541" s="4">
        <v>48</v>
      </c>
      <c r="C541" t="s">
        <v>16</v>
      </c>
      <c r="D541" t="s">
        <v>34</v>
      </c>
      <c r="E541" t="s">
        <v>24</v>
      </c>
      <c r="F541" s="4">
        <v>160</v>
      </c>
      <c r="G541" s="4">
        <v>355</v>
      </c>
      <c r="H541" t="s">
        <v>21</v>
      </c>
      <c r="I541" t="s">
        <v>26</v>
      </c>
      <c r="J541" s="4">
        <v>99</v>
      </c>
      <c r="K541" t="s">
        <v>19</v>
      </c>
      <c r="L541" t="s">
        <v>25</v>
      </c>
      <c r="N541" t="s">
        <v>32</v>
      </c>
      <c r="O541" s="4">
        <v>1</v>
      </c>
      <c r="P541" s="5">
        <v>2</v>
      </c>
    </row>
    <row r="542" spans="1:16" x14ac:dyDescent="0.3">
      <c r="A542" s="4">
        <v>541</v>
      </c>
      <c r="B542" s="4">
        <v>50</v>
      </c>
      <c r="C542" t="s">
        <v>16</v>
      </c>
      <c r="D542" t="s">
        <v>34</v>
      </c>
      <c r="E542" t="s">
        <v>24</v>
      </c>
      <c r="F542" s="4">
        <v>130</v>
      </c>
      <c r="G542" s="4">
        <v>233</v>
      </c>
      <c r="H542" t="s">
        <v>21</v>
      </c>
      <c r="I542" t="s">
        <v>26</v>
      </c>
      <c r="J542" s="4">
        <v>121</v>
      </c>
      <c r="K542" t="s">
        <v>19</v>
      </c>
      <c r="L542" t="s">
        <v>25</v>
      </c>
      <c r="N542" t="s">
        <v>27</v>
      </c>
      <c r="O542" s="4">
        <v>1</v>
      </c>
      <c r="P542" s="5">
        <v>2</v>
      </c>
    </row>
    <row r="543" spans="1:16" x14ac:dyDescent="0.3">
      <c r="A543" s="4">
        <v>542</v>
      </c>
      <c r="B543" s="4">
        <v>52</v>
      </c>
      <c r="C543" t="s">
        <v>16</v>
      </c>
      <c r="D543" t="s">
        <v>34</v>
      </c>
      <c r="E543" t="s">
        <v>24</v>
      </c>
      <c r="F543" s="4">
        <v>120</v>
      </c>
      <c r="G543" s="4">
        <v>182</v>
      </c>
      <c r="H543" t="s">
        <v>21</v>
      </c>
      <c r="I543" t="s">
        <v>26</v>
      </c>
      <c r="J543" s="4">
        <v>150</v>
      </c>
      <c r="K543" t="s">
        <v>21</v>
      </c>
      <c r="L543" t="s">
        <v>32</v>
      </c>
      <c r="N543" t="s">
        <v>32</v>
      </c>
      <c r="O543" s="4">
        <v>1</v>
      </c>
      <c r="P543" s="5">
        <v>0</v>
      </c>
    </row>
    <row r="544" spans="1:16" x14ac:dyDescent="0.3">
      <c r="A544" s="4">
        <v>543</v>
      </c>
      <c r="B544" s="4">
        <v>52</v>
      </c>
      <c r="C544" t="s">
        <v>16</v>
      </c>
      <c r="D544" t="s">
        <v>34</v>
      </c>
      <c r="E544" t="s">
        <v>24</v>
      </c>
      <c r="F544" s="4">
        <v>170</v>
      </c>
      <c r="H544" t="s">
        <v>21</v>
      </c>
      <c r="I544" t="s">
        <v>26</v>
      </c>
      <c r="J544" s="4">
        <v>126</v>
      </c>
      <c r="K544" t="s">
        <v>19</v>
      </c>
      <c r="L544" t="s">
        <v>25</v>
      </c>
      <c r="N544" t="s">
        <v>32</v>
      </c>
      <c r="O544" s="4">
        <v>1</v>
      </c>
      <c r="P544" s="5">
        <v>0.5</v>
      </c>
    </row>
    <row r="545" spans="1:16" x14ac:dyDescent="0.3">
      <c r="A545" s="4">
        <v>544</v>
      </c>
      <c r="B545" s="4">
        <v>53</v>
      </c>
      <c r="C545" t="s">
        <v>16</v>
      </c>
      <c r="D545" t="s">
        <v>34</v>
      </c>
      <c r="E545" t="s">
        <v>24</v>
      </c>
      <c r="F545" s="4">
        <v>120</v>
      </c>
      <c r="G545" s="4">
        <v>246</v>
      </c>
      <c r="H545" t="s">
        <v>21</v>
      </c>
      <c r="I545" t="s">
        <v>26</v>
      </c>
      <c r="J545" s="4">
        <v>116</v>
      </c>
      <c r="K545" t="s">
        <v>19</v>
      </c>
      <c r="L545" t="s">
        <v>32</v>
      </c>
      <c r="N545" t="s">
        <v>32</v>
      </c>
      <c r="O545" s="4">
        <v>1</v>
      </c>
      <c r="P545" s="5">
        <v>0</v>
      </c>
    </row>
    <row r="546" spans="1:16" x14ac:dyDescent="0.3">
      <c r="A546" s="4">
        <v>545</v>
      </c>
      <c r="B546" s="4">
        <v>54</v>
      </c>
      <c r="C546" t="s">
        <v>16</v>
      </c>
      <c r="D546" t="s">
        <v>34</v>
      </c>
      <c r="E546" t="s">
        <v>28</v>
      </c>
      <c r="F546" s="4">
        <v>120</v>
      </c>
      <c r="G546" s="4">
        <v>237</v>
      </c>
      <c r="H546" t="s">
        <v>21</v>
      </c>
      <c r="I546" t="s">
        <v>26</v>
      </c>
      <c r="J546" s="4">
        <v>150</v>
      </c>
      <c r="K546" t="s">
        <v>19</v>
      </c>
      <c r="L546" t="s">
        <v>32</v>
      </c>
      <c r="N546" t="s">
        <v>27</v>
      </c>
      <c r="O546" s="4">
        <v>1</v>
      </c>
      <c r="P546" s="5">
        <v>0.5</v>
      </c>
    </row>
    <row r="547" spans="1:16" x14ac:dyDescent="0.3">
      <c r="A547" s="4">
        <v>546</v>
      </c>
      <c r="B547" s="4">
        <v>54</v>
      </c>
      <c r="C547" t="s">
        <v>16</v>
      </c>
      <c r="D547" t="s">
        <v>34</v>
      </c>
      <c r="E547" t="s">
        <v>24</v>
      </c>
      <c r="F547" s="4">
        <v>130</v>
      </c>
      <c r="G547" s="4">
        <v>242</v>
      </c>
      <c r="H547" t="s">
        <v>21</v>
      </c>
      <c r="I547" t="s">
        <v>26</v>
      </c>
      <c r="J547" s="4">
        <v>91</v>
      </c>
      <c r="K547" t="s">
        <v>19</v>
      </c>
      <c r="L547" t="s">
        <v>25</v>
      </c>
      <c r="N547" t="s">
        <v>32</v>
      </c>
      <c r="O547" s="4">
        <v>1</v>
      </c>
      <c r="P547" s="5">
        <v>1</v>
      </c>
    </row>
    <row r="548" spans="1:16" x14ac:dyDescent="0.3">
      <c r="A548" s="4">
        <v>547</v>
      </c>
      <c r="B548" s="4">
        <v>54</v>
      </c>
      <c r="C548" t="s">
        <v>16</v>
      </c>
      <c r="D548" t="s">
        <v>34</v>
      </c>
      <c r="E548" t="s">
        <v>24</v>
      </c>
      <c r="F548" s="4">
        <v>130</v>
      </c>
      <c r="G548" s="4">
        <v>603</v>
      </c>
      <c r="H548" t="s">
        <v>19</v>
      </c>
      <c r="I548" t="s">
        <v>26</v>
      </c>
      <c r="J548" s="4">
        <v>125</v>
      </c>
      <c r="K548" t="s">
        <v>19</v>
      </c>
      <c r="L548" t="s">
        <v>25</v>
      </c>
      <c r="N548" t="s">
        <v>32</v>
      </c>
      <c r="O548" s="4">
        <v>1</v>
      </c>
      <c r="P548" s="5">
        <v>1</v>
      </c>
    </row>
    <row r="549" spans="1:16" x14ac:dyDescent="0.3">
      <c r="A549" s="4">
        <v>548</v>
      </c>
      <c r="B549" s="4">
        <v>54</v>
      </c>
      <c r="C549" t="s">
        <v>16</v>
      </c>
      <c r="D549" t="s">
        <v>34</v>
      </c>
      <c r="E549" t="s">
        <v>24</v>
      </c>
      <c r="F549" s="4">
        <v>140</v>
      </c>
      <c r="H549" t="s">
        <v>21</v>
      </c>
      <c r="I549" t="s">
        <v>26</v>
      </c>
      <c r="J549" s="4">
        <v>118</v>
      </c>
      <c r="K549" t="s">
        <v>19</v>
      </c>
      <c r="L549" t="s">
        <v>32</v>
      </c>
      <c r="N549" t="s">
        <v>32</v>
      </c>
      <c r="O549" s="4">
        <v>1</v>
      </c>
      <c r="P549" s="5">
        <v>0</v>
      </c>
    </row>
    <row r="550" spans="1:16" x14ac:dyDescent="0.3">
      <c r="A550" s="4">
        <v>549</v>
      </c>
      <c r="B550" s="4">
        <v>54</v>
      </c>
      <c r="C550" t="s">
        <v>16</v>
      </c>
      <c r="D550" t="s">
        <v>34</v>
      </c>
      <c r="E550" t="s">
        <v>24</v>
      </c>
      <c r="F550" s="4">
        <v>200</v>
      </c>
      <c r="G550" s="4">
        <v>198</v>
      </c>
      <c r="H550" t="s">
        <v>21</v>
      </c>
      <c r="I550" t="s">
        <v>26</v>
      </c>
      <c r="J550" s="4">
        <v>142</v>
      </c>
      <c r="K550" t="s">
        <v>19</v>
      </c>
      <c r="L550" t="s">
        <v>25</v>
      </c>
      <c r="N550" t="s">
        <v>32</v>
      </c>
      <c r="O550" s="4">
        <v>1</v>
      </c>
      <c r="P550" s="5">
        <v>2</v>
      </c>
    </row>
    <row r="551" spans="1:16" x14ac:dyDescent="0.3">
      <c r="A551" s="4">
        <v>550</v>
      </c>
      <c r="B551" s="4">
        <v>55</v>
      </c>
      <c r="C551" t="s">
        <v>16</v>
      </c>
      <c r="D551" t="s">
        <v>34</v>
      </c>
      <c r="E551" t="s">
        <v>24</v>
      </c>
      <c r="F551" s="4">
        <v>140</v>
      </c>
      <c r="G551" s="4">
        <v>268</v>
      </c>
      <c r="H551" t="s">
        <v>21</v>
      </c>
      <c r="I551" t="s">
        <v>26</v>
      </c>
      <c r="J551" s="4">
        <v>128</v>
      </c>
      <c r="K551" t="s">
        <v>19</v>
      </c>
      <c r="L551" t="s">
        <v>25</v>
      </c>
      <c r="N551" t="s">
        <v>32</v>
      </c>
      <c r="O551" s="4">
        <v>1</v>
      </c>
      <c r="P551" s="5">
        <v>0.5</v>
      </c>
    </row>
    <row r="552" spans="1:16" x14ac:dyDescent="0.3">
      <c r="A552" s="4">
        <v>551</v>
      </c>
      <c r="B552" s="4">
        <v>56</v>
      </c>
      <c r="C552" t="s">
        <v>16</v>
      </c>
      <c r="D552" t="s">
        <v>34</v>
      </c>
      <c r="E552" t="s">
        <v>24</v>
      </c>
      <c r="F552" s="4">
        <v>150</v>
      </c>
      <c r="G552" s="4">
        <v>213</v>
      </c>
      <c r="H552" t="s">
        <v>19</v>
      </c>
      <c r="I552" t="s">
        <v>26</v>
      </c>
      <c r="J552" s="4">
        <v>125</v>
      </c>
      <c r="K552" t="s">
        <v>19</v>
      </c>
      <c r="L552" t="s">
        <v>25</v>
      </c>
      <c r="N552" t="s">
        <v>32</v>
      </c>
      <c r="O552" s="4">
        <v>1</v>
      </c>
      <c r="P552" s="5">
        <v>1</v>
      </c>
    </row>
    <row r="553" spans="1:16" x14ac:dyDescent="0.3">
      <c r="A553" s="4">
        <v>552</v>
      </c>
      <c r="B553" s="4">
        <v>57</v>
      </c>
      <c r="C553" t="s">
        <v>16</v>
      </c>
      <c r="D553" t="s">
        <v>34</v>
      </c>
      <c r="E553" t="s">
        <v>24</v>
      </c>
      <c r="F553" s="4">
        <v>150</v>
      </c>
      <c r="G553" s="4">
        <v>255</v>
      </c>
      <c r="H553" t="s">
        <v>21</v>
      </c>
      <c r="I553" t="s">
        <v>26</v>
      </c>
      <c r="J553" s="4">
        <v>92</v>
      </c>
      <c r="K553" t="s">
        <v>19</v>
      </c>
      <c r="L553" t="s">
        <v>25</v>
      </c>
      <c r="N553" t="s">
        <v>32</v>
      </c>
      <c r="O553" s="4">
        <v>1</v>
      </c>
      <c r="P553" s="5">
        <v>3</v>
      </c>
    </row>
    <row r="554" spans="1:16" x14ac:dyDescent="0.3">
      <c r="A554" s="4">
        <v>553</v>
      </c>
      <c r="B554" s="4">
        <v>58</v>
      </c>
      <c r="C554" t="s">
        <v>16</v>
      </c>
      <c r="D554" t="s">
        <v>34</v>
      </c>
      <c r="E554" t="s">
        <v>28</v>
      </c>
      <c r="F554" s="4">
        <v>160</v>
      </c>
      <c r="G554" s="4">
        <v>211</v>
      </c>
      <c r="H554" t="s">
        <v>19</v>
      </c>
      <c r="I554" t="s">
        <v>33</v>
      </c>
      <c r="J554" s="4">
        <v>92</v>
      </c>
      <c r="K554" t="s">
        <v>21</v>
      </c>
      <c r="L554" t="s">
        <v>32</v>
      </c>
      <c r="N554" t="s">
        <v>32</v>
      </c>
      <c r="O554" s="4">
        <v>1</v>
      </c>
      <c r="P554" s="5">
        <v>0</v>
      </c>
    </row>
    <row r="555" spans="1:16" x14ac:dyDescent="0.3">
      <c r="A555" s="4">
        <v>554</v>
      </c>
      <c r="B555" s="4">
        <v>58</v>
      </c>
      <c r="C555" t="s">
        <v>16</v>
      </c>
      <c r="D555" t="s">
        <v>34</v>
      </c>
      <c r="E555" t="s">
        <v>24</v>
      </c>
      <c r="F555" s="4">
        <v>130</v>
      </c>
      <c r="G555" s="4">
        <v>263</v>
      </c>
      <c r="H555" t="s">
        <v>21</v>
      </c>
      <c r="I555" t="s">
        <v>26</v>
      </c>
      <c r="J555" s="4">
        <v>140</v>
      </c>
      <c r="K555" t="s">
        <v>19</v>
      </c>
      <c r="L555" t="s">
        <v>25</v>
      </c>
      <c r="N555" t="s">
        <v>32</v>
      </c>
      <c r="O555" s="4">
        <v>1</v>
      </c>
      <c r="P555" s="5">
        <v>2</v>
      </c>
    </row>
    <row r="556" spans="1:16" x14ac:dyDescent="0.3">
      <c r="A556" s="4">
        <v>555</v>
      </c>
      <c r="B556" s="4">
        <v>41</v>
      </c>
      <c r="C556" t="s">
        <v>16</v>
      </c>
      <c r="D556" t="s">
        <v>34</v>
      </c>
      <c r="E556" t="s">
        <v>24</v>
      </c>
      <c r="F556" s="4">
        <v>130</v>
      </c>
      <c r="G556" s="4">
        <v>172</v>
      </c>
      <c r="H556" t="s">
        <v>21</v>
      </c>
      <c r="I556" t="s">
        <v>33</v>
      </c>
      <c r="J556" s="4">
        <v>130</v>
      </c>
      <c r="K556" t="s">
        <v>21</v>
      </c>
      <c r="L556" t="s">
        <v>25</v>
      </c>
      <c r="N556" t="s">
        <v>32</v>
      </c>
      <c r="O556" s="4">
        <v>1</v>
      </c>
      <c r="P556" s="5">
        <v>2</v>
      </c>
    </row>
    <row r="557" spans="1:16" x14ac:dyDescent="0.3">
      <c r="A557" s="4">
        <v>556</v>
      </c>
      <c r="B557" s="4">
        <v>43</v>
      </c>
      <c r="C557" t="s">
        <v>16</v>
      </c>
      <c r="D557" t="s">
        <v>34</v>
      </c>
      <c r="E557" t="s">
        <v>24</v>
      </c>
      <c r="F557" s="4">
        <v>120</v>
      </c>
      <c r="G557" s="4">
        <v>175</v>
      </c>
      <c r="H557" t="s">
        <v>21</v>
      </c>
      <c r="I557" t="s">
        <v>26</v>
      </c>
      <c r="J557" s="4">
        <v>120</v>
      </c>
      <c r="K557" t="s">
        <v>19</v>
      </c>
      <c r="L557" t="s">
        <v>25</v>
      </c>
      <c r="N557" t="s">
        <v>27</v>
      </c>
      <c r="O557" s="4">
        <v>1</v>
      </c>
      <c r="P557" s="5">
        <v>1</v>
      </c>
    </row>
    <row r="558" spans="1:16" x14ac:dyDescent="0.3">
      <c r="A558" s="4">
        <v>557</v>
      </c>
      <c r="B558" s="4">
        <v>44</v>
      </c>
      <c r="C558" t="s">
        <v>16</v>
      </c>
      <c r="D558" t="s">
        <v>34</v>
      </c>
      <c r="E558" t="s">
        <v>30</v>
      </c>
      <c r="F558" s="4">
        <v>150</v>
      </c>
      <c r="G558" s="4">
        <v>288</v>
      </c>
      <c r="H558" t="s">
        <v>21</v>
      </c>
      <c r="I558" t="s">
        <v>26</v>
      </c>
      <c r="J558" s="4">
        <v>150</v>
      </c>
      <c r="K558" t="s">
        <v>19</v>
      </c>
      <c r="L558" t="s">
        <v>25</v>
      </c>
      <c r="N558" t="s">
        <v>32</v>
      </c>
      <c r="O558" s="4">
        <v>1</v>
      </c>
      <c r="P558" s="5">
        <v>3</v>
      </c>
    </row>
    <row r="559" spans="1:16" x14ac:dyDescent="0.3">
      <c r="A559" s="4">
        <v>558</v>
      </c>
      <c r="B559" s="4">
        <v>44</v>
      </c>
      <c r="C559" t="s">
        <v>16</v>
      </c>
      <c r="D559" t="s">
        <v>34</v>
      </c>
      <c r="E559" t="s">
        <v>24</v>
      </c>
      <c r="F559" s="4">
        <v>130</v>
      </c>
      <c r="G559" s="4">
        <v>290</v>
      </c>
      <c r="H559" t="s">
        <v>21</v>
      </c>
      <c r="I559" t="s">
        <v>26</v>
      </c>
      <c r="J559" s="4">
        <v>100</v>
      </c>
      <c r="K559" t="s">
        <v>19</v>
      </c>
      <c r="L559" t="s">
        <v>25</v>
      </c>
      <c r="N559" t="s">
        <v>32</v>
      </c>
      <c r="O559" s="4">
        <v>1</v>
      </c>
      <c r="P559" s="5">
        <v>2</v>
      </c>
    </row>
    <row r="560" spans="1:16" x14ac:dyDescent="0.3">
      <c r="A560" s="4">
        <v>559</v>
      </c>
      <c r="B560" s="4">
        <v>46</v>
      </c>
      <c r="C560" t="s">
        <v>16</v>
      </c>
      <c r="D560" t="s">
        <v>34</v>
      </c>
      <c r="E560" t="s">
        <v>18</v>
      </c>
      <c r="F560" s="4">
        <v>140</v>
      </c>
      <c r="G560" s="4">
        <v>272</v>
      </c>
      <c r="H560" t="s">
        <v>19</v>
      </c>
      <c r="I560" t="s">
        <v>26</v>
      </c>
      <c r="J560" s="4">
        <v>175</v>
      </c>
      <c r="K560" t="s">
        <v>21</v>
      </c>
      <c r="L560" t="s">
        <v>25</v>
      </c>
      <c r="N560" t="s">
        <v>32</v>
      </c>
      <c r="O560" s="4">
        <v>1</v>
      </c>
      <c r="P560" s="5">
        <v>2</v>
      </c>
    </row>
    <row r="561" spans="1:16" x14ac:dyDescent="0.3">
      <c r="A561" s="4">
        <v>560</v>
      </c>
      <c r="B561" s="4">
        <v>47</v>
      </c>
      <c r="C561" t="s">
        <v>29</v>
      </c>
      <c r="D561" t="s">
        <v>34</v>
      </c>
      <c r="E561" t="s">
        <v>28</v>
      </c>
      <c r="F561" s="4">
        <v>135</v>
      </c>
      <c r="G561" s="4">
        <v>248</v>
      </c>
      <c r="H561" t="s">
        <v>19</v>
      </c>
      <c r="I561" t="s">
        <v>26</v>
      </c>
      <c r="J561" s="4">
        <v>170</v>
      </c>
      <c r="K561" t="s">
        <v>21</v>
      </c>
      <c r="L561" t="s">
        <v>32</v>
      </c>
      <c r="N561" t="s">
        <v>32</v>
      </c>
      <c r="O561" s="4">
        <v>1</v>
      </c>
      <c r="P561" s="5">
        <v>0</v>
      </c>
    </row>
    <row r="562" spans="1:16" x14ac:dyDescent="0.3">
      <c r="A562" s="4">
        <v>561</v>
      </c>
      <c r="B562" s="4">
        <v>48</v>
      </c>
      <c r="C562" t="s">
        <v>29</v>
      </c>
      <c r="D562" t="s">
        <v>34</v>
      </c>
      <c r="E562" t="s">
        <v>24</v>
      </c>
      <c r="F562" s="4">
        <v>138</v>
      </c>
      <c r="G562" s="4">
        <v>214</v>
      </c>
      <c r="H562" t="s">
        <v>21</v>
      </c>
      <c r="I562" t="s">
        <v>26</v>
      </c>
      <c r="J562" s="4">
        <v>108</v>
      </c>
      <c r="K562" t="s">
        <v>19</v>
      </c>
      <c r="L562" t="s">
        <v>25</v>
      </c>
      <c r="N562" t="s">
        <v>32</v>
      </c>
      <c r="O562" s="4">
        <v>1</v>
      </c>
      <c r="P562" s="5">
        <v>0.5</v>
      </c>
    </row>
    <row r="563" spans="1:16" x14ac:dyDescent="0.3">
      <c r="A563" s="4">
        <v>562</v>
      </c>
      <c r="B563" s="4">
        <v>49</v>
      </c>
      <c r="C563" t="s">
        <v>16</v>
      </c>
      <c r="D563" t="s">
        <v>34</v>
      </c>
      <c r="E563" t="s">
        <v>24</v>
      </c>
      <c r="F563" s="4">
        <v>130</v>
      </c>
      <c r="G563" s="4">
        <v>341</v>
      </c>
      <c r="H563" t="s">
        <v>21</v>
      </c>
      <c r="I563" t="s">
        <v>26</v>
      </c>
      <c r="J563" s="4">
        <v>120</v>
      </c>
      <c r="K563" t="s">
        <v>19</v>
      </c>
      <c r="L563" t="s">
        <v>25</v>
      </c>
      <c r="N563" t="s">
        <v>32</v>
      </c>
      <c r="O563" s="4">
        <v>1</v>
      </c>
      <c r="P563" s="5">
        <v>1</v>
      </c>
    </row>
    <row r="564" spans="1:16" x14ac:dyDescent="0.3">
      <c r="A564" s="4">
        <v>563</v>
      </c>
      <c r="B564" s="4">
        <v>49</v>
      </c>
      <c r="C564" t="s">
        <v>16</v>
      </c>
      <c r="D564" t="s">
        <v>34</v>
      </c>
      <c r="E564" t="s">
        <v>24</v>
      </c>
      <c r="F564" s="4">
        <v>140</v>
      </c>
      <c r="G564" s="4">
        <v>234</v>
      </c>
      <c r="H564" t="s">
        <v>21</v>
      </c>
      <c r="I564" t="s">
        <v>26</v>
      </c>
      <c r="J564" s="4">
        <v>140</v>
      </c>
      <c r="K564" t="s">
        <v>19</v>
      </c>
      <c r="L564" t="s">
        <v>25</v>
      </c>
      <c r="N564" t="s">
        <v>32</v>
      </c>
      <c r="O564" s="4">
        <v>1</v>
      </c>
      <c r="P564" s="5">
        <v>1</v>
      </c>
    </row>
    <row r="565" spans="1:16" x14ac:dyDescent="0.3">
      <c r="A565" s="4">
        <v>564</v>
      </c>
      <c r="B565" s="4">
        <v>51</v>
      </c>
      <c r="C565" t="s">
        <v>16</v>
      </c>
      <c r="D565" t="s">
        <v>34</v>
      </c>
      <c r="E565" t="s">
        <v>28</v>
      </c>
      <c r="F565" s="4">
        <v>135</v>
      </c>
      <c r="G565" s="4">
        <v>160</v>
      </c>
      <c r="H565" t="s">
        <v>21</v>
      </c>
      <c r="I565" t="s">
        <v>26</v>
      </c>
      <c r="J565" s="4">
        <v>150</v>
      </c>
      <c r="K565" t="s">
        <v>21</v>
      </c>
      <c r="L565" t="s">
        <v>25</v>
      </c>
      <c r="N565" t="s">
        <v>32</v>
      </c>
      <c r="O565" s="4">
        <v>1</v>
      </c>
      <c r="P565" s="5">
        <v>2</v>
      </c>
    </row>
    <row r="566" spans="1:16" x14ac:dyDescent="0.3">
      <c r="A566" s="4">
        <v>565</v>
      </c>
      <c r="B566" s="4">
        <v>52</v>
      </c>
      <c r="C566" t="s">
        <v>16</v>
      </c>
      <c r="D566" t="s">
        <v>34</v>
      </c>
      <c r="E566" t="s">
        <v>24</v>
      </c>
      <c r="F566" s="4">
        <v>112</v>
      </c>
      <c r="G566" s="4">
        <v>342</v>
      </c>
      <c r="H566" t="s">
        <v>21</v>
      </c>
      <c r="I566" t="s">
        <v>33</v>
      </c>
      <c r="J566" s="4">
        <v>96</v>
      </c>
      <c r="K566" t="s">
        <v>19</v>
      </c>
      <c r="L566" t="s">
        <v>25</v>
      </c>
      <c r="N566" t="s">
        <v>32</v>
      </c>
      <c r="O566" s="4">
        <v>1</v>
      </c>
      <c r="P566" s="5">
        <v>1</v>
      </c>
    </row>
    <row r="567" spans="1:16" x14ac:dyDescent="0.3">
      <c r="A567" s="4">
        <v>566</v>
      </c>
      <c r="B567" s="4">
        <v>52</v>
      </c>
      <c r="C567" t="s">
        <v>16</v>
      </c>
      <c r="D567" t="s">
        <v>34</v>
      </c>
      <c r="E567" t="s">
        <v>24</v>
      </c>
      <c r="F567" s="4">
        <v>130</v>
      </c>
      <c r="G567" s="4">
        <v>298</v>
      </c>
      <c r="H567" t="s">
        <v>21</v>
      </c>
      <c r="I567" t="s">
        <v>26</v>
      </c>
      <c r="J567" s="4">
        <v>110</v>
      </c>
      <c r="K567" t="s">
        <v>19</v>
      </c>
      <c r="L567" t="s">
        <v>25</v>
      </c>
      <c r="N567" t="s">
        <v>32</v>
      </c>
      <c r="O567" s="4">
        <v>1</v>
      </c>
      <c r="P567" s="5">
        <v>1</v>
      </c>
    </row>
    <row r="568" spans="1:16" x14ac:dyDescent="0.3">
      <c r="A568" s="4">
        <v>567</v>
      </c>
      <c r="B568" s="4">
        <v>52</v>
      </c>
      <c r="C568" t="s">
        <v>16</v>
      </c>
      <c r="D568" t="s">
        <v>34</v>
      </c>
      <c r="E568" t="s">
        <v>24</v>
      </c>
      <c r="F568" s="4">
        <v>140</v>
      </c>
      <c r="G568" s="4">
        <v>404</v>
      </c>
      <c r="H568" t="s">
        <v>21</v>
      </c>
      <c r="I568" t="s">
        <v>26</v>
      </c>
      <c r="J568" s="4">
        <v>124</v>
      </c>
      <c r="K568" t="s">
        <v>19</v>
      </c>
      <c r="L568" t="s">
        <v>25</v>
      </c>
      <c r="N568" t="s">
        <v>32</v>
      </c>
      <c r="O568" s="4">
        <v>1</v>
      </c>
      <c r="P568" s="5">
        <v>2</v>
      </c>
    </row>
    <row r="569" spans="1:16" x14ac:dyDescent="0.3">
      <c r="A569" s="4">
        <v>568</v>
      </c>
      <c r="B569" s="4">
        <v>52</v>
      </c>
      <c r="C569" t="s">
        <v>16</v>
      </c>
      <c r="D569" t="s">
        <v>34</v>
      </c>
      <c r="E569" t="s">
        <v>24</v>
      </c>
      <c r="F569" s="4">
        <v>160</v>
      </c>
      <c r="G569" s="4">
        <v>246</v>
      </c>
      <c r="H569" t="s">
        <v>21</v>
      </c>
      <c r="I569" t="s">
        <v>33</v>
      </c>
      <c r="J569" s="4">
        <v>82</v>
      </c>
      <c r="K569" t="s">
        <v>19</v>
      </c>
      <c r="L569" t="s">
        <v>25</v>
      </c>
      <c r="N569" t="s">
        <v>32</v>
      </c>
      <c r="O569" s="4">
        <v>1</v>
      </c>
      <c r="P569" s="5">
        <v>4</v>
      </c>
    </row>
    <row r="570" spans="1:16" x14ac:dyDescent="0.3">
      <c r="A570" s="4">
        <v>569</v>
      </c>
      <c r="B570" s="4">
        <v>53</v>
      </c>
      <c r="C570" t="s">
        <v>16</v>
      </c>
      <c r="D570" t="s">
        <v>34</v>
      </c>
      <c r="E570" t="s">
        <v>28</v>
      </c>
      <c r="F570" s="4">
        <v>145</v>
      </c>
      <c r="G570" s="4">
        <v>518</v>
      </c>
      <c r="H570" t="s">
        <v>21</v>
      </c>
      <c r="I570" t="s">
        <v>26</v>
      </c>
      <c r="J570" s="4">
        <v>130</v>
      </c>
      <c r="K570" t="s">
        <v>21</v>
      </c>
      <c r="L570" t="s">
        <v>32</v>
      </c>
      <c r="N570" t="s">
        <v>32</v>
      </c>
      <c r="O570" s="4">
        <v>1</v>
      </c>
      <c r="P570" s="5">
        <v>0</v>
      </c>
    </row>
    <row r="571" spans="1:16" x14ac:dyDescent="0.3">
      <c r="A571" s="4">
        <v>570</v>
      </c>
      <c r="B571" s="4">
        <v>53</v>
      </c>
      <c r="C571" t="s">
        <v>16</v>
      </c>
      <c r="D571" t="s">
        <v>34</v>
      </c>
      <c r="E571" t="s">
        <v>24</v>
      </c>
      <c r="F571" s="4">
        <v>180</v>
      </c>
      <c r="G571" s="4">
        <v>285</v>
      </c>
      <c r="H571" t="s">
        <v>21</v>
      </c>
      <c r="I571" t="s">
        <v>33</v>
      </c>
      <c r="J571" s="4">
        <v>120</v>
      </c>
      <c r="K571" t="s">
        <v>19</v>
      </c>
      <c r="L571" t="s">
        <v>25</v>
      </c>
      <c r="N571" t="s">
        <v>32</v>
      </c>
      <c r="O571" s="4">
        <v>1</v>
      </c>
      <c r="P571" s="5">
        <v>0.5</v>
      </c>
    </row>
    <row r="572" spans="1:16" x14ac:dyDescent="0.3">
      <c r="A572" s="4">
        <v>571</v>
      </c>
      <c r="B572" s="4">
        <v>54</v>
      </c>
      <c r="C572" t="s">
        <v>16</v>
      </c>
      <c r="D572" t="s">
        <v>34</v>
      </c>
      <c r="E572" t="s">
        <v>24</v>
      </c>
      <c r="F572" s="4">
        <v>140</v>
      </c>
      <c r="G572" s="4">
        <v>216</v>
      </c>
      <c r="H572" t="s">
        <v>21</v>
      </c>
      <c r="I572" t="s">
        <v>26</v>
      </c>
      <c r="J572" s="4">
        <v>105</v>
      </c>
      <c r="K572" t="s">
        <v>21</v>
      </c>
      <c r="L572" t="s">
        <v>25</v>
      </c>
      <c r="N572" t="s">
        <v>32</v>
      </c>
      <c r="O572" s="4">
        <v>1</v>
      </c>
      <c r="P572" s="5">
        <v>0.5</v>
      </c>
    </row>
    <row r="573" spans="1:16" x14ac:dyDescent="0.3">
      <c r="A573" s="4">
        <v>572</v>
      </c>
      <c r="B573" s="4">
        <v>55</v>
      </c>
      <c r="C573" t="s">
        <v>16</v>
      </c>
      <c r="D573" t="s">
        <v>34</v>
      </c>
      <c r="E573" t="s">
        <v>18</v>
      </c>
      <c r="F573" s="4">
        <v>140</v>
      </c>
      <c r="G573" s="4">
        <v>295</v>
      </c>
      <c r="H573" t="s">
        <v>21</v>
      </c>
      <c r="I573" t="s">
        <v>32</v>
      </c>
      <c r="J573" s="4">
        <v>136</v>
      </c>
      <c r="K573" t="s">
        <v>21</v>
      </c>
      <c r="L573" t="s">
        <v>32</v>
      </c>
      <c r="N573" t="s">
        <v>32</v>
      </c>
      <c r="O573" s="4">
        <v>1</v>
      </c>
      <c r="P573" s="5">
        <v>0</v>
      </c>
    </row>
    <row r="574" spans="1:16" x14ac:dyDescent="0.3">
      <c r="A574" s="4">
        <v>573</v>
      </c>
      <c r="B574" s="4">
        <v>55</v>
      </c>
      <c r="C574" t="s">
        <v>16</v>
      </c>
      <c r="D574" t="s">
        <v>34</v>
      </c>
      <c r="E574" t="s">
        <v>30</v>
      </c>
      <c r="F574" s="4">
        <v>160</v>
      </c>
      <c r="G574" s="4">
        <v>292</v>
      </c>
      <c r="H574" t="s">
        <v>19</v>
      </c>
      <c r="I574" t="s">
        <v>26</v>
      </c>
      <c r="J574" s="4">
        <v>143</v>
      </c>
      <c r="K574" t="s">
        <v>19</v>
      </c>
      <c r="L574" t="s">
        <v>25</v>
      </c>
      <c r="N574" t="s">
        <v>32</v>
      </c>
      <c r="O574" s="4">
        <v>1</v>
      </c>
      <c r="P574" s="5">
        <v>2</v>
      </c>
    </row>
    <row r="575" spans="1:16" x14ac:dyDescent="0.3">
      <c r="A575" s="4">
        <v>574</v>
      </c>
      <c r="B575" s="4">
        <v>55</v>
      </c>
      <c r="C575" t="s">
        <v>16</v>
      </c>
      <c r="D575" t="s">
        <v>34</v>
      </c>
      <c r="E575" t="s">
        <v>24</v>
      </c>
      <c r="F575" s="4">
        <v>145</v>
      </c>
      <c r="G575" s="4">
        <v>248</v>
      </c>
      <c r="H575" t="s">
        <v>21</v>
      </c>
      <c r="I575" t="s">
        <v>26</v>
      </c>
      <c r="J575" s="4">
        <v>96</v>
      </c>
      <c r="K575" t="s">
        <v>19</v>
      </c>
      <c r="L575" t="s">
        <v>25</v>
      </c>
      <c r="N575" t="s">
        <v>32</v>
      </c>
      <c r="O575" s="4">
        <v>1</v>
      </c>
      <c r="P575" s="5">
        <v>2</v>
      </c>
    </row>
    <row r="576" spans="1:16" x14ac:dyDescent="0.3">
      <c r="A576" s="4">
        <v>575</v>
      </c>
      <c r="B576" s="4">
        <v>56</v>
      </c>
      <c r="C576" t="s">
        <v>29</v>
      </c>
      <c r="D576" t="s">
        <v>34</v>
      </c>
      <c r="E576" t="s">
        <v>30</v>
      </c>
      <c r="F576" s="4">
        <v>120</v>
      </c>
      <c r="G576" s="4">
        <v>279</v>
      </c>
      <c r="H576" t="s">
        <v>21</v>
      </c>
      <c r="I576" t="s">
        <v>26</v>
      </c>
      <c r="J576" s="4">
        <v>150</v>
      </c>
      <c r="K576" t="s">
        <v>21</v>
      </c>
      <c r="L576" t="s">
        <v>25</v>
      </c>
      <c r="N576" t="s">
        <v>32</v>
      </c>
      <c r="O576" s="4">
        <v>1</v>
      </c>
      <c r="P576" s="5">
        <v>1</v>
      </c>
    </row>
    <row r="577" spans="1:16" x14ac:dyDescent="0.3">
      <c r="A577" s="4">
        <v>576</v>
      </c>
      <c r="B577" s="4">
        <v>56</v>
      </c>
      <c r="C577" t="s">
        <v>16</v>
      </c>
      <c r="D577" t="s">
        <v>34</v>
      </c>
      <c r="E577" t="s">
        <v>24</v>
      </c>
      <c r="F577" s="4">
        <v>150</v>
      </c>
      <c r="G577" s="4">
        <v>230</v>
      </c>
      <c r="H577" t="s">
        <v>21</v>
      </c>
      <c r="I577" t="s">
        <v>33</v>
      </c>
      <c r="J577" s="4">
        <v>124</v>
      </c>
      <c r="K577" t="s">
        <v>19</v>
      </c>
      <c r="L577" t="s">
        <v>25</v>
      </c>
      <c r="N577" t="s">
        <v>32</v>
      </c>
      <c r="O577" s="4">
        <v>1</v>
      </c>
      <c r="P577" s="5">
        <v>0.5</v>
      </c>
    </row>
    <row r="578" spans="1:16" x14ac:dyDescent="0.3">
      <c r="A578" s="4">
        <v>577</v>
      </c>
      <c r="B578" s="4">
        <v>56</v>
      </c>
      <c r="C578" t="s">
        <v>16</v>
      </c>
      <c r="D578" t="s">
        <v>34</v>
      </c>
      <c r="E578" t="s">
        <v>24</v>
      </c>
      <c r="F578" s="4">
        <v>170</v>
      </c>
      <c r="G578" s="4">
        <v>388</v>
      </c>
      <c r="H578" t="s">
        <v>21</v>
      </c>
      <c r="I578" t="s">
        <v>33</v>
      </c>
      <c r="J578" s="4">
        <v>122</v>
      </c>
      <c r="K578" t="s">
        <v>19</v>
      </c>
      <c r="L578" t="s">
        <v>25</v>
      </c>
      <c r="N578" t="s">
        <v>32</v>
      </c>
      <c r="O578" s="4">
        <v>1</v>
      </c>
      <c r="P578" s="5">
        <v>2</v>
      </c>
    </row>
    <row r="579" spans="1:16" x14ac:dyDescent="0.3">
      <c r="A579" s="4">
        <v>578</v>
      </c>
      <c r="B579" s="4">
        <v>58</v>
      </c>
      <c r="C579" t="s">
        <v>16</v>
      </c>
      <c r="D579" t="s">
        <v>34</v>
      </c>
      <c r="E579" t="s">
        <v>30</v>
      </c>
      <c r="F579" s="4">
        <v>136</v>
      </c>
      <c r="G579" s="4">
        <v>164</v>
      </c>
      <c r="H579" t="s">
        <v>21</v>
      </c>
      <c r="I579" t="s">
        <v>33</v>
      </c>
      <c r="J579" s="4">
        <v>99</v>
      </c>
      <c r="K579" t="s">
        <v>19</v>
      </c>
      <c r="L579" t="s">
        <v>25</v>
      </c>
      <c r="N579" t="s">
        <v>32</v>
      </c>
      <c r="O579" s="4">
        <v>1</v>
      </c>
      <c r="P579" s="5">
        <v>2</v>
      </c>
    </row>
    <row r="580" spans="1:16" x14ac:dyDescent="0.3">
      <c r="A580" s="4">
        <v>579</v>
      </c>
      <c r="B580" s="4">
        <v>59</v>
      </c>
      <c r="C580" t="s">
        <v>16</v>
      </c>
      <c r="D580" t="s">
        <v>34</v>
      </c>
      <c r="E580" t="s">
        <v>24</v>
      </c>
      <c r="F580" s="4">
        <v>130</v>
      </c>
      <c r="H580" t="s">
        <v>21</v>
      </c>
      <c r="I580" t="s">
        <v>26</v>
      </c>
      <c r="J580" s="4">
        <v>125</v>
      </c>
      <c r="K580" t="s">
        <v>21</v>
      </c>
      <c r="L580" t="s">
        <v>32</v>
      </c>
      <c r="N580" t="s">
        <v>32</v>
      </c>
      <c r="O580" s="4">
        <v>1</v>
      </c>
      <c r="P580" s="5">
        <v>0</v>
      </c>
    </row>
    <row r="581" spans="1:16" x14ac:dyDescent="0.3">
      <c r="A581" s="4">
        <v>580</v>
      </c>
      <c r="B581" s="4">
        <v>59</v>
      </c>
      <c r="C581" t="s">
        <v>16</v>
      </c>
      <c r="D581" t="s">
        <v>34</v>
      </c>
      <c r="E581" t="s">
        <v>24</v>
      </c>
      <c r="F581" s="4">
        <v>140</v>
      </c>
      <c r="G581" s="4">
        <v>264</v>
      </c>
      <c r="H581" t="s">
        <v>19</v>
      </c>
      <c r="I581" t="s">
        <v>20</v>
      </c>
      <c r="J581" s="4">
        <v>119</v>
      </c>
      <c r="K581" t="s">
        <v>19</v>
      </c>
      <c r="L581" t="s">
        <v>32</v>
      </c>
      <c r="N581" t="s">
        <v>32</v>
      </c>
      <c r="O581" s="4">
        <v>1</v>
      </c>
      <c r="P581" s="5">
        <v>0</v>
      </c>
    </row>
    <row r="582" spans="1:16" x14ac:dyDescent="0.3">
      <c r="A582" s="4">
        <v>581</v>
      </c>
      <c r="B582" s="4">
        <v>65</v>
      </c>
      <c r="C582" t="s">
        <v>16</v>
      </c>
      <c r="D582" t="s">
        <v>34</v>
      </c>
      <c r="E582" t="s">
        <v>24</v>
      </c>
      <c r="F582" s="4">
        <v>170</v>
      </c>
      <c r="G582" s="4">
        <v>263</v>
      </c>
      <c r="H582" t="s">
        <v>19</v>
      </c>
      <c r="I582" t="s">
        <v>26</v>
      </c>
      <c r="J582" s="4">
        <v>112</v>
      </c>
      <c r="K582" t="s">
        <v>19</v>
      </c>
      <c r="L582" t="s">
        <v>25</v>
      </c>
      <c r="N582" t="s">
        <v>32</v>
      </c>
      <c r="O582" s="4">
        <v>1</v>
      </c>
      <c r="P582" s="5">
        <v>2</v>
      </c>
    </row>
    <row r="583" spans="1:16" x14ac:dyDescent="0.3">
      <c r="A583" s="4">
        <v>582</v>
      </c>
      <c r="B583" s="4">
        <v>66</v>
      </c>
      <c r="C583" t="s">
        <v>16</v>
      </c>
      <c r="D583" t="s">
        <v>34</v>
      </c>
      <c r="E583" t="s">
        <v>24</v>
      </c>
      <c r="F583" s="4">
        <v>140</v>
      </c>
      <c r="H583" t="s">
        <v>21</v>
      </c>
      <c r="I583" t="s">
        <v>26</v>
      </c>
      <c r="J583" s="4">
        <v>94</v>
      </c>
      <c r="K583" t="s">
        <v>19</v>
      </c>
      <c r="L583" t="s">
        <v>25</v>
      </c>
      <c r="N583" t="s">
        <v>32</v>
      </c>
      <c r="O583" s="4">
        <v>1</v>
      </c>
      <c r="P583" s="5">
        <v>1</v>
      </c>
    </row>
    <row r="584" spans="1:16" x14ac:dyDescent="0.3">
      <c r="A584" s="4">
        <v>583</v>
      </c>
      <c r="B584" s="4">
        <v>41</v>
      </c>
      <c r="C584" t="s">
        <v>16</v>
      </c>
      <c r="D584" t="s">
        <v>34</v>
      </c>
      <c r="E584" t="s">
        <v>24</v>
      </c>
      <c r="F584" s="4">
        <v>120</v>
      </c>
      <c r="G584" s="4">
        <v>336</v>
      </c>
      <c r="H584" t="s">
        <v>21</v>
      </c>
      <c r="I584" t="s">
        <v>26</v>
      </c>
      <c r="J584" s="4">
        <v>118</v>
      </c>
      <c r="K584" t="s">
        <v>19</v>
      </c>
      <c r="L584" t="s">
        <v>25</v>
      </c>
      <c r="N584" t="s">
        <v>32</v>
      </c>
      <c r="O584" s="4">
        <v>1</v>
      </c>
      <c r="P584" s="5">
        <v>3</v>
      </c>
    </row>
    <row r="585" spans="1:16" x14ac:dyDescent="0.3">
      <c r="A585" s="4">
        <v>584</v>
      </c>
      <c r="B585" s="4">
        <v>43</v>
      </c>
      <c r="C585" t="s">
        <v>16</v>
      </c>
      <c r="D585" t="s">
        <v>34</v>
      </c>
      <c r="E585" t="s">
        <v>24</v>
      </c>
      <c r="F585" s="4">
        <v>140</v>
      </c>
      <c r="G585" s="4">
        <v>288</v>
      </c>
      <c r="H585" t="s">
        <v>21</v>
      </c>
      <c r="I585" t="s">
        <v>26</v>
      </c>
      <c r="J585" s="4">
        <v>135</v>
      </c>
      <c r="K585" t="s">
        <v>19</v>
      </c>
      <c r="L585" t="s">
        <v>25</v>
      </c>
      <c r="N585" t="s">
        <v>32</v>
      </c>
      <c r="O585" s="4">
        <v>1</v>
      </c>
      <c r="P585" s="5">
        <v>2</v>
      </c>
    </row>
    <row r="586" spans="1:16" x14ac:dyDescent="0.3">
      <c r="A586" s="4">
        <v>585</v>
      </c>
      <c r="B586" s="4">
        <v>44</v>
      </c>
      <c r="C586" t="s">
        <v>16</v>
      </c>
      <c r="D586" t="s">
        <v>34</v>
      </c>
      <c r="E586" t="s">
        <v>24</v>
      </c>
      <c r="F586" s="4">
        <v>135</v>
      </c>
      <c r="G586" s="4">
        <v>491</v>
      </c>
      <c r="H586" t="s">
        <v>21</v>
      </c>
      <c r="I586" t="s">
        <v>26</v>
      </c>
      <c r="J586" s="4">
        <v>135</v>
      </c>
      <c r="K586" t="s">
        <v>21</v>
      </c>
      <c r="L586" t="s">
        <v>32</v>
      </c>
      <c r="N586" t="s">
        <v>32</v>
      </c>
      <c r="O586" s="4">
        <v>1</v>
      </c>
      <c r="P586" s="5">
        <v>0</v>
      </c>
    </row>
    <row r="587" spans="1:16" x14ac:dyDescent="0.3">
      <c r="A587" s="4">
        <v>586</v>
      </c>
      <c r="B587" s="4">
        <v>47</v>
      </c>
      <c r="C587" t="s">
        <v>29</v>
      </c>
      <c r="D587" t="s">
        <v>34</v>
      </c>
      <c r="E587" t="s">
        <v>24</v>
      </c>
      <c r="F587" s="4">
        <v>120</v>
      </c>
      <c r="G587" s="4">
        <v>205</v>
      </c>
      <c r="H587" t="s">
        <v>21</v>
      </c>
      <c r="I587" t="s">
        <v>26</v>
      </c>
      <c r="J587" s="4">
        <v>98</v>
      </c>
      <c r="K587" t="s">
        <v>19</v>
      </c>
      <c r="L587" t="s">
        <v>25</v>
      </c>
      <c r="N587" t="s">
        <v>23</v>
      </c>
      <c r="O587" s="4">
        <v>1</v>
      </c>
      <c r="P587" s="5">
        <v>2</v>
      </c>
    </row>
    <row r="588" spans="1:16" x14ac:dyDescent="0.3">
      <c r="A588" s="4">
        <v>587</v>
      </c>
      <c r="B588" s="4">
        <v>47</v>
      </c>
      <c r="C588" t="s">
        <v>16</v>
      </c>
      <c r="D588" t="s">
        <v>34</v>
      </c>
      <c r="E588" t="s">
        <v>24</v>
      </c>
      <c r="F588" s="4">
        <v>160</v>
      </c>
      <c r="G588" s="4">
        <v>291</v>
      </c>
      <c r="H588" t="s">
        <v>21</v>
      </c>
      <c r="I588" t="s">
        <v>33</v>
      </c>
      <c r="J588" s="4">
        <v>158</v>
      </c>
      <c r="K588" t="s">
        <v>19</v>
      </c>
      <c r="L588" t="s">
        <v>25</v>
      </c>
      <c r="N588" t="s">
        <v>32</v>
      </c>
      <c r="O588" s="4">
        <v>1</v>
      </c>
      <c r="P588" s="5">
        <v>3</v>
      </c>
    </row>
    <row r="589" spans="1:16" x14ac:dyDescent="0.3">
      <c r="A589" s="4">
        <v>588</v>
      </c>
      <c r="B589" s="4">
        <v>49</v>
      </c>
      <c r="C589" t="s">
        <v>16</v>
      </c>
      <c r="D589" t="s">
        <v>34</v>
      </c>
      <c r="E589" t="s">
        <v>24</v>
      </c>
      <c r="F589" s="4">
        <v>128</v>
      </c>
      <c r="G589" s="4">
        <v>212</v>
      </c>
      <c r="H589" t="s">
        <v>21</v>
      </c>
      <c r="I589" t="s">
        <v>26</v>
      </c>
      <c r="J589" s="4">
        <v>96</v>
      </c>
      <c r="K589" t="s">
        <v>19</v>
      </c>
      <c r="L589" t="s">
        <v>32</v>
      </c>
      <c r="N589" t="s">
        <v>32</v>
      </c>
      <c r="O589" s="4">
        <v>1</v>
      </c>
      <c r="P589" s="5">
        <v>0</v>
      </c>
    </row>
    <row r="590" spans="1:16" x14ac:dyDescent="0.3">
      <c r="A590" s="4">
        <v>589</v>
      </c>
      <c r="B590" s="4">
        <v>49</v>
      </c>
      <c r="C590" t="s">
        <v>16</v>
      </c>
      <c r="D590" t="s">
        <v>34</v>
      </c>
      <c r="E590" t="s">
        <v>24</v>
      </c>
      <c r="F590" s="4">
        <v>150</v>
      </c>
      <c r="G590" s="4">
        <v>222</v>
      </c>
      <c r="H590" t="s">
        <v>21</v>
      </c>
      <c r="I590" t="s">
        <v>26</v>
      </c>
      <c r="J590" s="4">
        <v>122</v>
      </c>
      <c r="K590" t="s">
        <v>21</v>
      </c>
      <c r="L590" t="s">
        <v>25</v>
      </c>
      <c r="N590" t="s">
        <v>32</v>
      </c>
      <c r="O590" s="4">
        <v>1</v>
      </c>
      <c r="P590" s="5">
        <v>2</v>
      </c>
    </row>
    <row r="591" spans="1:16" x14ac:dyDescent="0.3">
      <c r="A591" s="4">
        <v>590</v>
      </c>
      <c r="B591" s="4">
        <v>50</v>
      </c>
      <c r="C591" t="s">
        <v>16</v>
      </c>
      <c r="D591" t="s">
        <v>34</v>
      </c>
      <c r="E591" t="s">
        <v>24</v>
      </c>
      <c r="F591" s="4">
        <v>140</v>
      </c>
      <c r="G591" s="4">
        <v>231</v>
      </c>
      <c r="H591" t="s">
        <v>21</v>
      </c>
      <c r="I591" t="s">
        <v>33</v>
      </c>
      <c r="J591" s="4">
        <v>140</v>
      </c>
      <c r="K591" t="s">
        <v>19</v>
      </c>
      <c r="L591" t="s">
        <v>25</v>
      </c>
      <c r="N591" t="s">
        <v>32</v>
      </c>
      <c r="O591" s="4">
        <v>1</v>
      </c>
      <c r="P591" s="5">
        <v>5</v>
      </c>
    </row>
    <row r="592" spans="1:16" x14ac:dyDescent="0.3">
      <c r="A592" s="4">
        <v>591</v>
      </c>
      <c r="B592" s="4">
        <v>50</v>
      </c>
      <c r="C592" t="s">
        <v>16</v>
      </c>
      <c r="D592" t="s">
        <v>34</v>
      </c>
      <c r="E592" t="s">
        <v>24</v>
      </c>
      <c r="F592" s="4">
        <v>140</v>
      </c>
      <c r="G592" s="4">
        <v>341</v>
      </c>
      <c r="H592" t="s">
        <v>21</v>
      </c>
      <c r="I592" t="s">
        <v>33</v>
      </c>
      <c r="J592" s="4">
        <v>125</v>
      </c>
      <c r="K592" t="s">
        <v>19</v>
      </c>
      <c r="L592" t="s">
        <v>25</v>
      </c>
      <c r="N592" t="s">
        <v>32</v>
      </c>
      <c r="O592" s="4">
        <v>1</v>
      </c>
      <c r="P592" s="5">
        <v>0.5</v>
      </c>
    </row>
    <row r="593" spans="1:16" x14ac:dyDescent="0.3">
      <c r="A593" s="4">
        <v>592</v>
      </c>
      <c r="B593" s="4">
        <v>52</v>
      </c>
      <c r="C593" t="s">
        <v>16</v>
      </c>
      <c r="D593" t="s">
        <v>34</v>
      </c>
      <c r="E593" t="s">
        <v>24</v>
      </c>
      <c r="F593" s="4">
        <v>140</v>
      </c>
      <c r="G593" s="4">
        <v>266</v>
      </c>
      <c r="H593" t="s">
        <v>21</v>
      </c>
      <c r="I593" t="s">
        <v>26</v>
      </c>
      <c r="J593" s="4">
        <v>134</v>
      </c>
      <c r="K593" t="s">
        <v>19</v>
      </c>
      <c r="L593" t="s">
        <v>25</v>
      </c>
      <c r="N593" t="s">
        <v>32</v>
      </c>
      <c r="O593" s="4">
        <v>1</v>
      </c>
      <c r="P593" s="5">
        <v>2</v>
      </c>
    </row>
    <row r="594" spans="1:16" x14ac:dyDescent="0.3">
      <c r="A594" s="4">
        <v>593</v>
      </c>
      <c r="B594" s="4">
        <v>52</v>
      </c>
      <c r="C594" t="s">
        <v>16</v>
      </c>
      <c r="D594" t="s">
        <v>34</v>
      </c>
      <c r="E594" t="s">
        <v>24</v>
      </c>
      <c r="F594" s="4">
        <v>160</v>
      </c>
      <c r="G594" s="4">
        <v>331</v>
      </c>
      <c r="H594" t="s">
        <v>21</v>
      </c>
      <c r="I594" t="s">
        <v>26</v>
      </c>
      <c r="J594" s="4">
        <v>94</v>
      </c>
      <c r="K594" t="s">
        <v>19</v>
      </c>
      <c r="L594" t="s">
        <v>32</v>
      </c>
      <c r="N594" t="s">
        <v>32</v>
      </c>
      <c r="O594" s="4">
        <v>1</v>
      </c>
      <c r="P594" s="5">
        <v>0.5</v>
      </c>
    </row>
    <row r="595" spans="1:16" x14ac:dyDescent="0.3">
      <c r="A595" s="4">
        <v>594</v>
      </c>
      <c r="B595" s="4">
        <v>54</v>
      </c>
      <c r="C595" t="s">
        <v>29</v>
      </c>
      <c r="D595" t="s">
        <v>34</v>
      </c>
      <c r="E595" t="s">
        <v>28</v>
      </c>
      <c r="F595" s="4">
        <v>130</v>
      </c>
      <c r="G595" s="4">
        <v>294</v>
      </c>
      <c r="H595" t="s">
        <v>21</v>
      </c>
      <c r="I595" t="s">
        <v>33</v>
      </c>
      <c r="J595" s="4">
        <v>100</v>
      </c>
      <c r="K595" t="s">
        <v>19</v>
      </c>
      <c r="L595" t="s">
        <v>25</v>
      </c>
      <c r="N595" t="s">
        <v>32</v>
      </c>
      <c r="O595" s="4">
        <v>1</v>
      </c>
      <c r="P595" s="5">
        <v>0</v>
      </c>
    </row>
    <row r="596" spans="1:16" x14ac:dyDescent="0.3">
      <c r="A596" s="4">
        <v>595</v>
      </c>
      <c r="B596" s="4">
        <v>56</v>
      </c>
      <c r="C596" t="s">
        <v>16</v>
      </c>
      <c r="D596" t="s">
        <v>34</v>
      </c>
      <c r="E596" t="s">
        <v>24</v>
      </c>
      <c r="F596" s="4">
        <v>155</v>
      </c>
      <c r="G596" s="4">
        <v>342</v>
      </c>
      <c r="H596" t="s">
        <v>19</v>
      </c>
      <c r="I596" t="s">
        <v>26</v>
      </c>
      <c r="J596" s="4">
        <v>150</v>
      </c>
      <c r="K596" t="s">
        <v>19</v>
      </c>
      <c r="L596" t="s">
        <v>25</v>
      </c>
      <c r="N596" t="s">
        <v>32</v>
      </c>
      <c r="O596" s="4">
        <v>1</v>
      </c>
      <c r="P596" s="5">
        <v>3</v>
      </c>
    </row>
    <row r="597" spans="1:16" x14ac:dyDescent="0.3">
      <c r="A597" s="4">
        <v>596</v>
      </c>
      <c r="B597" s="4">
        <v>58</v>
      </c>
      <c r="C597" t="s">
        <v>29</v>
      </c>
      <c r="D597" t="s">
        <v>34</v>
      </c>
      <c r="E597" t="s">
        <v>30</v>
      </c>
      <c r="F597" s="4">
        <v>180</v>
      </c>
      <c r="G597" s="4">
        <v>393</v>
      </c>
      <c r="H597" t="s">
        <v>21</v>
      </c>
      <c r="I597" t="s">
        <v>26</v>
      </c>
      <c r="J597" s="4">
        <v>110</v>
      </c>
      <c r="K597" t="s">
        <v>19</v>
      </c>
      <c r="L597" t="s">
        <v>25</v>
      </c>
      <c r="N597" t="s">
        <v>27</v>
      </c>
      <c r="O597" s="4">
        <v>1</v>
      </c>
      <c r="P597" s="5">
        <v>1</v>
      </c>
    </row>
    <row r="598" spans="1:16" x14ac:dyDescent="0.3">
      <c r="A598" s="4">
        <v>597</v>
      </c>
      <c r="B598" s="4">
        <v>65</v>
      </c>
      <c r="C598" t="s">
        <v>16</v>
      </c>
      <c r="D598" t="s">
        <v>34</v>
      </c>
      <c r="E598" t="s">
        <v>24</v>
      </c>
      <c r="F598" s="4">
        <v>130</v>
      </c>
      <c r="G598" s="4">
        <v>275</v>
      </c>
      <c r="H598" t="s">
        <v>21</v>
      </c>
      <c r="I598" t="s">
        <v>33</v>
      </c>
      <c r="J598" s="4">
        <v>115</v>
      </c>
      <c r="K598" t="s">
        <v>19</v>
      </c>
      <c r="L598" t="s">
        <v>25</v>
      </c>
      <c r="N598" t="s">
        <v>32</v>
      </c>
      <c r="O598" s="4">
        <v>1</v>
      </c>
      <c r="P598" s="5">
        <v>1</v>
      </c>
    </row>
    <row r="599" spans="1:16" x14ac:dyDescent="0.3">
      <c r="A599" s="4">
        <v>598</v>
      </c>
      <c r="B599" s="4">
        <v>32</v>
      </c>
      <c r="C599" t="s">
        <v>16</v>
      </c>
      <c r="D599" t="s">
        <v>35</v>
      </c>
      <c r="E599" t="s">
        <v>18</v>
      </c>
      <c r="F599" s="4">
        <v>95</v>
      </c>
      <c r="G599" s="4">
        <v>0</v>
      </c>
      <c r="H599" t="s">
        <v>32</v>
      </c>
      <c r="I599" t="s">
        <v>26</v>
      </c>
      <c r="J599" s="4">
        <v>127</v>
      </c>
      <c r="K599" t="s">
        <v>21</v>
      </c>
      <c r="L599" t="s">
        <v>31</v>
      </c>
      <c r="N599" t="s">
        <v>32</v>
      </c>
      <c r="O599" s="4">
        <v>1</v>
      </c>
      <c r="P599" s="5">
        <v>0.7</v>
      </c>
    </row>
    <row r="600" spans="1:16" x14ac:dyDescent="0.3">
      <c r="A600" s="4">
        <v>599</v>
      </c>
      <c r="B600" s="4">
        <v>34</v>
      </c>
      <c r="C600" t="s">
        <v>16</v>
      </c>
      <c r="D600" t="s">
        <v>35</v>
      </c>
      <c r="E600" t="s">
        <v>24</v>
      </c>
      <c r="F600" s="4">
        <v>115</v>
      </c>
      <c r="G600" s="4">
        <v>0</v>
      </c>
      <c r="H600" t="s">
        <v>32</v>
      </c>
      <c r="I600" t="s">
        <v>32</v>
      </c>
      <c r="J600" s="4">
        <v>154</v>
      </c>
      <c r="K600" t="s">
        <v>21</v>
      </c>
      <c r="L600" t="s">
        <v>31</v>
      </c>
      <c r="N600" t="s">
        <v>32</v>
      </c>
      <c r="O600" s="4">
        <v>1</v>
      </c>
      <c r="P600" s="5">
        <v>0.2</v>
      </c>
    </row>
    <row r="601" spans="1:16" x14ac:dyDescent="0.3">
      <c r="A601" s="4">
        <v>600</v>
      </c>
      <c r="B601" s="4">
        <v>35</v>
      </c>
      <c r="C601" t="s">
        <v>16</v>
      </c>
      <c r="D601" t="s">
        <v>35</v>
      </c>
      <c r="E601" t="s">
        <v>24</v>
      </c>
      <c r="G601" s="4">
        <v>0</v>
      </c>
      <c r="H601" t="s">
        <v>32</v>
      </c>
      <c r="I601" t="s">
        <v>26</v>
      </c>
      <c r="J601" s="4">
        <v>130</v>
      </c>
      <c r="K601" t="s">
        <v>19</v>
      </c>
      <c r="L601" t="s">
        <v>32</v>
      </c>
      <c r="N601" t="s">
        <v>27</v>
      </c>
      <c r="O601" s="4">
        <v>3</v>
      </c>
    </row>
    <row r="602" spans="1:16" x14ac:dyDescent="0.3">
      <c r="A602" s="4">
        <v>601</v>
      </c>
      <c r="B602" s="4">
        <v>36</v>
      </c>
      <c r="C602" t="s">
        <v>16</v>
      </c>
      <c r="D602" t="s">
        <v>35</v>
      </c>
      <c r="E602" t="s">
        <v>24</v>
      </c>
      <c r="F602" s="4">
        <v>110</v>
      </c>
      <c r="G602" s="4">
        <v>0</v>
      </c>
      <c r="H602" t="s">
        <v>32</v>
      </c>
      <c r="I602" t="s">
        <v>26</v>
      </c>
      <c r="J602" s="4">
        <v>125</v>
      </c>
      <c r="K602" t="s">
        <v>19</v>
      </c>
      <c r="L602" t="s">
        <v>25</v>
      </c>
      <c r="N602" t="s">
        <v>23</v>
      </c>
      <c r="O602" s="4">
        <v>1</v>
      </c>
      <c r="P602" s="5">
        <v>1</v>
      </c>
    </row>
    <row r="603" spans="1:16" x14ac:dyDescent="0.3">
      <c r="A603" s="4">
        <v>602</v>
      </c>
      <c r="B603" s="4">
        <v>38</v>
      </c>
      <c r="C603" t="s">
        <v>29</v>
      </c>
      <c r="D603" t="s">
        <v>35</v>
      </c>
      <c r="E603" t="s">
        <v>24</v>
      </c>
      <c r="F603" s="4">
        <v>105</v>
      </c>
      <c r="G603" s="4">
        <v>0</v>
      </c>
      <c r="H603" t="s">
        <v>32</v>
      </c>
      <c r="I603" t="s">
        <v>26</v>
      </c>
      <c r="J603" s="4">
        <v>166</v>
      </c>
      <c r="K603" t="s">
        <v>21</v>
      </c>
      <c r="L603" t="s">
        <v>31</v>
      </c>
      <c r="N603" t="s">
        <v>32</v>
      </c>
      <c r="O603" s="4">
        <v>2</v>
      </c>
      <c r="P603" s="5">
        <v>0.8</v>
      </c>
    </row>
    <row r="604" spans="1:16" x14ac:dyDescent="0.3">
      <c r="A604" s="4">
        <v>603</v>
      </c>
      <c r="B604" s="4">
        <v>38</v>
      </c>
      <c r="C604" t="s">
        <v>29</v>
      </c>
      <c r="D604" t="s">
        <v>35</v>
      </c>
      <c r="E604" t="s">
        <v>24</v>
      </c>
      <c r="F604" s="4">
        <v>110</v>
      </c>
      <c r="G604" s="4">
        <v>0</v>
      </c>
      <c r="H604" t="s">
        <v>21</v>
      </c>
      <c r="I604" t="s">
        <v>26</v>
      </c>
      <c r="J604" s="4">
        <v>156</v>
      </c>
      <c r="K604" t="s">
        <v>21</v>
      </c>
      <c r="L604" t="s">
        <v>25</v>
      </c>
      <c r="N604" t="s">
        <v>26</v>
      </c>
      <c r="O604" s="4">
        <v>1</v>
      </c>
      <c r="P604" s="5">
        <v>0</v>
      </c>
    </row>
    <row r="605" spans="1:16" x14ac:dyDescent="0.3">
      <c r="A605" s="4">
        <v>604</v>
      </c>
      <c r="B605" s="4">
        <v>38</v>
      </c>
      <c r="C605" t="s">
        <v>16</v>
      </c>
      <c r="D605" t="s">
        <v>35</v>
      </c>
      <c r="E605" t="s">
        <v>28</v>
      </c>
      <c r="F605" s="4">
        <v>100</v>
      </c>
      <c r="G605" s="4">
        <v>0</v>
      </c>
      <c r="H605" t="s">
        <v>32</v>
      </c>
      <c r="I605" t="s">
        <v>26</v>
      </c>
      <c r="J605" s="4">
        <v>179</v>
      </c>
      <c r="K605" t="s">
        <v>21</v>
      </c>
      <c r="L605" t="s">
        <v>31</v>
      </c>
      <c r="N605" t="s">
        <v>32</v>
      </c>
      <c r="O605" s="4">
        <v>0</v>
      </c>
      <c r="P605" s="5">
        <v>-1.1000000000000001</v>
      </c>
    </row>
    <row r="606" spans="1:16" x14ac:dyDescent="0.3">
      <c r="A606" s="4">
        <v>605</v>
      </c>
      <c r="B606" s="4">
        <v>38</v>
      </c>
      <c r="C606" t="s">
        <v>16</v>
      </c>
      <c r="D606" t="s">
        <v>35</v>
      </c>
      <c r="E606" t="s">
        <v>28</v>
      </c>
      <c r="F606" s="4">
        <v>115</v>
      </c>
      <c r="G606" s="4">
        <v>0</v>
      </c>
      <c r="H606" t="s">
        <v>21</v>
      </c>
      <c r="I606" t="s">
        <v>26</v>
      </c>
      <c r="J606" s="4">
        <v>128</v>
      </c>
      <c r="K606" t="s">
        <v>19</v>
      </c>
      <c r="L606" t="s">
        <v>25</v>
      </c>
      <c r="N606" t="s">
        <v>27</v>
      </c>
      <c r="O606" s="4">
        <v>1</v>
      </c>
      <c r="P606" s="5">
        <v>0</v>
      </c>
    </row>
    <row r="607" spans="1:16" x14ac:dyDescent="0.3">
      <c r="A607" s="4">
        <v>606</v>
      </c>
      <c r="B607" s="4">
        <v>38</v>
      </c>
      <c r="C607" t="s">
        <v>16</v>
      </c>
      <c r="D607" t="s">
        <v>35</v>
      </c>
      <c r="E607" t="s">
        <v>24</v>
      </c>
      <c r="F607" s="4">
        <v>135</v>
      </c>
      <c r="G607" s="4">
        <v>0</v>
      </c>
      <c r="H607" t="s">
        <v>32</v>
      </c>
      <c r="I607" t="s">
        <v>26</v>
      </c>
      <c r="J607" s="4">
        <v>150</v>
      </c>
      <c r="K607" t="s">
        <v>21</v>
      </c>
      <c r="L607" t="s">
        <v>32</v>
      </c>
      <c r="N607" t="s">
        <v>26</v>
      </c>
      <c r="O607" s="4">
        <v>2</v>
      </c>
      <c r="P607" s="5">
        <v>0</v>
      </c>
    </row>
    <row r="608" spans="1:16" x14ac:dyDescent="0.3">
      <c r="A608" s="4">
        <v>607</v>
      </c>
      <c r="B608" s="4">
        <v>38</v>
      </c>
      <c r="C608" t="s">
        <v>16</v>
      </c>
      <c r="D608" t="s">
        <v>35</v>
      </c>
      <c r="E608" t="s">
        <v>24</v>
      </c>
      <c r="F608" s="4">
        <v>150</v>
      </c>
      <c r="G608" s="4">
        <v>0</v>
      </c>
      <c r="H608" t="s">
        <v>32</v>
      </c>
      <c r="I608" t="s">
        <v>26</v>
      </c>
      <c r="J608" s="4">
        <v>120</v>
      </c>
      <c r="K608" t="s">
        <v>19</v>
      </c>
      <c r="L608" t="s">
        <v>32</v>
      </c>
      <c r="N608" t="s">
        <v>26</v>
      </c>
      <c r="O608" s="4">
        <v>1</v>
      </c>
    </row>
    <row r="609" spans="1:16" x14ac:dyDescent="0.3">
      <c r="A609" s="4">
        <v>608</v>
      </c>
      <c r="B609" s="4">
        <v>40</v>
      </c>
      <c r="C609" t="s">
        <v>16</v>
      </c>
      <c r="D609" t="s">
        <v>35</v>
      </c>
      <c r="E609" t="s">
        <v>24</v>
      </c>
      <c r="F609" s="4">
        <v>95</v>
      </c>
      <c r="G609" s="4">
        <v>0</v>
      </c>
      <c r="H609" t="s">
        <v>32</v>
      </c>
      <c r="I609" t="s">
        <v>33</v>
      </c>
      <c r="J609" s="4">
        <v>144</v>
      </c>
      <c r="K609" t="s">
        <v>21</v>
      </c>
      <c r="L609" t="s">
        <v>31</v>
      </c>
      <c r="N609" t="s">
        <v>32</v>
      </c>
      <c r="O609" s="4">
        <v>2</v>
      </c>
      <c r="P609" s="5">
        <v>0</v>
      </c>
    </row>
    <row r="610" spans="1:16" x14ac:dyDescent="0.3">
      <c r="A610" s="4">
        <v>609</v>
      </c>
      <c r="B610" s="4">
        <v>41</v>
      </c>
      <c r="C610" t="s">
        <v>16</v>
      </c>
      <c r="D610" t="s">
        <v>35</v>
      </c>
      <c r="E610" t="s">
        <v>24</v>
      </c>
      <c r="F610" s="4">
        <v>125</v>
      </c>
      <c r="G610" s="4">
        <v>0</v>
      </c>
      <c r="H610" t="s">
        <v>32</v>
      </c>
      <c r="I610" t="s">
        <v>26</v>
      </c>
      <c r="J610" s="4">
        <v>176</v>
      </c>
      <c r="K610" t="s">
        <v>21</v>
      </c>
      <c r="L610" t="s">
        <v>31</v>
      </c>
      <c r="N610" t="s">
        <v>32</v>
      </c>
      <c r="O610" s="4">
        <v>2</v>
      </c>
      <c r="P610" s="5">
        <v>0.6</v>
      </c>
    </row>
    <row r="611" spans="1:16" x14ac:dyDescent="0.3">
      <c r="A611" s="4">
        <v>610</v>
      </c>
      <c r="B611" s="4">
        <v>42</v>
      </c>
      <c r="C611" t="s">
        <v>16</v>
      </c>
      <c r="D611" t="s">
        <v>35</v>
      </c>
      <c r="E611" t="s">
        <v>24</v>
      </c>
      <c r="F611" s="4">
        <v>105</v>
      </c>
      <c r="G611" s="4">
        <v>0</v>
      </c>
      <c r="H611" t="s">
        <v>32</v>
      </c>
      <c r="I611" t="s">
        <v>26</v>
      </c>
      <c r="J611" s="4">
        <v>128</v>
      </c>
      <c r="K611" t="s">
        <v>19</v>
      </c>
      <c r="L611" t="s">
        <v>22</v>
      </c>
      <c r="N611" t="s">
        <v>32</v>
      </c>
      <c r="O611" s="4">
        <v>1</v>
      </c>
      <c r="P611" s="5">
        <v>-1.5</v>
      </c>
    </row>
    <row r="612" spans="1:16" x14ac:dyDescent="0.3">
      <c r="A612" s="4">
        <v>611</v>
      </c>
      <c r="B612" s="4">
        <v>42</v>
      </c>
      <c r="C612" t="s">
        <v>16</v>
      </c>
      <c r="D612" t="s">
        <v>35</v>
      </c>
      <c r="E612" t="s">
        <v>24</v>
      </c>
      <c r="F612" s="4">
        <v>145</v>
      </c>
      <c r="G612" s="4">
        <v>0</v>
      </c>
      <c r="H612" t="s">
        <v>21</v>
      </c>
      <c r="I612" t="s">
        <v>26</v>
      </c>
      <c r="J612" s="4">
        <v>99</v>
      </c>
      <c r="K612" t="s">
        <v>19</v>
      </c>
      <c r="L612" t="s">
        <v>25</v>
      </c>
      <c r="N612" t="s">
        <v>32</v>
      </c>
      <c r="O612" s="4">
        <v>2</v>
      </c>
      <c r="P612" s="5">
        <v>0</v>
      </c>
    </row>
    <row r="613" spans="1:16" x14ac:dyDescent="0.3">
      <c r="A613" s="4">
        <v>612</v>
      </c>
      <c r="B613" s="4">
        <v>43</v>
      </c>
      <c r="C613" t="s">
        <v>16</v>
      </c>
      <c r="D613" t="s">
        <v>35</v>
      </c>
      <c r="E613" t="s">
        <v>24</v>
      </c>
      <c r="F613" s="4">
        <v>100</v>
      </c>
      <c r="G613" s="4">
        <v>0</v>
      </c>
      <c r="H613" t="s">
        <v>32</v>
      </c>
      <c r="I613" t="s">
        <v>26</v>
      </c>
      <c r="J613" s="4">
        <v>122</v>
      </c>
      <c r="K613" t="s">
        <v>21</v>
      </c>
      <c r="L613" t="s">
        <v>22</v>
      </c>
      <c r="N613" t="s">
        <v>32</v>
      </c>
      <c r="O613" s="4">
        <v>3</v>
      </c>
      <c r="P613" s="5">
        <v>0.5</v>
      </c>
    </row>
    <row r="614" spans="1:16" x14ac:dyDescent="0.3">
      <c r="A614" s="4">
        <v>613</v>
      </c>
      <c r="B614" s="4">
        <v>43</v>
      </c>
      <c r="C614" t="s">
        <v>16</v>
      </c>
      <c r="D614" t="s">
        <v>35</v>
      </c>
      <c r="E614" t="s">
        <v>24</v>
      </c>
      <c r="F614" s="4">
        <v>115</v>
      </c>
      <c r="G614" s="4">
        <v>0</v>
      </c>
      <c r="H614" t="s">
        <v>21</v>
      </c>
      <c r="I614" t="s">
        <v>26</v>
      </c>
      <c r="J614" s="4">
        <v>145</v>
      </c>
      <c r="K614" t="s">
        <v>19</v>
      </c>
      <c r="L614" t="s">
        <v>25</v>
      </c>
      <c r="N614" t="s">
        <v>27</v>
      </c>
      <c r="O614" s="4">
        <v>4</v>
      </c>
      <c r="P614" s="5">
        <v>2</v>
      </c>
    </row>
    <row r="615" spans="1:16" x14ac:dyDescent="0.3">
      <c r="A615" s="4">
        <v>614</v>
      </c>
      <c r="B615" s="4">
        <v>43</v>
      </c>
      <c r="C615" t="s">
        <v>16</v>
      </c>
      <c r="D615" t="s">
        <v>35</v>
      </c>
      <c r="E615" t="s">
        <v>24</v>
      </c>
      <c r="F615" s="4">
        <v>140</v>
      </c>
      <c r="G615" s="4">
        <v>0</v>
      </c>
      <c r="H615" t="s">
        <v>21</v>
      </c>
      <c r="I615" t="s">
        <v>33</v>
      </c>
      <c r="J615" s="4">
        <v>140</v>
      </c>
      <c r="K615" t="s">
        <v>19</v>
      </c>
      <c r="L615" t="s">
        <v>31</v>
      </c>
      <c r="N615" t="s">
        <v>27</v>
      </c>
      <c r="O615" s="4">
        <v>2</v>
      </c>
      <c r="P615" s="5">
        <v>0.5</v>
      </c>
    </row>
    <row r="616" spans="1:16" x14ac:dyDescent="0.3">
      <c r="A616" s="4">
        <v>615</v>
      </c>
      <c r="B616" s="4">
        <v>45</v>
      </c>
      <c r="C616" t="s">
        <v>16</v>
      </c>
      <c r="D616" t="s">
        <v>35</v>
      </c>
      <c r="E616" t="s">
        <v>28</v>
      </c>
      <c r="F616" s="4">
        <v>110</v>
      </c>
      <c r="G616" s="4">
        <v>0</v>
      </c>
      <c r="H616" t="s">
        <v>32</v>
      </c>
      <c r="I616" t="s">
        <v>26</v>
      </c>
      <c r="J616" s="4">
        <v>138</v>
      </c>
      <c r="K616" t="s">
        <v>21</v>
      </c>
      <c r="L616" t="s">
        <v>31</v>
      </c>
      <c r="N616" t="s">
        <v>32</v>
      </c>
      <c r="O616" s="4">
        <v>0</v>
      </c>
      <c r="P616" s="5">
        <v>-0.1</v>
      </c>
    </row>
    <row r="617" spans="1:16" x14ac:dyDescent="0.3">
      <c r="A617" s="4">
        <v>616</v>
      </c>
      <c r="B617" s="4">
        <v>46</v>
      </c>
      <c r="C617" t="s">
        <v>16</v>
      </c>
      <c r="D617" t="s">
        <v>35</v>
      </c>
      <c r="E617" t="s">
        <v>24</v>
      </c>
      <c r="F617" s="4">
        <v>100</v>
      </c>
      <c r="G617" s="4">
        <v>0</v>
      </c>
      <c r="H617" t="s">
        <v>32</v>
      </c>
      <c r="I617" t="s">
        <v>33</v>
      </c>
      <c r="J617" s="4">
        <v>133</v>
      </c>
      <c r="K617" t="s">
        <v>21</v>
      </c>
      <c r="L617" t="s">
        <v>25</v>
      </c>
      <c r="N617" t="s">
        <v>32</v>
      </c>
      <c r="O617" s="4">
        <v>1</v>
      </c>
      <c r="P617" s="5">
        <v>-2.6</v>
      </c>
    </row>
    <row r="618" spans="1:16" x14ac:dyDescent="0.3">
      <c r="A618" s="4">
        <v>617</v>
      </c>
      <c r="B618" s="4">
        <v>46</v>
      </c>
      <c r="C618" t="s">
        <v>16</v>
      </c>
      <c r="D618" t="s">
        <v>35</v>
      </c>
      <c r="E618" t="s">
        <v>24</v>
      </c>
      <c r="F618" s="4">
        <v>115</v>
      </c>
      <c r="G618" s="4">
        <v>0</v>
      </c>
      <c r="H618" t="s">
        <v>21</v>
      </c>
      <c r="I618" t="s">
        <v>26</v>
      </c>
      <c r="J618" s="4">
        <v>113</v>
      </c>
      <c r="K618" t="s">
        <v>19</v>
      </c>
      <c r="L618" t="s">
        <v>25</v>
      </c>
      <c r="N618" t="s">
        <v>27</v>
      </c>
      <c r="O618" s="4">
        <v>1</v>
      </c>
      <c r="P618" s="5">
        <v>0.5</v>
      </c>
    </row>
    <row r="619" spans="1:16" x14ac:dyDescent="0.3">
      <c r="A619" s="4">
        <v>618</v>
      </c>
      <c r="B619" s="4">
        <v>47</v>
      </c>
      <c r="C619" t="s">
        <v>16</v>
      </c>
      <c r="D619" t="s">
        <v>35</v>
      </c>
      <c r="E619" t="s">
        <v>28</v>
      </c>
      <c r="F619" s="4">
        <v>110</v>
      </c>
      <c r="G619" s="4">
        <v>0</v>
      </c>
      <c r="H619" t="s">
        <v>32</v>
      </c>
      <c r="I619" t="s">
        <v>26</v>
      </c>
      <c r="J619" s="4">
        <v>120</v>
      </c>
      <c r="K619" t="s">
        <v>19</v>
      </c>
      <c r="L619" t="s">
        <v>32</v>
      </c>
      <c r="N619" t="s">
        <v>26</v>
      </c>
      <c r="O619" s="4">
        <v>1</v>
      </c>
      <c r="P619" s="5">
        <v>0</v>
      </c>
    </row>
    <row r="620" spans="1:16" x14ac:dyDescent="0.3">
      <c r="A620" s="4">
        <v>619</v>
      </c>
      <c r="B620" s="4">
        <v>47</v>
      </c>
      <c r="C620" t="s">
        <v>16</v>
      </c>
      <c r="D620" t="s">
        <v>35</v>
      </c>
      <c r="E620" t="s">
        <v>28</v>
      </c>
      <c r="F620" s="4">
        <v>155</v>
      </c>
      <c r="G620" s="4">
        <v>0</v>
      </c>
      <c r="H620" t="s">
        <v>21</v>
      </c>
      <c r="I620" t="s">
        <v>26</v>
      </c>
      <c r="J620" s="4">
        <v>118</v>
      </c>
      <c r="K620" t="s">
        <v>19</v>
      </c>
      <c r="L620" t="s">
        <v>25</v>
      </c>
      <c r="N620" t="s">
        <v>26</v>
      </c>
      <c r="O620" s="4">
        <v>3</v>
      </c>
      <c r="P620" s="5">
        <v>1</v>
      </c>
    </row>
    <row r="621" spans="1:16" x14ac:dyDescent="0.3">
      <c r="A621" s="4">
        <v>620</v>
      </c>
      <c r="B621" s="4">
        <v>47</v>
      </c>
      <c r="C621" t="s">
        <v>16</v>
      </c>
      <c r="D621" t="s">
        <v>35</v>
      </c>
      <c r="E621" t="s">
        <v>24</v>
      </c>
      <c r="F621" s="4">
        <v>110</v>
      </c>
      <c r="G621" s="4">
        <v>0</v>
      </c>
      <c r="H621" t="s">
        <v>32</v>
      </c>
      <c r="I621" t="s">
        <v>33</v>
      </c>
      <c r="J621" s="4">
        <v>149</v>
      </c>
      <c r="K621" t="s">
        <v>21</v>
      </c>
      <c r="L621" t="s">
        <v>31</v>
      </c>
      <c r="N621" t="s">
        <v>32</v>
      </c>
      <c r="O621" s="4">
        <v>2</v>
      </c>
      <c r="P621" s="5">
        <v>0.1</v>
      </c>
    </row>
    <row r="622" spans="1:16" x14ac:dyDescent="0.3">
      <c r="A622" s="4">
        <v>621</v>
      </c>
      <c r="B622" s="4">
        <v>47</v>
      </c>
      <c r="C622" t="s">
        <v>16</v>
      </c>
      <c r="D622" t="s">
        <v>35</v>
      </c>
      <c r="E622" t="s">
        <v>24</v>
      </c>
      <c r="F622" s="4">
        <v>160</v>
      </c>
      <c r="G622" s="4">
        <v>0</v>
      </c>
      <c r="H622" t="s">
        <v>21</v>
      </c>
      <c r="I622" t="s">
        <v>26</v>
      </c>
      <c r="J622" s="4">
        <v>124</v>
      </c>
      <c r="K622" t="s">
        <v>19</v>
      </c>
      <c r="L622" t="s">
        <v>25</v>
      </c>
      <c r="N622" t="s">
        <v>27</v>
      </c>
      <c r="O622" s="4">
        <v>1</v>
      </c>
      <c r="P622" s="5">
        <v>0</v>
      </c>
    </row>
    <row r="623" spans="1:16" x14ac:dyDescent="0.3">
      <c r="A623" s="4">
        <v>622</v>
      </c>
      <c r="B623" s="4">
        <v>48</v>
      </c>
      <c r="C623" t="s">
        <v>16</v>
      </c>
      <c r="D623" t="s">
        <v>35</v>
      </c>
      <c r="E623" t="s">
        <v>24</v>
      </c>
      <c r="F623" s="4">
        <v>115</v>
      </c>
      <c r="G623" s="4">
        <v>0</v>
      </c>
      <c r="H623" t="s">
        <v>32</v>
      </c>
      <c r="I623" t="s">
        <v>26</v>
      </c>
      <c r="J623" s="4">
        <v>128</v>
      </c>
      <c r="K623" t="s">
        <v>21</v>
      </c>
      <c r="L623" t="s">
        <v>25</v>
      </c>
      <c r="N623" t="s">
        <v>23</v>
      </c>
      <c r="O623" s="4">
        <v>2</v>
      </c>
      <c r="P623" s="5">
        <v>0</v>
      </c>
    </row>
    <row r="624" spans="1:16" x14ac:dyDescent="0.3">
      <c r="A624" s="4">
        <v>623</v>
      </c>
      <c r="B624" s="4">
        <v>50</v>
      </c>
      <c r="C624" t="s">
        <v>29</v>
      </c>
      <c r="D624" t="s">
        <v>35</v>
      </c>
      <c r="E624" t="s">
        <v>24</v>
      </c>
      <c r="F624" s="4">
        <v>160</v>
      </c>
      <c r="G624" s="4">
        <v>0</v>
      </c>
      <c r="H624" t="s">
        <v>32</v>
      </c>
      <c r="I624" t="s">
        <v>26</v>
      </c>
      <c r="J624" s="4">
        <v>110</v>
      </c>
      <c r="K624" t="s">
        <v>21</v>
      </c>
      <c r="L624" t="s">
        <v>32</v>
      </c>
      <c r="N624" t="s">
        <v>26</v>
      </c>
      <c r="O624" s="4">
        <v>1</v>
      </c>
      <c r="P624" s="5">
        <v>0</v>
      </c>
    </row>
    <row r="625" spans="1:16" x14ac:dyDescent="0.3">
      <c r="A625" s="4">
        <v>624</v>
      </c>
      <c r="B625" s="4">
        <v>50</v>
      </c>
      <c r="C625" t="s">
        <v>16</v>
      </c>
      <c r="D625" t="s">
        <v>35</v>
      </c>
      <c r="E625" t="s">
        <v>24</v>
      </c>
      <c r="F625" s="4">
        <v>115</v>
      </c>
      <c r="G625" s="4">
        <v>0</v>
      </c>
      <c r="H625" t="s">
        <v>21</v>
      </c>
      <c r="I625" t="s">
        <v>26</v>
      </c>
      <c r="J625" s="4">
        <v>120</v>
      </c>
      <c r="K625" t="s">
        <v>19</v>
      </c>
      <c r="L625" t="s">
        <v>25</v>
      </c>
      <c r="N625" t="s">
        <v>23</v>
      </c>
      <c r="O625" s="4">
        <v>3</v>
      </c>
      <c r="P625" s="5">
        <v>0.5</v>
      </c>
    </row>
    <row r="626" spans="1:16" x14ac:dyDescent="0.3">
      <c r="A626" s="4">
        <v>625</v>
      </c>
      <c r="B626" s="4">
        <v>50</v>
      </c>
      <c r="C626" t="s">
        <v>16</v>
      </c>
      <c r="D626" t="s">
        <v>35</v>
      </c>
      <c r="E626" t="s">
        <v>24</v>
      </c>
      <c r="F626" s="4">
        <v>120</v>
      </c>
      <c r="G626" s="4">
        <v>0</v>
      </c>
      <c r="H626" t="s">
        <v>21</v>
      </c>
      <c r="I626" t="s">
        <v>33</v>
      </c>
      <c r="J626" s="4">
        <v>156</v>
      </c>
      <c r="K626" t="s">
        <v>19</v>
      </c>
      <c r="L626" t="s">
        <v>31</v>
      </c>
      <c r="N626" t="s">
        <v>23</v>
      </c>
      <c r="O626" s="4">
        <v>3</v>
      </c>
      <c r="P626" s="5">
        <v>0</v>
      </c>
    </row>
    <row r="627" spans="1:16" x14ac:dyDescent="0.3">
      <c r="A627" s="4">
        <v>626</v>
      </c>
      <c r="B627" s="4">
        <v>50</v>
      </c>
      <c r="C627" t="s">
        <v>16</v>
      </c>
      <c r="D627" t="s">
        <v>35</v>
      </c>
      <c r="E627" t="s">
        <v>24</v>
      </c>
      <c r="F627" s="4">
        <v>145</v>
      </c>
      <c r="G627" s="4">
        <v>0</v>
      </c>
      <c r="H627" t="s">
        <v>32</v>
      </c>
      <c r="I627" t="s">
        <v>26</v>
      </c>
      <c r="J627" s="4">
        <v>139</v>
      </c>
      <c r="K627" t="s">
        <v>19</v>
      </c>
      <c r="L627" t="s">
        <v>25</v>
      </c>
      <c r="N627" t="s">
        <v>32</v>
      </c>
      <c r="O627" s="4">
        <v>1</v>
      </c>
      <c r="P627" s="5">
        <v>0.7</v>
      </c>
    </row>
    <row r="628" spans="1:16" x14ac:dyDescent="0.3">
      <c r="A628" s="4">
        <v>627</v>
      </c>
      <c r="B628" s="4">
        <v>51</v>
      </c>
      <c r="C628" t="s">
        <v>29</v>
      </c>
      <c r="D628" t="s">
        <v>35</v>
      </c>
      <c r="E628" t="s">
        <v>24</v>
      </c>
      <c r="F628" s="4">
        <v>120</v>
      </c>
      <c r="G628" s="4">
        <v>0</v>
      </c>
      <c r="H628" t="s">
        <v>32</v>
      </c>
      <c r="I628" t="s">
        <v>26</v>
      </c>
      <c r="J628" s="4">
        <v>127</v>
      </c>
      <c r="K628" t="s">
        <v>19</v>
      </c>
      <c r="L628" t="s">
        <v>31</v>
      </c>
      <c r="N628" t="s">
        <v>32</v>
      </c>
      <c r="O628" s="4">
        <v>2</v>
      </c>
      <c r="P628" s="5">
        <v>0.5</v>
      </c>
    </row>
    <row r="629" spans="1:16" x14ac:dyDescent="0.3">
      <c r="A629" s="4">
        <v>628</v>
      </c>
      <c r="B629" s="4">
        <v>51</v>
      </c>
      <c r="C629" t="s">
        <v>16</v>
      </c>
      <c r="D629" t="s">
        <v>35</v>
      </c>
      <c r="E629" t="s">
        <v>24</v>
      </c>
      <c r="F629" s="4">
        <v>110</v>
      </c>
      <c r="G629" s="4">
        <v>0</v>
      </c>
      <c r="H629" t="s">
        <v>32</v>
      </c>
      <c r="I629" t="s">
        <v>26</v>
      </c>
      <c r="J629" s="4">
        <v>92</v>
      </c>
      <c r="K629" t="s">
        <v>21</v>
      </c>
      <c r="L629" t="s">
        <v>25</v>
      </c>
      <c r="N629" t="s">
        <v>32</v>
      </c>
      <c r="O629" s="4">
        <v>4</v>
      </c>
      <c r="P629" s="5">
        <v>0</v>
      </c>
    </row>
    <row r="630" spans="1:16" x14ac:dyDescent="0.3">
      <c r="A630" s="4">
        <v>629</v>
      </c>
      <c r="B630" s="4">
        <v>51</v>
      </c>
      <c r="C630" t="s">
        <v>16</v>
      </c>
      <c r="D630" t="s">
        <v>35</v>
      </c>
      <c r="E630" t="s">
        <v>24</v>
      </c>
      <c r="F630" s="4">
        <v>120</v>
      </c>
      <c r="G630" s="4">
        <v>0</v>
      </c>
      <c r="H630" t="s">
        <v>19</v>
      </c>
      <c r="I630" t="s">
        <v>26</v>
      </c>
      <c r="J630" s="4">
        <v>104</v>
      </c>
      <c r="K630" t="s">
        <v>21</v>
      </c>
      <c r="L630" t="s">
        <v>25</v>
      </c>
      <c r="N630" t="s">
        <v>26</v>
      </c>
      <c r="O630" s="4">
        <v>3</v>
      </c>
      <c r="P630" s="5">
        <v>0</v>
      </c>
    </row>
    <row r="631" spans="1:16" x14ac:dyDescent="0.3">
      <c r="A631" s="4">
        <v>630</v>
      </c>
      <c r="B631" s="4">
        <v>51</v>
      </c>
      <c r="C631" t="s">
        <v>16</v>
      </c>
      <c r="D631" t="s">
        <v>35</v>
      </c>
      <c r="E631" t="s">
        <v>24</v>
      </c>
      <c r="F631" s="4">
        <v>130</v>
      </c>
      <c r="G631" s="4">
        <v>0</v>
      </c>
      <c r="H631" t="s">
        <v>32</v>
      </c>
      <c r="I631" t="s">
        <v>26</v>
      </c>
      <c r="J631" s="4">
        <v>170</v>
      </c>
      <c r="K631" t="s">
        <v>21</v>
      </c>
      <c r="L631" t="s">
        <v>31</v>
      </c>
      <c r="N631" t="s">
        <v>32</v>
      </c>
      <c r="O631" s="4">
        <v>2</v>
      </c>
      <c r="P631" s="5">
        <v>-0.7</v>
      </c>
    </row>
    <row r="632" spans="1:16" x14ac:dyDescent="0.3">
      <c r="A632" s="4">
        <v>631</v>
      </c>
      <c r="B632" s="4">
        <v>51</v>
      </c>
      <c r="C632" t="s">
        <v>16</v>
      </c>
      <c r="D632" t="s">
        <v>35</v>
      </c>
      <c r="E632" t="s">
        <v>24</v>
      </c>
      <c r="F632" s="4">
        <v>130</v>
      </c>
      <c r="G632" s="4">
        <v>0</v>
      </c>
      <c r="H632" t="s">
        <v>32</v>
      </c>
      <c r="I632" t="s">
        <v>33</v>
      </c>
      <c r="J632" s="4">
        <v>163</v>
      </c>
      <c r="K632" t="s">
        <v>21</v>
      </c>
      <c r="L632" t="s">
        <v>32</v>
      </c>
      <c r="N632" t="s">
        <v>27</v>
      </c>
      <c r="O632" s="4">
        <v>1</v>
      </c>
      <c r="P632" s="5">
        <v>0</v>
      </c>
    </row>
    <row r="633" spans="1:16" x14ac:dyDescent="0.3">
      <c r="A633" s="4">
        <v>632</v>
      </c>
      <c r="B633" s="4">
        <v>51</v>
      </c>
      <c r="C633" t="s">
        <v>16</v>
      </c>
      <c r="D633" t="s">
        <v>35</v>
      </c>
      <c r="E633" t="s">
        <v>24</v>
      </c>
      <c r="F633" s="4">
        <v>140</v>
      </c>
      <c r="G633" s="4">
        <v>0</v>
      </c>
      <c r="H633" t="s">
        <v>21</v>
      </c>
      <c r="I633" t="s">
        <v>26</v>
      </c>
      <c r="J633" s="4">
        <v>60</v>
      </c>
      <c r="K633" t="s">
        <v>21</v>
      </c>
      <c r="L633" t="s">
        <v>25</v>
      </c>
      <c r="N633" t="s">
        <v>26</v>
      </c>
      <c r="O633" s="4">
        <v>2</v>
      </c>
      <c r="P633" s="5">
        <v>0</v>
      </c>
    </row>
    <row r="634" spans="1:16" x14ac:dyDescent="0.3">
      <c r="A634" s="4">
        <v>633</v>
      </c>
      <c r="B634" s="4">
        <v>51</v>
      </c>
      <c r="C634" t="s">
        <v>16</v>
      </c>
      <c r="D634" t="s">
        <v>35</v>
      </c>
      <c r="E634" t="s">
        <v>24</v>
      </c>
      <c r="F634" s="4">
        <v>95</v>
      </c>
      <c r="G634" s="4">
        <v>0</v>
      </c>
      <c r="H634" t="s">
        <v>32</v>
      </c>
      <c r="I634" t="s">
        <v>26</v>
      </c>
      <c r="J634" s="4">
        <v>126</v>
      </c>
      <c r="K634" t="s">
        <v>21</v>
      </c>
      <c r="L634" t="s">
        <v>25</v>
      </c>
      <c r="N634" t="s">
        <v>32</v>
      </c>
      <c r="O634" s="4">
        <v>2</v>
      </c>
      <c r="P634" s="5">
        <v>0.2</v>
      </c>
    </row>
    <row r="635" spans="1:16" x14ac:dyDescent="0.3">
      <c r="A635" s="4">
        <v>634</v>
      </c>
      <c r="B635" s="4">
        <v>52</v>
      </c>
      <c r="C635" t="s">
        <v>16</v>
      </c>
      <c r="D635" t="s">
        <v>35</v>
      </c>
      <c r="E635" t="s">
        <v>24</v>
      </c>
      <c r="F635" s="4">
        <v>130</v>
      </c>
      <c r="G635" s="4">
        <v>0</v>
      </c>
      <c r="H635" t="s">
        <v>32</v>
      </c>
      <c r="I635" t="s">
        <v>26</v>
      </c>
      <c r="J635" s="4">
        <v>120</v>
      </c>
      <c r="K635" t="s">
        <v>21</v>
      </c>
      <c r="L635" t="s">
        <v>25</v>
      </c>
      <c r="N635" t="s">
        <v>27</v>
      </c>
      <c r="O635" s="4">
        <v>2</v>
      </c>
      <c r="P635" s="5">
        <v>0</v>
      </c>
    </row>
    <row r="636" spans="1:16" x14ac:dyDescent="0.3">
      <c r="A636" s="4">
        <v>635</v>
      </c>
      <c r="B636" s="4">
        <v>52</v>
      </c>
      <c r="C636" t="s">
        <v>16</v>
      </c>
      <c r="D636" t="s">
        <v>35</v>
      </c>
      <c r="E636" t="s">
        <v>24</v>
      </c>
      <c r="F636" s="4">
        <v>135</v>
      </c>
      <c r="G636" s="4">
        <v>0</v>
      </c>
      <c r="H636" t="s">
        <v>32</v>
      </c>
      <c r="I636" t="s">
        <v>26</v>
      </c>
      <c r="J636" s="4">
        <v>128</v>
      </c>
      <c r="K636" t="s">
        <v>19</v>
      </c>
      <c r="L636" t="s">
        <v>25</v>
      </c>
      <c r="N636" t="s">
        <v>27</v>
      </c>
      <c r="O636" s="4">
        <v>2</v>
      </c>
      <c r="P636" s="5">
        <v>2</v>
      </c>
    </row>
    <row r="637" spans="1:16" x14ac:dyDescent="0.3">
      <c r="A637" s="4">
        <v>636</v>
      </c>
      <c r="B637" s="4">
        <v>52</v>
      </c>
      <c r="C637" t="s">
        <v>16</v>
      </c>
      <c r="D637" t="s">
        <v>35</v>
      </c>
      <c r="E637" t="s">
        <v>24</v>
      </c>
      <c r="F637" s="4">
        <v>165</v>
      </c>
      <c r="G637" s="4">
        <v>0</v>
      </c>
      <c r="H637" t="s">
        <v>32</v>
      </c>
      <c r="I637" t="s">
        <v>26</v>
      </c>
      <c r="J637" s="4">
        <v>122</v>
      </c>
      <c r="K637" t="s">
        <v>19</v>
      </c>
      <c r="L637" t="s">
        <v>31</v>
      </c>
      <c r="N637" t="s">
        <v>27</v>
      </c>
      <c r="O637" s="4">
        <v>2</v>
      </c>
      <c r="P637" s="5">
        <v>1</v>
      </c>
    </row>
    <row r="638" spans="1:16" x14ac:dyDescent="0.3">
      <c r="A638" s="4">
        <v>637</v>
      </c>
      <c r="B638" s="4">
        <v>52</v>
      </c>
      <c r="C638" t="s">
        <v>16</v>
      </c>
      <c r="D638" t="s">
        <v>35</v>
      </c>
      <c r="E638" t="s">
        <v>24</v>
      </c>
      <c r="F638" s="4">
        <v>95</v>
      </c>
      <c r="G638" s="4">
        <v>0</v>
      </c>
      <c r="H638" t="s">
        <v>32</v>
      </c>
      <c r="I638" t="s">
        <v>26</v>
      </c>
      <c r="J638" s="4">
        <v>82</v>
      </c>
      <c r="K638" t="s">
        <v>19</v>
      </c>
      <c r="L638" t="s">
        <v>32</v>
      </c>
      <c r="N638" t="s">
        <v>32</v>
      </c>
      <c r="O638" s="4">
        <v>2</v>
      </c>
    </row>
    <row r="639" spans="1:16" x14ac:dyDescent="0.3">
      <c r="A639" s="4">
        <v>638</v>
      </c>
      <c r="B639" s="4">
        <v>53</v>
      </c>
      <c r="C639" t="s">
        <v>16</v>
      </c>
      <c r="D639" t="s">
        <v>35</v>
      </c>
      <c r="E639" t="s">
        <v>30</v>
      </c>
      <c r="F639" s="4">
        <v>120</v>
      </c>
      <c r="G639" s="4">
        <v>0</v>
      </c>
      <c r="H639" t="s">
        <v>21</v>
      </c>
      <c r="I639" t="s">
        <v>26</v>
      </c>
      <c r="J639" s="4">
        <v>95</v>
      </c>
      <c r="K639" t="s">
        <v>21</v>
      </c>
      <c r="L639" t="s">
        <v>25</v>
      </c>
      <c r="N639" t="s">
        <v>26</v>
      </c>
      <c r="O639" s="4">
        <v>3</v>
      </c>
      <c r="P639" s="5">
        <v>0</v>
      </c>
    </row>
    <row r="640" spans="1:16" x14ac:dyDescent="0.3">
      <c r="A640" s="4">
        <v>639</v>
      </c>
      <c r="B640" s="4">
        <v>53</v>
      </c>
      <c r="C640" t="s">
        <v>16</v>
      </c>
      <c r="D640" t="s">
        <v>35</v>
      </c>
      <c r="E640" t="s">
        <v>30</v>
      </c>
      <c r="F640" s="4">
        <v>130</v>
      </c>
      <c r="G640" s="4">
        <v>0</v>
      </c>
      <c r="H640" t="s">
        <v>32</v>
      </c>
      <c r="I640" t="s">
        <v>33</v>
      </c>
      <c r="J640" s="4">
        <v>120</v>
      </c>
      <c r="K640" t="s">
        <v>21</v>
      </c>
      <c r="L640" t="s">
        <v>22</v>
      </c>
      <c r="N640" t="s">
        <v>32</v>
      </c>
      <c r="O640" s="4">
        <v>0</v>
      </c>
      <c r="P640" s="5">
        <v>0.7</v>
      </c>
    </row>
    <row r="641" spans="1:16" x14ac:dyDescent="0.3">
      <c r="A641" s="4">
        <v>640</v>
      </c>
      <c r="B641" s="4">
        <v>53</v>
      </c>
      <c r="C641" t="s">
        <v>16</v>
      </c>
      <c r="D641" t="s">
        <v>35</v>
      </c>
      <c r="E641" t="s">
        <v>28</v>
      </c>
      <c r="F641" s="4">
        <v>105</v>
      </c>
      <c r="G641" s="4">
        <v>0</v>
      </c>
      <c r="H641" t="s">
        <v>21</v>
      </c>
      <c r="I641" t="s">
        <v>26</v>
      </c>
      <c r="J641" s="4">
        <v>115</v>
      </c>
      <c r="K641" t="s">
        <v>21</v>
      </c>
      <c r="L641" t="s">
        <v>25</v>
      </c>
      <c r="N641" t="s">
        <v>27</v>
      </c>
      <c r="O641" s="4">
        <v>1</v>
      </c>
      <c r="P641" s="5">
        <v>0</v>
      </c>
    </row>
    <row r="642" spans="1:16" x14ac:dyDescent="0.3">
      <c r="A642" s="4">
        <v>641</v>
      </c>
      <c r="B642" s="4">
        <v>53</v>
      </c>
      <c r="C642" t="s">
        <v>16</v>
      </c>
      <c r="D642" t="s">
        <v>35</v>
      </c>
      <c r="E642" t="s">
        <v>28</v>
      </c>
      <c r="F642" s="4">
        <v>160</v>
      </c>
      <c r="G642" s="4">
        <v>0</v>
      </c>
      <c r="H642" t="s">
        <v>32</v>
      </c>
      <c r="I642" t="s">
        <v>20</v>
      </c>
      <c r="J642" s="4">
        <v>122</v>
      </c>
      <c r="K642" t="s">
        <v>19</v>
      </c>
      <c r="L642" t="s">
        <v>32</v>
      </c>
      <c r="N642" t="s">
        <v>27</v>
      </c>
      <c r="O642" s="4">
        <v>1</v>
      </c>
      <c r="P642" s="5">
        <v>0</v>
      </c>
    </row>
    <row r="643" spans="1:16" x14ac:dyDescent="0.3">
      <c r="A643" s="4">
        <v>642</v>
      </c>
      <c r="B643" s="4">
        <v>53</v>
      </c>
      <c r="C643" t="s">
        <v>16</v>
      </c>
      <c r="D643" t="s">
        <v>35</v>
      </c>
      <c r="E643" t="s">
        <v>24</v>
      </c>
      <c r="F643" s="4">
        <v>120</v>
      </c>
      <c r="G643" s="4">
        <v>0</v>
      </c>
      <c r="H643" t="s">
        <v>32</v>
      </c>
      <c r="I643" t="s">
        <v>26</v>
      </c>
      <c r="J643" s="4">
        <v>120</v>
      </c>
      <c r="K643" t="s">
        <v>21</v>
      </c>
      <c r="L643" t="s">
        <v>25</v>
      </c>
      <c r="N643" t="s">
        <v>27</v>
      </c>
      <c r="O643" s="4">
        <v>1</v>
      </c>
      <c r="P643" s="5">
        <v>0</v>
      </c>
    </row>
    <row r="644" spans="1:16" x14ac:dyDescent="0.3">
      <c r="A644" s="4">
        <v>643</v>
      </c>
      <c r="B644" s="4">
        <v>53</v>
      </c>
      <c r="C644" t="s">
        <v>16</v>
      </c>
      <c r="D644" t="s">
        <v>35</v>
      </c>
      <c r="E644" t="s">
        <v>24</v>
      </c>
      <c r="F644" s="4">
        <v>125</v>
      </c>
      <c r="G644" s="4">
        <v>0</v>
      </c>
      <c r="H644" t="s">
        <v>32</v>
      </c>
      <c r="I644" t="s">
        <v>26</v>
      </c>
      <c r="J644" s="4">
        <v>120</v>
      </c>
      <c r="K644" t="s">
        <v>21</v>
      </c>
      <c r="L644" t="s">
        <v>31</v>
      </c>
      <c r="N644" t="s">
        <v>32</v>
      </c>
      <c r="O644" s="4">
        <v>4</v>
      </c>
      <c r="P644" s="5">
        <v>0.5</v>
      </c>
    </row>
    <row r="645" spans="1:16" x14ac:dyDescent="0.3">
      <c r="A645" s="4">
        <v>644</v>
      </c>
      <c r="B645" s="4">
        <v>53</v>
      </c>
      <c r="C645" t="s">
        <v>16</v>
      </c>
      <c r="D645" t="s">
        <v>35</v>
      </c>
      <c r="E645" t="s">
        <v>24</v>
      </c>
      <c r="F645" s="4">
        <v>130</v>
      </c>
      <c r="G645" s="4">
        <v>0</v>
      </c>
      <c r="H645" t="s">
        <v>21</v>
      </c>
      <c r="I645" t="s">
        <v>20</v>
      </c>
      <c r="J645" s="4">
        <v>135</v>
      </c>
      <c r="K645" t="s">
        <v>19</v>
      </c>
      <c r="L645" t="s">
        <v>25</v>
      </c>
      <c r="N645" t="s">
        <v>27</v>
      </c>
      <c r="O645" s="4">
        <v>2</v>
      </c>
      <c r="P645" s="5">
        <v>1</v>
      </c>
    </row>
    <row r="646" spans="1:16" x14ac:dyDescent="0.3">
      <c r="A646" s="4">
        <v>645</v>
      </c>
      <c r="B646" s="4">
        <v>53</v>
      </c>
      <c r="C646" t="s">
        <v>16</v>
      </c>
      <c r="D646" t="s">
        <v>35</v>
      </c>
      <c r="E646" t="s">
        <v>24</v>
      </c>
      <c r="F646" s="4">
        <v>80</v>
      </c>
      <c r="G646" s="4">
        <v>0</v>
      </c>
      <c r="H646" t="s">
        <v>32</v>
      </c>
      <c r="I646" t="s">
        <v>26</v>
      </c>
      <c r="J646" s="4">
        <v>141</v>
      </c>
      <c r="K646" t="s">
        <v>19</v>
      </c>
      <c r="L646" t="s">
        <v>22</v>
      </c>
      <c r="N646" t="s">
        <v>32</v>
      </c>
      <c r="O646" s="4">
        <v>0</v>
      </c>
      <c r="P646" s="5">
        <v>2</v>
      </c>
    </row>
    <row r="647" spans="1:16" x14ac:dyDescent="0.3">
      <c r="A647" s="4">
        <v>646</v>
      </c>
      <c r="B647" s="4">
        <v>54</v>
      </c>
      <c r="C647" t="s">
        <v>16</v>
      </c>
      <c r="D647" t="s">
        <v>35</v>
      </c>
      <c r="E647" t="s">
        <v>24</v>
      </c>
      <c r="F647" s="4">
        <v>120</v>
      </c>
      <c r="G647" s="4">
        <v>0</v>
      </c>
      <c r="H647" t="s">
        <v>21</v>
      </c>
      <c r="I647" t="s">
        <v>26</v>
      </c>
      <c r="J647" s="4">
        <v>155</v>
      </c>
      <c r="K647" t="s">
        <v>21</v>
      </c>
      <c r="L647" t="s">
        <v>25</v>
      </c>
      <c r="N647" t="s">
        <v>27</v>
      </c>
      <c r="O647" s="4">
        <v>2</v>
      </c>
      <c r="P647" s="5">
        <v>0</v>
      </c>
    </row>
    <row r="648" spans="1:16" x14ac:dyDescent="0.3">
      <c r="A648" s="4">
        <v>647</v>
      </c>
      <c r="B648" s="4">
        <v>54</v>
      </c>
      <c r="C648" t="s">
        <v>16</v>
      </c>
      <c r="D648" t="s">
        <v>35</v>
      </c>
      <c r="E648" t="s">
        <v>24</v>
      </c>
      <c r="F648" s="4">
        <v>130</v>
      </c>
      <c r="G648" s="4">
        <v>0</v>
      </c>
      <c r="H648" t="s">
        <v>32</v>
      </c>
      <c r="I648" t="s">
        <v>26</v>
      </c>
      <c r="J648" s="4">
        <v>110</v>
      </c>
      <c r="K648" t="s">
        <v>19</v>
      </c>
      <c r="L648" t="s">
        <v>25</v>
      </c>
      <c r="N648" t="s">
        <v>27</v>
      </c>
      <c r="O648" s="4">
        <v>3</v>
      </c>
      <c r="P648" s="5">
        <v>3</v>
      </c>
    </row>
    <row r="649" spans="1:16" x14ac:dyDescent="0.3">
      <c r="A649" s="4">
        <v>648</v>
      </c>
      <c r="B649" s="4">
        <v>54</v>
      </c>
      <c r="C649" t="s">
        <v>16</v>
      </c>
      <c r="D649" t="s">
        <v>35</v>
      </c>
      <c r="E649" t="s">
        <v>24</v>
      </c>
      <c r="F649" s="4">
        <v>180</v>
      </c>
      <c r="G649" s="4">
        <v>0</v>
      </c>
      <c r="H649" t="s">
        <v>32</v>
      </c>
      <c r="I649" t="s">
        <v>26</v>
      </c>
      <c r="J649" s="4">
        <v>150</v>
      </c>
      <c r="K649" t="s">
        <v>21</v>
      </c>
      <c r="L649" t="s">
        <v>25</v>
      </c>
      <c r="N649" t="s">
        <v>27</v>
      </c>
      <c r="O649" s="4">
        <v>1</v>
      </c>
      <c r="P649" s="5">
        <v>0.5</v>
      </c>
    </row>
    <row r="650" spans="1:16" x14ac:dyDescent="0.3">
      <c r="A650" s="4">
        <v>649</v>
      </c>
      <c r="B650" s="4">
        <v>55</v>
      </c>
      <c r="C650" t="s">
        <v>16</v>
      </c>
      <c r="D650" t="s">
        <v>35</v>
      </c>
      <c r="E650" t="s">
        <v>30</v>
      </c>
      <c r="F650" s="4">
        <v>140</v>
      </c>
      <c r="G650" s="4">
        <v>0</v>
      </c>
      <c r="H650" t="s">
        <v>32</v>
      </c>
      <c r="I650" t="s">
        <v>33</v>
      </c>
      <c r="J650" s="4">
        <v>150</v>
      </c>
      <c r="K650" t="s">
        <v>21</v>
      </c>
      <c r="L650" t="s">
        <v>31</v>
      </c>
      <c r="N650" t="s">
        <v>32</v>
      </c>
      <c r="O650" s="4">
        <v>0</v>
      </c>
      <c r="P650" s="5">
        <v>0.2</v>
      </c>
    </row>
    <row r="651" spans="1:16" x14ac:dyDescent="0.3">
      <c r="A651" s="4">
        <v>650</v>
      </c>
      <c r="B651" s="4">
        <v>55</v>
      </c>
      <c r="C651" t="s">
        <v>16</v>
      </c>
      <c r="D651" t="s">
        <v>35</v>
      </c>
      <c r="E651" t="s">
        <v>24</v>
      </c>
      <c r="F651" s="4">
        <v>115</v>
      </c>
      <c r="G651" s="4">
        <v>0</v>
      </c>
      <c r="H651" t="s">
        <v>32</v>
      </c>
      <c r="I651" t="s">
        <v>26</v>
      </c>
      <c r="J651" s="4">
        <v>155</v>
      </c>
      <c r="K651" t="s">
        <v>21</v>
      </c>
      <c r="L651" t="s">
        <v>25</v>
      </c>
      <c r="N651" t="s">
        <v>32</v>
      </c>
      <c r="O651" s="4">
        <v>1</v>
      </c>
      <c r="P651" s="5">
        <v>0.1</v>
      </c>
    </row>
    <row r="652" spans="1:16" x14ac:dyDescent="0.3">
      <c r="A652" s="4">
        <v>651</v>
      </c>
      <c r="B652" s="4">
        <v>55</v>
      </c>
      <c r="C652" t="s">
        <v>16</v>
      </c>
      <c r="D652" t="s">
        <v>35</v>
      </c>
      <c r="E652" t="s">
        <v>24</v>
      </c>
      <c r="F652" s="4">
        <v>120</v>
      </c>
      <c r="G652" s="4">
        <v>0</v>
      </c>
      <c r="H652" t="s">
        <v>21</v>
      </c>
      <c r="I652" t="s">
        <v>33</v>
      </c>
      <c r="J652" s="4">
        <v>92</v>
      </c>
      <c r="K652" t="s">
        <v>21</v>
      </c>
      <c r="L652" t="s">
        <v>31</v>
      </c>
      <c r="N652" t="s">
        <v>27</v>
      </c>
      <c r="O652" s="4">
        <v>4</v>
      </c>
      <c r="P652" s="5">
        <v>0.3</v>
      </c>
    </row>
    <row r="653" spans="1:16" x14ac:dyDescent="0.3">
      <c r="A653" s="4">
        <v>652</v>
      </c>
      <c r="B653" s="4">
        <v>55</v>
      </c>
      <c r="C653" t="s">
        <v>16</v>
      </c>
      <c r="D653" t="s">
        <v>35</v>
      </c>
      <c r="E653" t="s">
        <v>24</v>
      </c>
      <c r="F653" s="4">
        <v>140</v>
      </c>
      <c r="G653" s="4">
        <v>0</v>
      </c>
      <c r="H653" t="s">
        <v>21</v>
      </c>
      <c r="I653" t="s">
        <v>26</v>
      </c>
      <c r="J653" s="4">
        <v>83</v>
      </c>
      <c r="K653" t="s">
        <v>21</v>
      </c>
      <c r="L653" t="s">
        <v>25</v>
      </c>
      <c r="N653" t="s">
        <v>27</v>
      </c>
      <c r="O653" s="4">
        <v>2</v>
      </c>
      <c r="P653" s="5">
        <v>0</v>
      </c>
    </row>
    <row r="654" spans="1:16" x14ac:dyDescent="0.3">
      <c r="A654" s="4">
        <v>653</v>
      </c>
      <c r="B654" s="4">
        <v>56</v>
      </c>
      <c r="C654" t="s">
        <v>16</v>
      </c>
      <c r="D654" t="s">
        <v>35</v>
      </c>
      <c r="E654" t="s">
        <v>28</v>
      </c>
      <c r="F654" s="4">
        <v>120</v>
      </c>
      <c r="G654" s="4">
        <v>0</v>
      </c>
      <c r="H654" t="s">
        <v>21</v>
      </c>
      <c r="I654" t="s">
        <v>26</v>
      </c>
      <c r="J654" s="4">
        <v>97</v>
      </c>
      <c r="K654" t="s">
        <v>21</v>
      </c>
      <c r="L654" t="s">
        <v>25</v>
      </c>
      <c r="N654" t="s">
        <v>27</v>
      </c>
      <c r="O654" s="4">
        <v>0</v>
      </c>
      <c r="P654" s="5">
        <v>0</v>
      </c>
    </row>
    <row r="655" spans="1:16" x14ac:dyDescent="0.3">
      <c r="A655" s="4">
        <v>654</v>
      </c>
      <c r="B655" s="4">
        <v>56</v>
      </c>
      <c r="C655" t="s">
        <v>16</v>
      </c>
      <c r="D655" t="s">
        <v>35</v>
      </c>
      <c r="E655" t="s">
        <v>28</v>
      </c>
      <c r="F655" s="4">
        <v>125</v>
      </c>
      <c r="G655" s="4">
        <v>0</v>
      </c>
      <c r="H655" t="s">
        <v>32</v>
      </c>
      <c r="I655" t="s">
        <v>26</v>
      </c>
      <c r="J655" s="4">
        <v>98</v>
      </c>
      <c r="K655" t="s">
        <v>21</v>
      </c>
      <c r="L655" t="s">
        <v>25</v>
      </c>
      <c r="N655" t="s">
        <v>27</v>
      </c>
      <c r="O655" s="4">
        <v>2</v>
      </c>
      <c r="P655" s="5">
        <v>-2</v>
      </c>
    </row>
    <row r="656" spans="1:16" x14ac:dyDescent="0.3">
      <c r="A656" s="4">
        <v>655</v>
      </c>
      <c r="B656" s="4">
        <v>56</v>
      </c>
      <c r="C656" t="s">
        <v>16</v>
      </c>
      <c r="D656" t="s">
        <v>35</v>
      </c>
      <c r="E656" t="s">
        <v>28</v>
      </c>
      <c r="F656" s="4">
        <v>155</v>
      </c>
      <c r="G656" s="4">
        <v>0</v>
      </c>
      <c r="H656" t="s">
        <v>21</v>
      </c>
      <c r="I656" t="s">
        <v>33</v>
      </c>
      <c r="J656" s="4">
        <v>99</v>
      </c>
      <c r="K656" t="s">
        <v>21</v>
      </c>
      <c r="L656" t="s">
        <v>25</v>
      </c>
      <c r="N656" t="s">
        <v>26</v>
      </c>
      <c r="O656" s="4">
        <v>2</v>
      </c>
      <c r="P656" s="5">
        <v>0</v>
      </c>
    </row>
    <row r="657" spans="1:16" x14ac:dyDescent="0.3">
      <c r="A657" s="4">
        <v>656</v>
      </c>
      <c r="B657" s="4">
        <v>56</v>
      </c>
      <c r="C657" t="s">
        <v>16</v>
      </c>
      <c r="D657" t="s">
        <v>35</v>
      </c>
      <c r="E657" t="s">
        <v>24</v>
      </c>
      <c r="F657" s="4">
        <v>115</v>
      </c>
      <c r="G657" s="4">
        <v>0</v>
      </c>
      <c r="H657" t="s">
        <v>32</v>
      </c>
      <c r="I657" t="s">
        <v>33</v>
      </c>
      <c r="J657" s="4">
        <v>82</v>
      </c>
      <c r="K657" t="s">
        <v>21</v>
      </c>
      <c r="L657" t="s">
        <v>31</v>
      </c>
      <c r="N657" t="s">
        <v>32</v>
      </c>
      <c r="O657" s="4">
        <v>1</v>
      </c>
      <c r="P657" s="5">
        <v>-1</v>
      </c>
    </row>
    <row r="658" spans="1:16" x14ac:dyDescent="0.3">
      <c r="A658" s="4">
        <v>657</v>
      </c>
      <c r="B658" s="4">
        <v>56</v>
      </c>
      <c r="C658" t="s">
        <v>16</v>
      </c>
      <c r="D658" t="s">
        <v>35</v>
      </c>
      <c r="E658" t="s">
        <v>24</v>
      </c>
      <c r="F658" s="4">
        <v>120</v>
      </c>
      <c r="G658" s="4">
        <v>0</v>
      </c>
      <c r="H658" t="s">
        <v>21</v>
      </c>
      <c r="I658" t="s">
        <v>33</v>
      </c>
      <c r="J658" s="4">
        <v>100</v>
      </c>
      <c r="K658" t="s">
        <v>19</v>
      </c>
      <c r="L658" t="s">
        <v>22</v>
      </c>
      <c r="N658" t="s">
        <v>27</v>
      </c>
      <c r="O658" s="4">
        <v>2</v>
      </c>
      <c r="P658" s="5">
        <v>-1</v>
      </c>
    </row>
    <row r="659" spans="1:16" x14ac:dyDescent="0.3">
      <c r="A659" s="4">
        <v>658</v>
      </c>
      <c r="B659" s="4">
        <v>56</v>
      </c>
      <c r="C659" t="s">
        <v>16</v>
      </c>
      <c r="D659" t="s">
        <v>35</v>
      </c>
      <c r="E659" t="s">
        <v>24</v>
      </c>
      <c r="F659" s="4">
        <v>120</v>
      </c>
      <c r="G659" s="4">
        <v>0</v>
      </c>
      <c r="H659" t="s">
        <v>21</v>
      </c>
      <c r="I659" t="s">
        <v>33</v>
      </c>
      <c r="J659" s="4">
        <v>148</v>
      </c>
      <c r="K659" t="s">
        <v>21</v>
      </c>
      <c r="L659" t="s">
        <v>25</v>
      </c>
      <c r="N659" t="s">
        <v>32</v>
      </c>
      <c r="O659" s="4">
        <v>2</v>
      </c>
      <c r="P659" s="5">
        <v>0</v>
      </c>
    </row>
    <row r="660" spans="1:16" x14ac:dyDescent="0.3">
      <c r="A660" s="4">
        <v>659</v>
      </c>
      <c r="B660" s="4">
        <v>56</v>
      </c>
      <c r="C660" t="s">
        <v>16</v>
      </c>
      <c r="D660" t="s">
        <v>35</v>
      </c>
      <c r="E660" t="s">
        <v>24</v>
      </c>
      <c r="F660" s="4">
        <v>125</v>
      </c>
      <c r="G660" s="4">
        <v>0</v>
      </c>
      <c r="H660" t="s">
        <v>19</v>
      </c>
      <c r="I660" t="s">
        <v>26</v>
      </c>
      <c r="J660" s="4">
        <v>103</v>
      </c>
      <c r="K660" t="s">
        <v>19</v>
      </c>
      <c r="L660" t="s">
        <v>25</v>
      </c>
      <c r="N660" t="s">
        <v>27</v>
      </c>
      <c r="O660" s="4">
        <v>3</v>
      </c>
      <c r="P660" s="5">
        <v>1</v>
      </c>
    </row>
    <row r="661" spans="1:16" x14ac:dyDescent="0.3">
      <c r="A661" s="4">
        <v>660</v>
      </c>
      <c r="B661" s="4">
        <v>56</v>
      </c>
      <c r="C661" t="s">
        <v>16</v>
      </c>
      <c r="D661" t="s">
        <v>35</v>
      </c>
      <c r="E661" t="s">
        <v>24</v>
      </c>
      <c r="F661" s="4">
        <v>140</v>
      </c>
      <c r="G661" s="4">
        <v>0</v>
      </c>
      <c r="H661" t="s">
        <v>32</v>
      </c>
      <c r="I661" t="s">
        <v>26</v>
      </c>
      <c r="J661" s="4">
        <v>121</v>
      </c>
      <c r="K661" t="s">
        <v>19</v>
      </c>
      <c r="L661" t="s">
        <v>31</v>
      </c>
      <c r="N661" t="s">
        <v>32</v>
      </c>
      <c r="O661" s="4">
        <v>1</v>
      </c>
      <c r="P661" s="5">
        <v>0.8</v>
      </c>
    </row>
    <row r="662" spans="1:16" x14ac:dyDescent="0.3">
      <c r="A662" s="4">
        <v>661</v>
      </c>
      <c r="B662" s="4">
        <v>57</v>
      </c>
      <c r="C662" t="s">
        <v>16</v>
      </c>
      <c r="D662" t="s">
        <v>35</v>
      </c>
      <c r="E662" t="s">
        <v>28</v>
      </c>
      <c r="F662" s="4">
        <v>105</v>
      </c>
      <c r="G662" s="4">
        <v>0</v>
      </c>
      <c r="H662" t="s">
        <v>32</v>
      </c>
      <c r="I662" t="s">
        <v>26</v>
      </c>
      <c r="J662" s="4">
        <v>148</v>
      </c>
      <c r="K662" t="s">
        <v>21</v>
      </c>
      <c r="L662" t="s">
        <v>25</v>
      </c>
      <c r="N662" t="s">
        <v>32</v>
      </c>
      <c r="O662" s="4">
        <v>1</v>
      </c>
      <c r="P662" s="5">
        <v>0.3</v>
      </c>
    </row>
    <row r="663" spans="1:16" x14ac:dyDescent="0.3">
      <c r="A663" s="4">
        <v>662</v>
      </c>
      <c r="B663" s="4">
        <v>57</v>
      </c>
      <c r="C663" t="s">
        <v>16</v>
      </c>
      <c r="D663" t="s">
        <v>35</v>
      </c>
      <c r="E663" t="s">
        <v>24</v>
      </c>
      <c r="F663" s="4">
        <v>110</v>
      </c>
      <c r="G663" s="4">
        <v>0</v>
      </c>
      <c r="H663" t="s">
        <v>32</v>
      </c>
      <c r="I663" t="s">
        <v>33</v>
      </c>
      <c r="J663" s="4">
        <v>131</v>
      </c>
      <c r="K663" t="s">
        <v>19</v>
      </c>
      <c r="L663" t="s">
        <v>31</v>
      </c>
      <c r="M663" s="4">
        <v>1</v>
      </c>
      <c r="N663" t="s">
        <v>32</v>
      </c>
      <c r="O663" s="4">
        <v>3</v>
      </c>
      <c r="P663" s="5">
        <v>0.4</v>
      </c>
    </row>
    <row r="664" spans="1:16" x14ac:dyDescent="0.3">
      <c r="A664" s="4">
        <v>663</v>
      </c>
      <c r="B664" s="4">
        <v>57</v>
      </c>
      <c r="C664" t="s">
        <v>16</v>
      </c>
      <c r="D664" t="s">
        <v>35</v>
      </c>
      <c r="E664" t="s">
        <v>24</v>
      </c>
      <c r="F664" s="4">
        <v>140</v>
      </c>
      <c r="G664" s="4">
        <v>0</v>
      </c>
      <c r="H664" t="s">
        <v>21</v>
      </c>
      <c r="I664" t="s">
        <v>26</v>
      </c>
      <c r="J664" s="4">
        <v>120</v>
      </c>
      <c r="K664" t="s">
        <v>19</v>
      </c>
      <c r="L664" t="s">
        <v>25</v>
      </c>
      <c r="N664" t="s">
        <v>23</v>
      </c>
      <c r="O664" s="4">
        <v>2</v>
      </c>
      <c r="P664" s="5">
        <v>2</v>
      </c>
    </row>
    <row r="665" spans="1:16" x14ac:dyDescent="0.3">
      <c r="A665" s="4">
        <v>664</v>
      </c>
      <c r="B665" s="4">
        <v>57</v>
      </c>
      <c r="C665" t="s">
        <v>16</v>
      </c>
      <c r="D665" t="s">
        <v>35</v>
      </c>
      <c r="E665" t="s">
        <v>24</v>
      </c>
      <c r="F665" s="4">
        <v>140</v>
      </c>
      <c r="G665" s="4">
        <v>0</v>
      </c>
      <c r="H665" t="s">
        <v>32</v>
      </c>
      <c r="I665" t="s">
        <v>26</v>
      </c>
      <c r="J665" s="4">
        <v>100</v>
      </c>
      <c r="K665" t="s">
        <v>19</v>
      </c>
      <c r="L665" t="s">
        <v>32</v>
      </c>
      <c r="N665" t="s">
        <v>23</v>
      </c>
      <c r="O665" s="4">
        <v>3</v>
      </c>
      <c r="P665" s="5">
        <v>0</v>
      </c>
    </row>
    <row r="666" spans="1:16" x14ac:dyDescent="0.3">
      <c r="A666" s="4">
        <v>665</v>
      </c>
      <c r="B666" s="4">
        <v>57</v>
      </c>
      <c r="C666" t="s">
        <v>16</v>
      </c>
      <c r="D666" t="s">
        <v>35</v>
      </c>
      <c r="E666" t="s">
        <v>24</v>
      </c>
      <c r="F666" s="4">
        <v>160</v>
      </c>
      <c r="G666" s="4">
        <v>0</v>
      </c>
      <c r="H666" t="s">
        <v>32</v>
      </c>
      <c r="I666" t="s">
        <v>26</v>
      </c>
      <c r="J666" s="4">
        <v>98</v>
      </c>
      <c r="K666" t="s">
        <v>19</v>
      </c>
      <c r="L666" t="s">
        <v>25</v>
      </c>
      <c r="N666" t="s">
        <v>27</v>
      </c>
      <c r="O666" s="4">
        <v>2</v>
      </c>
      <c r="P666" s="5">
        <v>2</v>
      </c>
    </row>
    <row r="667" spans="1:16" x14ac:dyDescent="0.3">
      <c r="A667" s="4">
        <v>666</v>
      </c>
      <c r="B667" s="4">
        <v>57</v>
      </c>
      <c r="C667" t="s">
        <v>16</v>
      </c>
      <c r="D667" t="s">
        <v>35</v>
      </c>
      <c r="E667" t="s">
        <v>24</v>
      </c>
      <c r="F667" s="4">
        <v>95</v>
      </c>
      <c r="G667" s="4">
        <v>0</v>
      </c>
      <c r="H667" t="s">
        <v>32</v>
      </c>
      <c r="I667" t="s">
        <v>26</v>
      </c>
      <c r="J667" s="4">
        <v>182</v>
      </c>
      <c r="K667" t="s">
        <v>21</v>
      </c>
      <c r="L667" t="s">
        <v>22</v>
      </c>
      <c r="N667" t="s">
        <v>32</v>
      </c>
      <c r="O667" s="4">
        <v>1</v>
      </c>
      <c r="P667" s="5">
        <v>0.7</v>
      </c>
    </row>
    <row r="668" spans="1:16" x14ac:dyDescent="0.3">
      <c r="A668" s="4">
        <v>667</v>
      </c>
      <c r="B668" s="4">
        <v>58</v>
      </c>
      <c r="C668" t="s">
        <v>16</v>
      </c>
      <c r="D668" t="s">
        <v>35</v>
      </c>
      <c r="E668" t="s">
        <v>24</v>
      </c>
      <c r="F668" s="4">
        <v>115</v>
      </c>
      <c r="G668" s="4">
        <v>0</v>
      </c>
      <c r="H668" t="s">
        <v>32</v>
      </c>
      <c r="I668" t="s">
        <v>26</v>
      </c>
      <c r="J668" s="4">
        <v>138</v>
      </c>
      <c r="K668" t="s">
        <v>21</v>
      </c>
      <c r="L668" t="s">
        <v>31</v>
      </c>
      <c r="N668" t="s">
        <v>32</v>
      </c>
      <c r="O668" s="4">
        <v>1</v>
      </c>
      <c r="P668" s="5">
        <v>0.5</v>
      </c>
    </row>
    <row r="669" spans="1:16" x14ac:dyDescent="0.3">
      <c r="A669" s="4">
        <v>668</v>
      </c>
      <c r="B669" s="4">
        <v>58</v>
      </c>
      <c r="C669" t="s">
        <v>16</v>
      </c>
      <c r="D669" t="s">
        <v>35</v>
      </c>
      <c r="E669" t="s">
        <v>24</v>
      </c>
      <c r="F669" s="4">
        <v>130</v>
      </c>
      <c r="G669" s="4">
        <v>0</v>
      </c>
      <c r="H669" t="s">
        <v>21</v>
      </c>
      <c r="I669" t="s">
        <v>33</v>
      </c>
      <c r="J669" s="4">
        <v>100</v>
      </c>
      <c r="K669" t="s">
        <v>19</v>
      </c>
      <c r="L669" t="s">
        <v>25</v>
      </c>
      <c r="N669" t="s">
        <v>23</v>
      </c>
      <c r="O669" s="4">
        <v>4</v>
      </c>
      <c r="P669" s="5">
        <v>1</v>
      </c>
    </row>
    <row r="670" spans="1:16" x14ac:dyDescent="0.3">
      <c r="A670" s="4">
        <v>669</v>
      </c>
      <c r="B670" s="4">
        <v>58</v>
      </c>
      <c r="C670" t="s">
        <v>16</v>
      </c>
      <c r="D670" t="s">
        <v>35</v>
      </c>
      <c r="E670" t="s">
        <v>24</v>
      </c>
      <c r="F670" s="4">
        <v>170</v>
      </c>
      <c r="G670" s="4">
        <v>0</v>
      </c>
      <c r="H670" t="s">
        <v>32</v>
      </c>
      <c r="I670" t="s">
        <v>33</v>
      </c>
      <c r="J670" s="4">
        <v>105</v>
      </c>
      <c r="K670" t="s">
        <v>19</v>
      </c>
      <c r="L670" t="s">
        <v>32</v>
      </c>
      <c r="N670" t="s">
        <v>26</v>
      </c>
      <c r="O670" s="4">
        <v>1</v>
      </c>
      <c r="P670" s="5">
        <v>0</v>
      </c>
    </row>
    <row r="671" spans="1:16" x14ac:dyDescent="0.3">
      <c r="A671" s="4">
        <v>670</v>
      </c>
      <c r="B671" s="4">
        <v>59</v>
      </c>
      <c r="C671" t="s">
        <v>16</v>
      </c>
      <c r="D671" t="s">
        <v>35</v>
      </c>
      <c r="E671" t="s">
        <v>28</v>
      </c>
      <c r="F671" s="4">
        <v>125</v>
      </c>
      <c r="G671" s="4">
        <v>0</v>
      </c>
      <c r="H671" t="s">
        <v>32</v>
      </c>
      <c r="I671" t="s">
        <v>26</v>
      </c>
      <c r="J671" s="4">
        <v>175</v>
      </c>
      <c r="K671" t="s">
        <v>21</v>
      </c>
      <c r="L671" t="s">
        <v>25</v>
      </c>
      <c r="N671" t="s">
        <v>32</v>
      </c>
      <c r="O671" s="4">
        <v>1</v>
      </c>
      <c r="P671" s="5">
        <v>0.6</v>
      </c>
    </row>
    <row r="672" spans="1:16" x14ac:dyDescent="0.3">
      <c r="A672" s="4">
        <v>671</v>
      </c>
      <c r="B672" s="4">
        <v>59</v>
      </c>
      <c r="C672" t="s">
        <v>16</v>
      </c>
      <c r="D672" t="s">
        <v>35</v>
      </c>
      <c r="E672" t="s">
        <v>24</v>
      </c>
      <c r="F672" s="4">
        <v>110</v>
      </c>
      <c r="G672" s="4">
        <v>0</v>
      </c>
      <c r="H672" t="s">
        <v>32</v>
      </c>
      <c r="I672" t="s">
        <v>26</v>
      </c>
      <c r="J672" s="4">
        <v>94</v>
      </c>
      <c r="K672" t="s">
        <v>21</v>
      </c>
      <c r="L672" t="s">
        <v>32</v>
      </c>
      <c r="N672" t="s">
        <v>23</v>
      </c>
      <c r="O672" s="4">
        <v>3</v>
      </c>
      <c r="P672" s="5">
        <v>0</v>
      </c>
    </row>
    <row r="673" spans="1:16" x14ac:dyDescent="0.3">
      <c r="A673" s="4">
        <v>672</v>
      </c>
      <c r="B673" s="4">
        <v>59</v>
      </c>
      <c r="C673" t="s">
        <v>16</v>
      </c>
      <c r="D673" t="s">
        <v>35</v>
      </c>
      <c r="E673" t="s">
        <v>24</v>
      </c>
      <c r="F673" s="4">
        <v>120</v>
      </c>
      <c r="G673" s="4">
        <v>0</v>
      </c>
      <c r="H673" t="s">
        <v>21</v>
      </c>
      <c r="I673" t="s">
        <v>26</v>
      </c>
      <c r="J673" s="4">
        <v>115</v>
      </c>
      <c r="K673" t="s">
        <v>21</v>
      </c>
      <c r="L673" t="s">
        <v>25</v>
      </c>
      <c r="N673" t="s">
        <v>26</v>
      </c>
      <c r="O673" s="4">
        <v>2</v>
      </c>
      <c r="P673" s="5">
        <v>0</v>
      </c>
    </row>
    <row r="674" spans="1:16" x14ac:dyDescent="0.3">
      <c r="A674" s="4">
        <v>673</v>
      </c>
      <c r="B674" s="4">
        <v>59</v>
      </c>
      <c r="C674" t="s">
        <v>16</v>
      </c>
      <c r="D674" t="s">
        <v>35</v>
      </c>
      <c r="E674" t="s">
        <v>24</v>
      </c>
      <c r="F674" s="4">
        <v>125</v>
      </c>
      <c r="G674" s="4">
        <v>0</v>
      </c>
      <c r="H674" t="s">
        <v>32</v>
      </c>
      <c r="I674" t="s">
        <v>26</v>
      </c>
      <c r="J674" s="4">
        <v>119</v>
      </c>
      <c r="K674" t="s">
        <v>19</v>
      </c>
      <c r="L674" t="s">
        <v>31</v>
      </c>
      <c r="N674" t="s">
        <v>32</v>
      </c>
      <c r="O674" s="4">
        <v>1</v>
      </c>
      <c r="P674" s="5">
        <v>0.9</v>
      </c>
    </row>
    <row r="675" spans="1:16" x14ac:dyDescent="0.3">
      <c r="A675" s="4">
        <v>674</v>
      </c>
      <c r="B675" s="4">
        <v>59</v>
      </c>
      <c r="C675" t="s">
        <v>16</v>
      </c>
      <c r="D675" t="s">
        <v>35</v>
      </c>
      <c r="E675" t="s">
        <v>24</v>
      </c>
      <c r="F675" s="4">
        <v>135</v>
      </c>
      <c r="G675" s="4">
        <v>0</v>
      </c>
      <c r="H675" t="s">
        <v>21</v>
      </c>
      <c r="I675" t="s">
        <v>26</v>
      </c>
      <c r="J675" s="4">
        <v>115</v>
      </c>
      <c r="K675" t="s">
        <v>19</v>
      </c>
      <c r="L675" t="s">
        <v>25</v>
      </c>
      <c r="N675" t="s">
        <v>27</v>
      </c>
      <c r="O675" s="4">
        <v>1</v>
      </c>
      <c r="P675" s="5">
        <v>1</v>
      </c>
    </row>
    <row r="676" spans="1:16" x14ac:dyDescent="0.3">
      <c r="A676" s="4">
        <v>675</v>
      </c>
      <c r="B676" s="4">
        <v>60</v>
      </c>
      <c r="C676" t="s">
        <v>16</v>
      </c>
      <c r="D676" t="s">
        <v>35</v>
      </c>
      <c r="E676" t="s">
        <v>28</v>
      </c>
      <c r="F676" s="4">
        <v>115</v>
      </c>
      <c r="G676" s="4">
        <v>0</v>
      </c>
      <c r="H676" t="s">
        <v>32</v>
      </c>
      <c r="I676" t="s">
        <v>26</v>
      </c>
      <c r="J676" s="4">
        <v>143</v>
      </c>
      <c r="K676" t="s">
        <v>21</v>
      </c>
      <c r="L676" t="s">
        <v>31</v>
      </c>
      <c r="N676" t="s">
        <v>32</v>
      </c>
      <c r="O676" s="4">
        <v>1</v>
      </c>
      <c r="P676" s="5">
        <v>0.4</v>
      </c>
    </row>
    <row r="677" spans="1:16" x14ac:dyDescent="0.3">
      <c r="A677" s="4">
        <v>676</v>
      </c>
      <c r="B677" s="4">
        <v>60</v>
      </c>
      <c r="C677" t="s">
        <v>16</v>
      </c>
      <c r="D677" t="s">
        <v>35</v>
      </c>
      <c r="E677" t="s">
        <v>24</v>
      </c>
      <c r="F677" s="4">
        <v>125</v>
      </c>
      <c r="G677" s="4">
        <v>0</v>
      </c>
      <c r="H677" t="s">
        <v>32</v>
      </c>
      <c r="I677" t="s">
        <v>26</v>
      </c>
      <c r="J677" s="4">
        <v>110</v>
      </c>
      <c r="K677" t="s">
        <v>21</v>
      </c>
      <c r="L677" t="s">
        <v>31</v>
      </c>
      <c r="M677" s="4">
        <v>2</v>
      </c>
      <c r="N677" t="s">
        <v>32</v>
      </c>
      <c r="O677" s="4">
        <v>3</v>
      </c>
      <c r="P677" s="5">
        <v>0.1</v>
      </c>
    </row>
    <row r="678" spans="1:16" x14ac:dyDescent="0.3">
      <c r="A678" s="4">
        <v>677</v>
      </c>
      <c r="B678" s="4">
        <v>60</v>
      </c>
      <c r="C678" t="s">
        <v>16</v>
      </c>
      <c r="D678" t="s">
        <v>35</v>
      </c>
      <c r="E678" t="s">
        <v>24</v>
      </c>
      <c r="F678" s="4">
        <v>130</v>
      </c>
      <c r="G678" s="4">
        <v>0</v>
      </c>
      <c r="H678" t="s">
        <v>32</v>
      </c>
      <c r="I678" t="s">
        <v>33</v>
      </c>
      <c r="J678" s="4">
        <v>130</v>
      </c>
      <c r="K678" t="s">
        <v>19</v>
      </c>
      <c r="L678" t="s">
        <v>22</v>
      </c>
      <c r="M678" s="4">
        <v>1</v>
      </c>
      <c r="N678" t="s">
        <v>32</v>
      </c>
      <c r="O678" s="4">
        <v>1</v>
      </c>
      <c r="P678" s="5">
        <v>0.1</v>
      </c>
    </row>
    <row r="679" spans="1:16" x14ac:dyDescent="0.3">
      <c r="A679" s="4">
        <v>678</v>
      </c>
      <c r="B679" s="4">
        <v>60</v>
      </c>
      <c r="C679" t="s">
        <v>16</v>
      </c>
      <c r="D679" t="s">
        <v>35</v>
      </c>
      <c r="E679" t="s">
        <v>24</v>
      </c>
      <c r="F679" s="4">
        <v>135</v>
      </c>
      <c r="G679" s="4">
        <v>0</v>
      </c>
      <c r="H679" t="s">
        <v>21</v>
      </c>
      <c r="I679" t="s">
        <v>26</v>
      </c>
      <c r="J679" s="4">
        <v>63</v>
      </c>
      <c r="K679" t="s">
        <v>19</v>
      </c>
      <c r="L679" t="s">
        <v>31</v>
      </c>
      <c r="N679" t="s">
        <v>27</v>
      </c>
      <c r="O679" s="4">
        <v>3</v>
      </c>
      <c r="P679" s="5">
        <v>0.5</v>
      </c>
    </row>
    <row r="680" spans="1:16" x14ac:dyDescent="0.3">
      <c r="A680" s="4">
        <v>679</v>
      </c>
      <c r="B680" s="4">
        <v>60</v>
      </c>
      <c r="C680" t="s">
        <v>16</v>
      </c>
      <c r="D680" t="s">
        <v>35</v>
      </c>
      <c r="E680" t="s">
        <v>24</v>
      </c>
      <c r="F680" s="4">
        <v>160</v>
      </c>
      <c r="G680" s="4">
        <v>0</v>
      </c>
      <c r="H680" t="s">
        <v>21</v>
      </c>
      <c r="I680" t="s">
        <v>33</v>
      </c>
      <c r="J680" s="4">
        <v>99</v>
      </c>
      <c r="K680" t="s">
        <v>19</v>
      </c>
      <c r="L680" t="s">
        <v>25</v>
      </c>
      <c r="N680" t="s">
        <v>27</v>
      </c>
      <c r="O680" s="4">
        <v>3</v>
      </c>
      <c r="P680" s="5">
        <v>0.5</v>
      </c>
    </row>
    <row r="681" spans="1:16" x14ac:dyDescent="0.3">
      <c r="A681" s="4">
        <v>680</v>
      </c>
      <c r="B681" s="4">
        <v>60</v>
      </c>
      <c r="C681" t="s">
        <v>16</v>
      </c>
      <c r="D681" t="s">
        <v>35</v>
      </c>
      <c r="E681" t="s">
        <v>24</v>
      </c>
      <c r="F681" s="4">
        <v>160</v>
      </c>
      <c r="G681" s="4">
        <v>0</v>
      </c>
      <c r="H681" t="s">
        <v>32</v>
      </c>
      <c r="I681" t="s">
        <v>26</v>
      </c>
      <c r="J681" s="4">
        <v>149</v>
      </c>
      <c r="K681" t="s">
        <v>21</v>
      </c>
      <c r="L681" t="s">
        <v>25</v>
      </c>
      <c r="N681" t="s">
        <v>32</v>
      </c>
      <c r="O681" s="4">
        <v>1</v>
      </c>
      <c r="P681" s="5">
        <v>0.4</v>
      </c>
    </row>
    <row r="682" spans="1:16" x14ac:dyDescent="0.3">
      <c r="A682" s="4">
        <v>681</v>
      </c>
      <c r="B682" s="4">
        <v>61</v>
      </c>
      <c r="C682" t="s">
        <v>16</v>
      </c>
      <c r="D682" t="s">
        <v>35</v>
      </c>
      <c r="E682" t="s">
        <v>28</v>
      </c>
      <c r="F682" s="4">
        <v>200</v>
      </c>
      <c r="G682" s="4">
        <v>0</v>
      </c>
      <c r="H682" t="s">
        <v>32</v>
      </c>
      <c r="I682" t="s">
        <v>33</v>
      </c>
      <c r="J682" s="4">
        <v>70</v>
      </c>
      <c r="K682" t="s">
        <v>21</v>
      </c>
      <c r="L682" t="s">
        <v>32</v>
      </c>
      <c r="N682" t="s">
        <v>26</v>
      </c>
      <c r="O682" s="4">
        <v>3</v>
      </c>
      <c r="P682" s="5">
        <v>0</v>
      </c>
    </row>
    <row r="683" spans="1:16" x14ac:dyDescent="0.3">
      <c r="A683" s="4">
        <v>682</v>
      </c>
      <c r="B683" s="4">
        <v>61</v>
      </c>
      <c r="C683" t="s">
        <v>16</v>
      </c>
      <c r="D683" t="s">
        <v>35</v>
      </c>
      <c r="E683" t="s">
        <v>24</v>
      </c>
      <c r="F683" s="4">
        <v>105</v>
      </c>
      <c r="G683" s="4">
        <v>0</v>
      </c>
      <c r="H683" t="s">
        <v>32</v>
      </c>
      <c r="I683" t="s">
        <v>26</v>
      </c>
      <c r="J683" s="4">
        <v>110</v>
      </c>
      <c r="K683" t="s">
        <v>19</v>
      </c>
      <c r="L683" t="s">
        <v>31</v>
      </c>
      <c r="N683" t="s">
        <v>32</v>
      </c>
      <c r="O683" s="4">
        <v>1</v>
      </c>
      <c r="P683" s="5">
        <v>0.5</v>
      </c>
    </row>
    <row r="684" spans="1:16" x14ac:dyDescent="0.3">
      <c r="A684" s="4">
        <v>683</v>
      </c>
      <c r="B684" s="4">
        <v>61</v>
      </c>
      <c r="C684" t="s">
        <v>16</v>
      </c>
      <c r="D684" t="s">
        <v>35</v>
      </c>
      <c r="E684" t="s">
        <v>24</v>
      </c>
      <c r="F684" s="4">
        <v>110</v>
      </c>
      <c r="G684" s="4">
        <v>0</v>
      </c>
      <c r="H684" t="s">
        <v>32</v>
      </c>
      <c r="I684" t="s">
        <v>26</v>
      </c>
      <c r="J684" s="4">
        <v>113</v>
      </c>
      <c r="K684" t="s">
        <v>21</v>
      </c>
      <c r="L684" t="s">
        <v>25</v>
      </c>
      <c r="N684" t="s">
        <v>32</v>
      </c>
      <c r="O684" s="4">
        <v>1</v>
      </c>
      <c r="P684" s="5">
        <v>0.4</v>
      </c>
    </row>
    <row r="685" spans="1:16" x14ac:dyDescent="0.3">
      <c r="A685" s="4">
        <v>684</v>
      </c>
      <c r="B685" s="4">
        <v>61</v>
      </c>
      <c r="C685" t="s">
        <v>16</v>
      </c>
      <c r="D685" t="s">
        <v>35</v>
      </c>
      <c r="E685" t="s">
        <v>24</v>
      </c>
      <c r="F685" s="4">
        <v>125</v>
      </c>
      <c r="G685" s="4">
        <v>0</v>
      </c>
      <c r="H685" t="s">
        <v>21</v>
      </c>
      <c r="I685" t="s">
        <v>26</v>
      </c>
      <c r="J685" s="4">
        <v>105</v>
      </c>
      <c r="K685" t="s">
        <v>19</v>
      </c>
      <c r="L685" t="s">
        <v>22</v>
      </c>
      <c r="N685" t="s">
        <v>27</v>
      </c>
      <c r="O685" s="4">
        <v>3</v>
      </c>
      <c r="P685" s="5">
        <v>0</v>
      </c>
    </row>
    <row r="686" spans="1:16" x14ac:dyDescent="0.3">
      <c r="A686" s="4">
        <v>685</v>
      </c>
      <c r="B686" s="4">
        <v>61</v>
      </c>
      <c r="C686" t="s">
        <v>16</v>
      </c>
      <c r="D686" t="s">
        <v>35</v>
      </c>
      <c r="E686" t="s">
        <v>24</v>
      </c>
      <c r="F686" s="4">
        <v>130</v>
      </c>
      <c r="G686" s="4">
        <v>0</v>
      </c>
      <c r="H686" t="s">
        <v>21</v>
      </c>
      <c r="I686" t="s">
        <v>20</v>
      </c>
      <c r="J686" s="4">
        <v>115</v>
      </c>
      <c r="K686" t="s">
        <v>21</v>
      </c>
      <c r="L686" t="s">
        <v>25</v>
      </c>
      <c r="N686" t="s">
        <v>27</v>
      </c>
      <c r="O686" s="4">
        <v>3</v>
      </c>
      <c r="P686" s="5">
        <v>0</v>
      </c>
    </row>
    <row r="687" spans="1:16" x14ac:dyDescent="0.3">
      <c r="A687" s="4">
        <v>686</v>
      </c>
      <c r="B687" s="4">
        <v>61</v>
      </c>
      <c r="C687" t="s">
        <v>16</v>
      </c>
      <c r="D687" t="s">
        <v>35</v>
      </c>
      <c r="E687" t="s">
        <v>24</v>
      </c>
      <c r="F687" s="4">
        <v>130</v>
      </c>
      <c r="G687" s="4">
        <v>0</v>
      </c>
      <c r="H687" t="s">
        <v>32</v>
      </c>
      <c r="I687" t="s">
        <v>26</v>
      </c>
      <c r="J687" s="4">
        <v>77</v>
      </c>
      <c r="K687" t="s">
        <v>21</v>
      </c>
      <c r="L687" t="s">
        <v>25</v>
      </c>
      <c r="N687" t="s">
        <v>32</v>
      </c>
      <c r="O687" s="4">
        <v>3</v>
      </c>
      <c r="P687" s="5">
        <v>0.5</v>
      </c>
    </row>
    <row r="688" spans="1:16" x14ac:dyDescent="0.3">
      <c r="A688" s="4">
        <v>687</v>
      </c>
      <c r="B688" s="4">
        <v>61</v>
      </c>
      <c r="C688" t="s">
        <v>16</v>
      </c>
      <c r="D688" t="s">
        <v>35</v>
      </c>
      <c r="E688" t="s">
        <v>24</v>
      </c>
      <c r="F688" s="4">
        <v>150</v>
      </c>
      <c r="G688" s="4">
        <v>0</v>
      </c>
      <c r="H688" t="s">
        <v>21</v>
      </c>
      <c r="I688" t="s">
        <v>26</v>
      </c>
      <c r="J688" s="4">
        <v>105</v>
      </c>
      <c r="K688" t="s">
        <v>19</v>
      </c>
      <c r="L688" t="s">
        <v>25</v>
      </c>
      <c r="N688" t="s">
        <v>27</v>
      </c>
      <c r="O688" s="4">
        <v>1</v>
      </c>
      <c r="P688" s="5">
        <v>0</v>
      </c>
    </row>
    <row r="689" spans="1:16" x14ac:dyDescent="0.3">
      <c r="A689" s="4">
        <v>688</v>
      </c>
      <c r="B689" s="4">
        <v>61</v>
      </c>
      <c r="C689" t="s">
        <v>16</v>
      </c>
      <c r="D689" t="s">
        <v>35</v>
      </c>
      <c r="E689" t="s">
        <v>24</v>
      </c>
      <c r="F689" s="4">
        <v>150</v>
      </c>
      <c r="G689" s="4">
        <v>0</v>
      </c>
      <c r="H689" t="s">
        <v>21</v>
      </c>
      <c r="I689" t="s">
        <v>26</v>
      </c>
      <c r="J689" s="4">
        <v>117</v>
      </c>
      <c r="K689" t="s">
        <v>19</v>
      </c>
      <c r="L689" t="s">
        <v>25</v>
      </c>
      <c r="N689" t="s">
        <v>27</v>
      </c>
      <c r="O689" s="4">
        <v>2</v>
      </c>
      <c r="P689" s="5">
        <v>2</v>
      </c>
    </row>
    <row r="690" spans="1:16" x14ac:dyDescent="0.3">
      <c r="A690" s="4">
        <v>689</v>
      </c>
      <c r="B690" s="4">
        <v>61</v>
      </c>
      <c r="C690" t="s">
        <v>16</v>
      </c>
      <c r="D690" t="s">
        <v>35</v>
      </c>
      <c r="E690" t="s">
        <v>24</v>
      </c>
      <c r="F690" s="4">
        <v>160</v>
      </c>
      <c r="G690" s="4">
        <v>0</v>
      </c>
      <c r="H690" t="s">
        <v>19</v>
      </c>
      <c r="I690" t="s">
        <v>33</v>
      </c>
      <c r="J690" s="4">
        <v>145</v>
      </c>
      <c r="K690" t="s">
        <v>21</v>
      </c>
      <c r="L690" t="s">
        <v>25</v>
      </c>
      <c r="N690" t="s">
        <v>27</v>
      </c>
      <c r="O690" s="4">
        <v>2</v>
      </c>
      <c r="P690" s="5">
        <v>1</v>
      </c>
    </row>
    <row r="691" spans="1:16" x14ac:dyDescent="0.3">
      <c r="A691" s="4">
        <v>690</v>
      </c>
      <c r="B691" s="4">
        <v>62</v>
      </c>
      <c r="C691" t="s">
        <v>29</v>
      </c>
      <c r="D691" t="s">
        <v>35</v>
      </c>
      <c r="E691" t="s">
        <v>18</v>
      </c>
      <c r="F691" s="4">
        <v>140</v>
      </c>
      <c r="G691" s="4">
        <v>0</v>
      </c>
      <c r="H691" t="s">
        <v>32</v>
      </c>
      <c r="I691" t="s">
        <v>26</v>
      </c>
      <c r="J691" s="4">
        <v>143</v>
      </c>
      <c r="K691" t="s">
        <v>21</v>
      </c>
      <c r="L691" t="s">
        <v>32</v>
      </c>
      <c r="N691" t="s">
        <v>26</v>
      </c>
      <c r="O691" s="4">
        <v>2</v>
      </c>
      <c r="P691" s="5">
        <v>0</v>
      </c>
    </row>
    <row r="692" spans="1:16" x14ac:dyDescent="0.3">
      <c r="A692" s="4">
        <v>691</v>
      </c>
      <c r="B692" s="4">
        <v>62</v>
      </c>
      <c r="C692" t="s">
        <v>29</v>
      </c>
      <c r="D692" t="s">
        <v>35</v>
      </c>
      <c r="E692" t="s">
        <v>24</v>
      </c>
      <c r="F692" s="4">
        <v>120</v>
      </c>
      <c r="G692" s="4">
        <v>0</v>
      </c>
      <c r="H692" t="s">
        <v>32</v>
      </c>
      <c r="I692" t="s">
        <v>33</v>
      </c>
      <c r="J692" s="4">
        <v>123</v>
      </c>
      <c r="K692" t="s">
        <v>19</v>
      </c>
      <c r="L692" t="s">
        <v>22</v>
      </c>
      <c r="N692" t="s">
        <v>32</v>
      </c>
      <c r="O692" s="4">
        <v>1</v>
      </c>
      <c r="P692" s="5">
        <v>0.7</v>
      </c>
    </row>
    <row r="693" spans="1:16" x14ac:dyDescent="0.3">
      <c r="A693" s="4">
        <v>692</v>
      </c>
      <c r="B693" s="4">
        <v>62</v>
      </c>
      <c r="C693" t="s">
        <v>16</v>
      </c>
      <c r="D693" t="s">
        <v>35</v>
      </c>
      <c r="E693" t="s">
        <v>18</v>
      </c>
      <c r="F693" s="4">
        <v>120</v>
      </c>
      <c r="G693" s="4">
        <v>0</v>
      </c>
      <c r="H693" t="s">
        <v>32</v>
      </c>
      <c r="I693" t="s">
        <v>20</v>
      </c>
      <c r="J693" s="4">
        <v>134</v>
      </c>
      <c r="K693" t="s">
        <v>21</v>
      </c>
      <c r="L693" t="s">
        <v>25</v>
      </c>
      <c r="M693" s="4">
        <v>2</v>
      </c>
      <c r="N693" t="s">
        <v>32</v>
      </c>
      <c r="O693" s="4">
        <v>1</v>
      </c>
      <c r="P693" s="5">
        <v>-0.8</v>
      </c>
    </row>
    <row r="694" spans="1:16" x14ac:dyDescent="0.3">
      <c r="A694" s="4">
        <v>693</v>
      </c>
      <c r="B694" s="4">
        <v>62</v>
      </c>
      <c r="C694" t="s">
        <v>16</v>
      </c>
      <c r="D694" t="s">
        <v>35</v>
      </c>
      <c r="E694" t="s">
        <v>28</v>
      </c>
      <c r="F694" s="4">
        <v>160</v>
      </c>
      <c r="G694" s="4">
        <v>0</v>
      </c>
      <c r="H694" t="s">
        <v>21</v>
      </c>
      <c r="I694" t="s">
        <v>26</v>
      </c>
      <c r="J694" s="4">
        <v>72</v>
      </c>
      <c r="K694" t="s">
        <v>19</v>
      </c>
      <c r="L694" t="s">
        <v>25</v>
      </c>
      <c r="N694" t="s">
        <v>26</v>
      </c>
      <c r="O694" s="4">
        <v>3</v>
      </c>
      <c r="P694" s="5">
        <v>0</v>
      </c>
    </row>
    <row r="695" spans="1:16" x14ac:dyDescent="0.3">
      <c r="A695" s="4">
        <v>694</v>
      </c>
      <c r="B695" s="4">
        <v>62</v>
      </c>
      <c r="C695" t="s">
        <v>16</v>
      </c>
      <c r="D695" t="s">
        <v>35</v>
      </c>
      <c r="E695" t="s">
        <v>24</v>
      </c>
      <c r="F695" s="4">
        <v>115</v>
      </c>
      <c r="G695" s="4">
        <v>0</v>
      </c>
      <c r="H695" t="s">
        <v>32</v>
      </c>
      <c r="I695" t="s">
        <v>26</v>
      </c>
      <c r="J695" s="4">
        <v>128</v>
      </c>
      <c r="K695" t="s">
        <v>19</v>
      </c>
      <c r="L695" t="s">
        <v>22</v>
      </c>
      <c r="N695" t="s">
        <v>32</v>
      </c>
      <c r="O695" s="4">
        <v>2</v>
      </c>
      <c r="P695" s="5">
        <v>0.5</v>
      </c>
    </row>
    <row r="696" spans="1:16" x14ac:dyDescent="0.3">
      <c r="A696" s="4">
        <v>695</v>
      </c>
      <c r="B696" s="4">
        <v>62</v>
      </c>
      <c r="C696" t="s">
        <v>16</v>
      </c>
      <c r="D696" t="s">
        <v>35</v>
      </c>
      <c r="E696" t="s">
        <v>24</v>
      </c>
      <c r="F696" s="4">
        <v>115</v>
      </c>
      <c r="G696" s="4">
        <v>0</v>
      </c>
      <c r="H696" t="s">
        <v>32</v>
      </c>
      <c r="I696" t="s">
        <v>26</v>
      </c>
      <c r="J696" s="4">
        <v>72</v>
      </c>
      <c r="K696" t="s">
        <v>19</v>
      </c>
      <c r="L696" t="s">
        <v>25</v>
      </c>
      <c r="N696" t="s">
        <v>26</v>
      </c>
      <c r="O696" s="4">
        <v>1</v>
      </c>
      <c r="P696" s="5">
        <v>-0.5</v>
      </c>
    </row>
    <row r="697" spans="1:16" x14ac:dyDescent="0.3">
      <c r="A697" s="4">
        <v>696</v>
      </c>
      <c r="B697" s="4">
        <v>62</v>
      </c>
      <c r="C697" t="s">
        <v>16</v>
      </c>
      <c r="D697" t="s">
        <v>35</v>
      </c>
      <c r="E697" t="s">
        <v>24</v>
      </c>
      <c r="F697" s="4">
        <v>150</v>
      </c>
      <c r="G697" s="4">
        <v>0</v>
      </c>
      <c r="H697" t="s">
        <v>32</v>
      </c>
      <c r="I697" t="s">
        <v>33</v>
      </c>
      <c r="J697" s="4">
        <v>78</v>
      </c>
      <c r="K697" t="s">
        <v>21</v>
      </c>
      <c r="L697" t="s">
        <v>25</v>
      </c>
      <c r="N697" t="s">
        <v>27</v>
      </c>
      <c r="O697" s="4">
        <v>3</v>
      </c>
      <c r="P697" s="5">
        <v>2</v>
      </c>
    </row>
    <row r="698" spans="1:16" x14ac:dyDescent="0.3">
      <c r="A698" s="4">
        <v>697</v>
      </c>
      <c r="B698" s="4">
        <v>63</v>
      </c>
      <c r="C698" t="s">
        <v>16</v>
      </c>
      <c r="D698" t="s">
        <v>35</v>
      </c>
      <c r="E698" t="s">
        <v>24</v>
      </c>
      <c r="F698" s="4">
        <v>100</v>
      </c>
      <c r="G698" s="4">
        <v>0</v>
      </c>
      <c r="H698" t="s">
        <v>32</v>
      </c>
      <c r="I698" t="s">
        <v>26</v>
      </c>
      <c r="J698" s="4">
        <v>109</v>
      </c>
      <c r="K698" t="s">
        <v>21</v>
      </c>
      <c r="L698" t="s">
        <v>25</v>
      </c>
      <c r="N698" t="s">
        <v>32</v>
      </c>
      <c r="O698" s="4">
        <v>1</v>
      </c>
      <c r="P698" s="5">
        <v>-0.9</v>
      </c>
    </row>
    <row r="699" spans="1:16" x14ac:dyDescent="0.3">
      <c r="A699" s="4">
        <v>698</v>
      </c>
      <c r="B699" s="4">
        <v>63</v>
      </c>
      <c r="C699" t="s">
        <v>16</v>
      </c>
      <c r="D699" t="s">
        <v>35</v>
      </c>
      <c r="E699" t="s">
        <v>24</v>
      </c>
      <c r="F699" s="4">
        <v>140</v>
      </c>
      <c r="G699" s="4">
        <v>0</v>
      </c>
      <c r="H699" t="s">
        <v>32</v>
      </c>
      <c r="I699" t="s">
        <v>20</v>
      </c>
      <c r="J699" s="4">
        <v>149</v>
      </c>
      <c r="K699" t="s">
        <v>21</v>
      </c>
      <c r="L699" t="s">
        <v>31</v>
      </c>
      <c r="N699" t="s">
        <v>32</v>
      </c>
      <c r="O699" s="4">
        <v>2</v>
      </c>
      <c r="P699" s="5">
        <v>2</v>
      </c>
    </row>
    <row r="700" spans="1:16" x14ac:dyDescent="0.3">
      <c r="A700" s="4">
        <v>699</v>
      </c>
      <c r="B700" s="4">
        <v>63</v>
      </c>
      <c r="C700" t="s">
        <v>16</v>
      </c>
      <c r="D700" t="s">
        <v>35</v>
      </c>
      <c r="E700" t="s">
        <v>24</v>
      </c>
      <c r="F700" s="4">
        <v>150</v>
      </c>
      <c r="G700" s="4">
        <v>0</v>
      </c>
      <c r="H700" t="s">
        <v>21</v>
      </c>
      <c r="I700" t="s">
        <v>26</v>
      </c>
      <c r="J700" s="4">
        <v>86</v>
      </c>
      <c r="K700" t="s">
        <v>19</v>
      </c>
      <c r="L700" t="s">
        <v>25</v>
      </c>
      <c r="N700" t="s">
        <v>32</v>
      </c>
      <c r="O700" s="4">
        <v>3</v>
      </c>
      <c r="P700" s="5">
        <v>2</v>
      </c>
    </row>
    <row r="701" spans="1:16" x14ac:dyDescent="0.3">
      <c r="A701" s="4">
        <v>700</v>
      </c>
      <c r="B701" s="4">
        <v>63</v>
      </c>
      <c r="C701" t="s">
        <v>16</v>
      </c>
      <c r="D701" t="s">
        <v>35</v>
      </c>
      <c r="E701" t="s">
        <v>24</v>
      </c>
      <c r="F701" s="4">
        <v>150</v>
      </c>
      <c r="G701" s="4">
        <v>0</v>
      </c>
      <c r="H701" t="s">
        <v>32</v>
      </c>
      <c r="I701" t="s">
        <v>33</v>
      </c>
      <c r="J701" s="4">
        <v>154</v>
      </c>
      <c r="K701" t="s">
        <v>21</v>
      </c>
      <c r="L701" t="s">
        <v>31</v>
      </c>
      <c r="N701" t="s">
        <v>32</v>
      </c>
      <c r="O701" s="4">
        <v>3</v>
      </c>
      <c r="P701" s="5">
        <v>0.7</v>
      </c>
    </row>
    <row r="702" spans="1:16" x14ac:dyDescent="0.3">
      <c r="A702" s="4">
        <v>701</v>
      </c>
      <c r="B702" s="4">
        <v>63</v>
      </c>
      <c r="C702" t="s">
        <v>16</v>
      </c>
      <c r="D702" t="s">
        <v>35</v>
      </c>
      <c r="E702" t="s">
        <v>24</v>
      </c>
      <c r="F702" s="4">
        <v>185</v>
      </c>
      <c r="G702" s="4">
        <v>0</v>
      </c>
      <c r="H702" t="s">
        <v>21</v>
      </c>
      <c r="I702" t="s">
        <v>26</v>
      </c>
      <c r="J702" s="4">
        <v>98</v>
      </c>
      <c r="K702" t="s">
        <v>19</v>
      </c>
      <c r="L702" t="s">
        <v>31</v>
      </c>
      <c r="N702" t="s">
        <v>27</v>
      </c>
      <c r="O702" s="4">
        <v>1</v>
      </c>
      <c r="P702" s="5">
        <v>0</v>
      </c>
    </row>
    <row r="703" spans="1:16" x14ac:dyDescent="0.3">
      <c r="A703" s="4">
        <v>702</v>
      </c>
      <c r="B703" s="4">
        <v>64</v>
      </c>
      <c r="C703" t="s">
        <v>29</v>
      </c>
      <c r="D703" t="s">
        <v>35</v>
      </c>
      <c r="E703" t="s">
        <v>24</v>
      </c>
      <c r="F703" s="4">
        <v>200</v>
      </c>
      <c r="G703" s="4">
        <v>0</v>
      </c>
      <c r="H703" t="s">
        <v>21</v>
      </c>
      <c r="I703" t="s">
        <v>26</v>
      </c>
      <c r="J703" s="4">
        <v>140</v>
      </c>
      <c r="K703" t="s">
        <v>19</v>
      </c>
      <c r="L703" t="s">
        <v>25</v>
      </c>
      <c r="N703" t="s">
        <v>26</v>
      </c>
      <c r="O703" s="4">
        <v>3</v>
      </c>
      <c r="P703" s="5">
        <v>1</v>
      </c>
    </row>
    <row r="704" spans="1:16" x14ac:dyDescent="0.3">
      <c r="A704" s="4">
        <v>703</v>
      </c>
      <c r="B704" s="4">
        <v>64</v>
      </c>
      <c r="C704" t="s">
        <v>29</v>
      </c>
      <c r="D704" t="s">
        <v>35</v>
      </c>
      <c r="E704" t="s">
        <v>24</v>
      </c>
      <c r="F704" s="4">
        <v>95</v>
      </c>
      <c r="G704" s="4">
        <v>0</v>
      </c>
      <c r="H704" t="s">
        <v>32</v>
      </c>
      <c r="I704" t="s">
        <v>26</v>
      </c>
      <c r="J704" s="4">
        <v>145</v>
      </c>
      <c r="K704" t="s">
        <v>21</v>
      </c>
      <c r="L704" t="s">
        <v>22</v>
      </c>
      <c r="N704" t="s">
        <v>32</v>
      </c>
      <c r="O704" s="4">
        <v>1</v>
      </c>
      <c r="P704" s="5">
        <v>0.1</v>
      </c>
    </row>
    <row r="705" spans="1:16" x14ac:dyDescent="0.3">
      <c r="A705" s="4">
        <v>704</v>
      </c>
      <c r="B705" s="4">
        <v>64</v>
      </c>
      <c r="C705" t="s">
        <v>16</v>
      </c>
      <c r="D705" t="s">
        <v>35</v>
      </c>
      <c r="E705" t="s">
        <v>24</v>
      </c>
      <c r="F705" s="4">
        <v>110</v>
      </c>
      <c r="G705" s="4">
        <v>0</v>
      </c>
      <c r="H705" t="s">
        <v>32</v>
      </c>
      <c r="I705" t="s">
        <v>26</v>
      </c>
      <c r="J705" s="4">
        <v>114</v>
      </c>
      <c r="K705" t="s">
        <v>19</v>
      </c>
      <c r="L705" t="s">
        <v>22</v>
      </c>
      <c r="N705" t="s">
        <v>32</v>
      </c>
      <c r="O705" s="4">
        <v>1</v>
      </c>
      <c r="P705" s="5">
        <v>0.3</v>
      </c>
    </row>
    <row r="706" spans="1:16" x14ac:dyDescent="0.3">
      <c r="A706" s="4">
        <v>705</v>
      </c>
      <c r="B706" s="4">
        <v>65</v>
      </c>
      <c r="C706" t="s">
        <v>16</v>
      </c>
      <c r="D706" t="s">
        <v>35</v>
      </c>
      <c r="E706" t="s">
        <v>24</v>
      </c>
      <c r="F706" s="4">
        <v>115</v>
      </c>
      <c r="G706" s="4">
        <v>0</v>
      </c>
      <c r="H706" t="s">
        <v>21</v>
      </c>
      <c r="I706" t="s">
        <v>26</v>
      </c>
      <c r="J706" s="4">
        <v>93</v>
      </c>
      <c r="K706" t="s">
        <v>19</v>
      </c>
      <c r="L706" t="s">
        <v>25</v>
      </c>
      <c r="N706" t="s">
        <v>27</v>
      </c>
      <c r="O706" s="4">
        <v>1</v>
      </c>
      <c r="P706" s="5">
        <v>0</v>
      </c>
    </row>
    <row r="707" spans="1:16" x14ac:dyDescent="0.3">
      <c r="A707" s="4">
        <v>706</v>
      </c>
      <c r="B707" s="4">
        <v>65</v>
      </c>
      <c r="C707" t="s">
        <v>16</v>
      </c>
      <c r="D707" t="s">
        <v>35</v>
      </c>
      <c r="E707" t="s">
        <v>24</v>
      </c>
      <c r="F707" s="4">
        <v>145</v>
      </c>
      <c r="G707" s="4">
        <v>0</v>
      </c>
      <c r="H707" t="s">
        <v>32</v>
      </c>
      <c r="I707" t="s">
        <v>33</v>
      </c>
      <c r="J707" s="4">
        <v>67</v>
      </c>
      <c r="K707" t="s">
        <v>21</v>
      </c>
      <c r="L707" t="s">
        <v>32</v>
      </c>
      <c r="N707" t="s">
        <v>23</v>
      </c>
      <c r="O707" s="4">
        <v>3</v>
      </c>
    </row>
    <row r="708" spans="1:16" x14ac:dyDescent="0.3">
      <c r="A708" s="4">
        <v>707</v>
      </c>
      <c r="B708" s="4">
        <v>65</v>
      </c>
      <c r="C708" t="s">
        <v>16</v>
      </c>
      <c r="D708" t="s">
        <v>35</v>
      </c>
      <c r="E708" t="s">
        <v>24</v>
      </c>
      <c r="F708" s="4">
        <v>155</v>
      </c>
      <c r="G708" s="4">
        <v>0</v>
      </c>
      <c r="H708" t="s">
        <v>32</v>
      </c>
      <c r="I708" t="s">
        <v>26</v>
      </c>
      <c r="J708" s="4">
        <v>154</v>
      </c>
      <c r="K708" t="s">
        <v>21</v>
      </c>
      <c r="L708" t="s">
        <v>31</v>
      </c>
      <c r="N708" t="s">
        <v>32</v>
      </c>
      <c r="O708" s="4">
        <v>0</v>
      </c>
      <c r="P708" s="5">
        <v>1</v>
      </c>
    </row>
    <row r="709" spans="1:16" x14ac:dyDescent="0.3">
      <c r="A709" s="4">
        <v>708</v>
      </c>
      <c r="B709" s="4">
        <v>65</v>
      </c>
      <c r="C709" t="s">
        <v>16</v>
      </c>
      <c r="D709" t="s">
        <v>35</v>
      </c>
      <c r="E709" t="s">
        <v>24</v>
      </c>
      <c r="F709" s="4">
        <v>160</v>
      </c>
      <c r="G709" s="4">
        <v>0</v>
      </c>
      <c r="H709" t="s">
        <v>19</v>
      </c>
      <c r="I709" t="s">
        <v>33</v>
      </c>
      <c r="J709" s="4">
        <v>122</v>
      </c>
      <c r="K709" t="s">
        <v>21</v>
      </c>
      <c r="L709" t="s">
        <v>32</v>
      </c>
      <c r="N709" t="s">
        <v>27</v>
      </c>
      <c r="O709" s="4">
        <v>3</v>
      </c>
    </row>
    <row r="710" spans="1:16" x14ac:dyDescent="0.3">
      <c r="A710" s="4">
        <v>709</v>
      </c>
      <c r="B710" s="4">
        <v>66</v>
      </c>
      <c r="C710" t="s">
        <v>29</v>
      </c>
      <c r="D710" t="s">
        <v>35</v>
      </c>
      <c r="E710" t="s">
        <v>24</v>
      </c>
      <c r="F710" s="4">
        <v>155</v>
      </c>
      <c r="G710" s="4">
        <v>0</v>
      </c>
      <c r="H710" t="s">
        <v>32</v>
      </c>
      <c r="I710" t="s">
        <v>26</v>
      </c>
      <c r="J710" s="4">
        <v>90</v>
      </c>
      <c r="K710" t="s">
        <v>21</v>
      </c>
      <c r="L710" t="s">
        <v>32</v>
      </c>
      <c r="N710" t="s">
        <v>27</v>
      </c>
      <c r="O710" s="4">
        <v>1</v>
      </c>
      <c r="P710" s="5">
        <v>0</v>
      </c>
    </row>
    <row r="711" spans="1:16" x14ac:dyDescent="0.3">
      <c r="A711" s="4">
        <v>710</v>
      </c>
      <c r="B711" s="4">
        <v>66</v>
      </c>
      <c r="C711" t="s">
        <v>16</v>
      </c>
      <c r="D711" t="s">
        <v>35</v>
      </c>
      <c r="E711" t="s">
        <v>24</v>
      </c>
      <c r="F711" s="4">
        <v>150</v>
      </c>
      <c r="G711" s="4">
        <v>0</v>
      </c>
      <c r="H711" t="s">
        <v>21</v>
      </c>
      <c r="I711" t="s">
        <v>26</v>
      </c>
      <c r="J711" s="4">
        <v>108</v>
      </c>
      <c r="K711" t="s">
        <v>19</v>
      </c>
      <c r="L711" t="s">
        <v>25</v>
      </c>
      <c r="N711" t="s">
        <v>27</v>
      </c>
      <c r="O711" s="4">
        <v>3</v>
      </c>
      <c r="P711" s="5">
        <v>2</v>
      </c>
    </row>
    <row r="712" spans="1:16" x14ac:dyDescent="0.3">
      <c r="A712" s="4">
        <v>711</v>
      </c>
      <c r="B712" s="4">
        <v>67</v>
      </c>
      <c r="C712" t="s">
        <v>16</v>
      </c>
      <c r="D712" t="s">
        <v>35</v>
      </c>
      <c r="E712" t="s">
        <v>18</v>
      </c>
      <c r="F712" s="4">
        <v>145</v>
      </c>
      <c r="G712" s="4">
        <v>0</v>
      </c>
      <c r="H712" t="s">
        <v>21</v>
      </c>
      <c r="I712" t="s">
        <v>20</v>
      </c>
      <c r="J712" s="4">
        <v>125</v>
      </c>
      <c r="K712" t="s">
        <v>21</v>
      </c>
      <c r="L712" t="s">
        <v>25</v>
      </c>
      <c r="N712" t="s">
        <v>26</v>
      </c>
      <c r="O712" s="4">
        <v>2</v>
      </c>
      <c r="P712" s="5">
        <v>0</v>
      </c>
    </row>
    <row r="713" spans="1:16" x14ac:dyDescent="0.3">
      <c r="A713" s="4">
        <v>712</v>
      </c>
      <c r="B713" s="4">
        <v>68</v>
      </c>
      <c r="C713" t="s">
        <v>16</v>
      </c>
      <c r="D713" t="s">
        <v>35</v>
      </c>
      <c r="E713" t="s">
        <v>24</v>
      </c>
      <c r="F713" s="4">
        <v>135</v>
      </c>
      <c r="G713" s="4">
        <v>0</v>
      </c>
      <c r="H713" t="s">
        <v>21</v>
      </c>
      <c r="I713" t="s">
        <v>33</v>
      </c>
      <c r="J713" s="4">
        <v>120</v>
      </c>
      <c r="K713" t="s">
        <v>19</v>
      </c>
      <c r="L713" t="s">
        <v>31</v>
      </c>
      <c r="N713" t="s">
        <v>27</v>
      </c>
      <c r="O713" s="4">
        <v>3</v>
      </c>
      <c r="P713" s="5">
        <v>0</v>
      </c>
    </row>
    <row r="714" spans="1:16" x14ac:dyDescent="0.3">
      <c r="A714" s="4">
        <v>713</v>
      </c>
      <c r="B714" s="4">
        <v>68</v>
      </c>
      <c r="C714" t="s">
        <v>16</v>
      </c>
      <c r="D714" t="s">
        <v>35</v>
      </c>
      <c r="E714" t="s">
        <v>24</v>
      </c>
      <c r="F714" s="4">
        <v>145</v>
      </c>
      <c r="G714" s="4">
        <v>0</v>
      </c>
      <c r="H714" t="s">
        <v>32</v>
      </c>
      <c r="I714" t="s">
        <v>26</v>
      </c>
      <c r="J714" s="4">
        <v>136</v>
      </c>
      <c r="K714" t="s">
        <v>21</v>
      </c>
      <c r="L714" t="s">
        <v>31</v>
      </c>
      <c r="N714" t="s">
        <v>32</v>
      </c>
      <c r="O714" s="4">
        <v>1</v>
      </c>
      <c r="P714" s="5">
        <v>0.8</v>
      </c>
    </row>
    <row r="715" spans="1:16" x14ac:dyDescent="0.3">
      <c r="A715" s="4">
        <v>714</v>
      </c>
      <c r="B715" s="4">
        <v>69</v>
      </c>
      <c r="C715" t="s">
        <v>16</v>
      </c>
      <c r="D715" t="s">
        <v>35</v>
      </c>
      <c r="E715" t="s">
        <v>24</v>
      </c>
      <c r="F715" s="4">
        <v>135</v>
      </c>
      <c r="G715" s="4">
        <v>0</v>
      </c>
      <c r="H715" t="s">
        <v>21</v>
      </c>
      <c r="I715" t="s">
        <v>26</v>
      </c>
      <c r="J715" s="4">
        <v>130</v>
      </c>
      <c r="K715" t="s">
        <v>21</v>
      </c>
      <c r="L715" t="s">
        <v>25</v>
      </c>
      <c r="N715" t="s">
        <v>23</v>
      </c>
      <c r="O715" s="4">
        <v>1</v>
      </c>
      <c r="P715" s="5">
        <v>0</v>
      </c>
    </row>
    <row r="716" spans="1:16" x14ac:dyDescent="0.3">
      <c r="A716" s="4">
        <v>715</v>
      </c>
      <c r="B716" s="4">
        <v>69</v>
      </c>
      <c r="C716" t="s">
        <v>16</v>
      </c>
      <c r="D716" t="s">
        <v>35</v>
      </c>
      <c r="E716" t="s">
        <v>24</v>
      </c>
      <c r="G716" s="4">
        <v>0</v>
      </c>
      <c r="H716" t="s">
        <v>21</v>
      </c>
      <c r="I716" t="s">
        <v>33</v>
      </c>
      <c r="K716" t="s">
        <v>32</v>
      </c>
      <c r="L716" t="s">
        <v>32</v>
      </c>
      <c r="N716" t="s">
        <v>27</v>
      </c>
      <c r="O716" s="4">
        <v>3</v>
      </c>
    </row>
    <row r="717" spans="1:16" x14ac:dyDescent="0.3">
      <c r="A717" s="4">
        <v>716</v>
      </c>
      <c r="B717" s="4">
        <v>70</v>
      </c>
      <c r="C717" t="s">
        <v>16</v>
      </c>
      <c r="D717" t="s">
        <v>35</v>
      </c>
      <c r="E717" t="s">
        <v>24</v>
      </c>
      <c r="F717" s="4">
        <v>115</v>
      </c>
      <c r="G717" s="4">
        <v>0</v>
      </c>
      <c r="H717" t="s">
        <v>21</v>
      </c>
      <c r="I717" t="s">
        <v>33</v>
      </c>
      <c r="J717" s="4">
        <v>92</v>
      </c>
      <c r="K717" t="s">
        <v>19</v>
      </c>
      <c r="L717" t="s">
        <v>25</v>
      </c>
      <c r="N717" t="s">
        <v>27</v>
      </c>
      <c r="O717" s="4">
        <v>1</v>
      </c>
      <c r="P717" s="5">
        <v>0</v>
      </c>
    </row>
    <row r="718" spans="1:16" x14ac:dyDescent="0.3">
      <c r="A718" s="4">
        <v>717</v>
      </c>
      <c r="B718" s="4">
        <v>70</v>
      </c>
      <c r="C718" t="s">
        <v>16</v>
      </c>
      <c r="D718" t="s">
        <v>35</v>
      </c>
      <c r="E718" t="s">
        <v>24</v>
      </c>
      <c r="F718" s="4">
        <v>140</v>
      </c>
      <c r="G718" s="4">
        <v>0</v>
      </c>
      <c r="H718" t="s">
        <v>19</v>
      </c>
      <c r="I718" t="s">
        <v>26</v>
      </c>
      <c r="J718" s="4">
        <v>157</v>
      </c>
      <c r="K718" t="s">
        <v>19</v>
      </c>
      <c r="L718" t="s">
        <v>25</v>
      </c>
      <c r="N718" t="s">
        <v>27</v>
      </c>
      <c r="O718" s="4">
        <v>3</v>
      </c>
      <c r="P718" s="5">
        <v>2</v>
      </c>
    </row>
    <row r="719" spans="1:16" x14ac:dyDescent="0.3">
      <c r="A719" s="4">
        <v>718</v>
      </c>
      <c r="B719" s="4">
        <v>72</v>
      </c>
      <c r="C719" t="s">
        <v>16</v>
      </c>
      <c r="D719" t="s">
        <v>35</v>
      </c>
      <c r="E719" t="s">
        <v>28</v>
      </c>
      <c r="F719" s="4">
        <v>160</v>
      </c>
      <c r="G719" s="4">
        <v>0</v>
      </c>
      <c r="H719" t="s">
        <v>32</v>
      </c>
      <c r="I719" t="s">
        <v>20</v>
      </c>
      <c r="J719" s="4">
        <v>114</v>
      </c>
      <c r="K719" t="s">
        <v>21</v>
      </c>
      <c r="L719" t="s">
        <v>25</v>
      </c>
      <c r="M719" s="4">
        <v>2</v>
      </c>
      <c r="N719" t="s">
        <v>32</v>
      </c>
      <c r="O719" s="4">
        <v>0</v>
      </c>
      <c r="P719" s="5">
        <v>0.6</v>
      </c>
    </row>
    <row r="720" spans="1:16" x14ac:dyDescent="0.3">
      <c r="A720" s="4">
        <v>719</v>
      </c>
      <c r="B720" s="4">
        <v>73</v>
      </c>
      <c r="C720" t="s">
        <v>29</v>
      </c>
      <c r="D720" t="s">
        <v>35</v>
      </c>
      <c r="E720" t="s">
        <v>28</v>
      </c>
      <c r="F720" s="4">
        <v>160</v>
      </c>
      <c r="G720" s="4">
        <v>0</v>
      </c>
      <c r="H720" t="s">
        <v>21</v>
      </c>
      <c r="I720" t="s">
        <v>33</v>
      </c>
      <c r="J720" s="4">
        <v>121</v>
      </c>
      <c r="K720" t="s">
        <v>21</v>
      </c>
      <c r="L720" t="s">
        <v>31</v>
      </c>
      <c r="N720" t="s">
        <v>26</v>
      </c>
      <c r="O720" s="4">
        <v>1</v>
      </c>
      <c r="P720" s="5">
        <v>0</v>
      </c>
    </row>
    <row r="721" spans="1:16" x14ac:dyDescent="0.3">
      <c r="A721" s="4">
        <v>720</v>
      </c>
      <c r="B721" s="4">
        <v>74</v>
      </c>
      <c r="C721" t="s">
        <v>16</v>
      </c>
      <c r="D721" t="s">
        <v>35</v>
      </c>
      <c r="E721" t="s">
        <v>30</v>
      </c>
      <c r="F721" s="4">
        <v>145</v>
      </c>
      <c r="G721" s="4">
        <v>0</v>
      </c>
      <c r="H721" t="s">
        <v>32</v>
      </c>
      <c r="I721" t="s">
        <v>33</v>
      </c>
      <c r="J721" s="4">
        <v>123</v>
      </c>
      <c r="K721" t="s">
        <v>21</v>
      </c>
      <c r="L721" t="s">
        <v>31</v>
      </c>
      <c r="N721" t="s">
        <v>32</v>
      </c>
      <c r="O721" s="4">
        <v>1</v>
      </c>
      <c r="P721" s="5">
        <v>0.3</v>
      </c>
    </row>
    <row r="722" spans="1:16" x14ac:dyDescent="0.3">
      <c r="A722" s="4">
        <v>721</v>
      </c>
      <c r="B722" s="4">
        <v>63</v>
      </c>
      <c r="C722" t="s">
        <v>16</v>
      </c>
      <c r="D722" t="s">
        <v>36</v>
      </c>
      <c r="E722" t="s">
        <v>24</v>
      </c>
      <c r="F722" s="4">
        <v>140</v>
      </c>
      <c r="G722" s="4">
        <v>260</v>
      </c>
      <c r="H722" t="s">
        <v>21</v>
      </c>
      <c r="I722" t="s">
        <v>33</v>
      </c>
      <c r="J722" s="4">
        <v>112</v>
      </c>
      <c r="K722" t="s">
        <v>19</v>
      </c>
      <c r="L722" t="s">
        <v>25</v>
      </c>
      <c r="N722" t="s">
        <v>32</v>
      </c>
      <c r="O722" s="4">
        <v>2</v>
      </c>
      <c r="P722" s="5">
        <v>3</v>
      </c>
    </row>
    <row r="723" spans="1:16" x14ac:dyDescent="0.3">
      <c r="A723" s="4">
        <v>722</v>
      </c>
      <c r="B723" s="4">
        <v>44</v>
      </c>
      <c r="C723" t="s">
        <v>16</v>
      </c>
      <c r="D723" t="s">
        <v>36</v>
      </c>
      <c r="E723" t="s">
        <v>24</v>
      </c>
      <c r="F723" s="4">
        <v>130</v>
      </c>
      <c r="G723" s="4">
        <v>209</v>
      </c>
      <c r="H723" t="s">
        <v>21</v>
      </c>
      <c r="I723" t="s">
        <v>33</v>
      </c>
      <c r="J723" s="4">
        <v>127</v>
      </c>
      <c r="K723" t="s">
        <v>21</v>
      </c>
      <c r="L723" t="s">
        <v>32</v>
      </c>
      <c r="N723" t="s">
        <v>32</v>
      </c>
      <c r="O723" s="4">
        <v>0</v>
      </c>
      <c r="P723" s="5">
        <v>0</v>
      </c>
    </row>
    <row r="724" spans="1:16" x14ac:dyDescent="0.3">
      <c r="A724" s="4">
        <v>723</v>
      </c>
      <c r="B724" s="4">
        <v>60</v>
      </c>
      <c r="C724" t="s">
        <v>16</v>
      </c>
      <c r="D724" t="s">
        <v>36</v>
      </c>
      <c r="E724" t="s">
        <v>24</v>
      </c>
      <c r="F724" s="4">
        <v>132</v>
      </c>
      <c r="G724" s="4">
        <v>218</v>
      </c>
      <c r="H724" t="s">
        <v>21</v>
      </c>
      <c r="I724" t="s">
        <v>33</v>
      </c>
      <c r="J724" s="4">
        <v>140</v>
      </c>
      <c r="K724" t="s">
        <v>19</v>
      </c>
      <c r="L724" t="s">
        <v>22</v>
      </c>
      <c r="N724" t="s">
        <v>32</v>
      </c>
      <c r="O724" s="4">
        <v>2</v>
      </c>
      <c r="P724" s="5">
        <v>0.5</v>
      </c>
    </row>
    <row r="725" spans="1:16" x14ac:dyDescent="0.3">
      <c r="A725" s="4">
        <v>724</v>
      </c>
      <c r="B725" s="4">
        <v>55</v>
      </c>
      <c r="C725" t="s">
        <v>16</v>
      </c>
      <c r="D725" t="s">
        <v>36</v>
      </c>
      <c r="E725" t="s">
        <v>24</v>
      </c>
      <c r="F725" s="4">
        <v>142</v>
      </c>
      <c r="G725" s="4">
        <v>228</v>
      </c>
      <c r="H725" t="s">
        <v>21</v>
      </c>
      <c r="I725" t="s">
        <v>33</v>
      </c>
      <c r="J725" s="4">
        <v>149</v>
      </c>
      <c r="K725" t="s">
        <v>19</v>
      </c>
      <c r="L725" t="s">
        <v>31</v>
      </c>
      <c r="N725" t="s">
        <v>32</v>
      </c>
      <c r="O725" s="4">
        <v>1</v>
      </c>
      <c r="P725" s="5">
        <v>0.5</v>
      </c>
    </row>
    <row r="726" spans="1:16" x14ac:dyDescent="0.3">
      <c r="A726" s="4">
        <v>725</v>
      </c>
      <c r="B726" s="4">
        <v>66</v>
      </c>
      <c r="C726" t="s">
        <v>16</v>
      </c>
      <c r="D726" t="s">
        <v>36</v>
      </c>
      <c r="E726" t="s">
        <v>28</v>
      </c>
      <c r="F726" s="4">
        <v>110</v>
      </c>
      <c r="G726" s="4">
        <v>213</v>
      </c>
      <c r="H726" t="s">
        <v>19</v>
      </c>
      <c r="I726" t="s">
        <v>20</v>
      </c>
      <c r="J726" s="4">
        <v>99</v>
      </c>
      <c r="K726" t="s">
        <v>19</v>
      </c>
      <c r="L726" t="s">
        <v>25</v>
      </c>
      <c r="N726" t="s">
        <v>32</v>
      </c>
      <c r="O726" s="4">
        <v>0</v>
      </c>
      <c r="P726" s="5">
        <v>0.3</v>
      </c>
    </row>
    <row r="727" spans="1:16" x14ac:dyDescent="0.3">
      <c r="A727" s="4">
        <v>726</v>
      </c>
      <c r="B727" s="4">
        <v>66</v>
      </c>
      <c r="C727" t="s">
        <v>16</v>
      </c>
      <c r="D727" t="s">
        <v>36</v>
      </c>
      <c r="E727" t="s">
        <v>28</v>
      </c>
      <c r="F727" s="4">
        <v>120</v>
      </c>
      <c r="G727" s="4">
        <v>0</v>
      </c>
      <c r="H727" t="s">
        <v>21</v>
      </c>
      <c r="I727" t="s">
        <v>33</v>
      </c>
      <c r="J727" s="4">
        <v>120</v>
      </c>
      <c r="K727" t="s">
        <v>21</v>
      </c>
      <c r="L727" t="s">
        <v>31</v>
      </c>
      <c r="N727" t="s">
        <v>32</v>
      </c>
      <c r="O727" s="4">
        <v>0</v>
      </c>
      <c r="P727" s="5">
        <v>-0.5</v>
      </c>
    </row>
    <row r="728" spans="1:16" x14ac:dyDescent="0.3">
      <c r="A728" s="4">
        <v>727</v>
      </c>
      <c r="B728" s="4">
        <v>65</v>
      </c>
      <c r="C728" t="s">
        <v>16</v>
      </c>
      <c r="D728" t="s">
        <v>36</v>
      </c>
      <c r="E728" t="s">
        <v>24</v>
      </c>
      <c r="F728" s="4">
        <v>150</v>
      </c>
      <c r="G728" s="4">
        <v>236</v>
      </c>
      <c r="H728" t="s">
        <v>19</v>
      </c>
      <c r="I728" t="s">
        <v>33</v>
      </c>
      <c r="J728" s="4">
        <v>105</v>
      </c>
      <c r="K728" t="s">
        <v>19</v>
      </c>
      <c r="L728" t="s">
        <v>32</v>
      </c>
      <c r="N728" t="s">
        <v>32</v>
      </c>
      <c r="O728" s="4">
        <v>3</v>
      </c>
      <c r="P728" s="5">
        <v>0</v>
      </c>
    </row>
    <row r="729" spans="1:16" x14ac:dyDescent="0.3">
      <c r="A729" s="4">
        <v>728</v>
      </c>
      <c r="B729" s="4">
        <v>60</v>
      </c>
      <c r="C729" t="s">
        <v>16</v>
      </c>
      <c r="D729" t="s">
        <v>36</v>
      </c>
      <c r="E729" t="s">
        <v>28</v>
      </c>
      <c r="F729" s="4">
        <v>180</v>
      </c>
      <c r="G729" s="4">
        <v>0</v>
      </c>
      <c r="H729" t="s">
        <v>21</v>
      </c>
      <c r="I729" t="s">
        <v>33</v>
      </c>
      <c r="J729" s="4">
        <v>140</v>
      </c>
      <c r="K729" t="s">
        <v>19</v>
      </c>
      <c r="L729" t="s">
        <v>25</v>
      </c>
      <c r="N729" t="s">
        <v>32</v>
      </c>
      <c r="O729" s="4">
        <v>0</v>
      </c>
      <c r="P729" s="5">
        <v>0.5</v>
      </c>
    </row>
    <row r="730" spans="1:16" x14ac:dyDescent="0.3">
      <c r="A730" s="4">
        <v>729</v>
      </c>
      <c r="B730" s="4">
        <v>60</v>
      </c>
      <c r="C730" t="s">
        <v>16</v>
      </c>
      <c r="D730" t="s">
        <v>36</v>
      </c>
      <c r="E730" t="s">
        <v>28</v>
      </c>
      <c r="F730" s="4">
        <v>120</v>
      </c>
      <c r="G730" s="4">
        <v>0</v>
      </c>
      <c r="H730" t="s">
        <v>32</v>
      </c>
      <c r="I730" t="s">
        <v>26</v>
      </c>
      <c r="J730" s="4">
        <v>141</v>
      </c>
      <c r="K730" t="s">
        <v>19</v>
      </c>
      <c r="L730" t="s">
        <v>31</v>
      </c>
      <c r="N730" t="s">
        <v>32</v>
      </c>
      <c r="O730" s="4">
        <v>3</v>
      </c>
      <c r="P730" s="5">
        <v>2</v>
      </c>
    </row>
    <row r="731" spans="1:16" x14ac:dyDescent="0.3">
      <c r="A731" s="4">
        <v>730</v>
      </c>
      <c r="B731" s="4">
        <v>60</v>
      </c>
      <c r="C731" t="s">
        <v>16</v>
      </c>
      <c r="D731" t="s">
        <v>36</v>
      </c>
      <c r="E731" t="s">
        <v>30</v>
      </c>
      <c r="F731" s="4">
        <v>160</v>
      </c>
      <c r="G731" s="4">
        <v>267</v>
      </c>
      <c r="H731" t="s">
        <v>19</v>
      </c>
      <c r="I731" t="s">
        <v>33</v>
      </c>
      <c r="J731" s="4">
        <v>157</v>
      </c>
      <c r="K731" t="s">
        <v>21</v>
      </c>
      <c r="L731" t="s">
        <v>25</v>
      </c>
      <c r="N731" t="s">
        <v>32</v>
      </c>
      <c r="O731" s="4">
        <v>1</v>
      </c>
      <c r="P731" s="5">
        <v>0.5</v>
      </c>
    </row>
    <row r="732" spans="1:16" x14ac:dyDescent="0.3">
      <c r="A732" s="4">
        <v>731</v>
      </c>
      <c r="B732" s="4">
        <v>56</v>
      </c>
      <c r="C732" t="s">
        <v>16</v>
      </c>
      <c r="D732" t="s">
        <v>36</v>
      </c>
      <c r="E732" t="s">
        <v>30</v>
      </c>
      <c r="F732" s="4">
        <v>126</v>
      </c>
      <c r="G732" s="4">
        <v>166</v>
      </c>
      <c r="H732" t="s">
        <v>21</v>
      </c>
      <c r="I732" t="s">
        <v>33</v>
      </c>
      <c r="J732" s="4">
        <v>140</v>
      </c>
      <c r="K732" t="s">
        <v>21</v>
      </c>
      <c r="L732" t="s">
        <v>32</v>
      </c>
      <c r="N732" t="s">
        <v>32</v>
      </c>
      <c r="O732" s="4">
        <v>0</v>
      </c>
      <c r="P732" s="5">
        <v>0</v>
      </c>
    </row>
    <row r="733" spans="1:16" x14ac:dyDescent="0.3">
      <c r="A733" s="4">
        <v>732</v>
      </c>
      <c r="B733" s="4">
        <v>59</v>
      </c>
      <c r="C733" t="s">
        <v>16</v>
      </c>
      <c r="D733" t="s">
        <v>36</v>
      </c>
      <c r="E733" t="s">
        <v>24</v>
      </c>
      <c r="F733" s="4">
        <v>140</v>
      </c>
      <c r="G733" s="4">
        <v>0</v>
      </c>
      <c r="H733" t="s">
        <v>21</v>
      </c>
      <c r="I733" t="s">
        <v>33</v>
      </c>
      <c r="J733" s="4">
        <v>117</v>
      </c>
      <c r="K733" t="s">
        <v>19</v>
      </c>
      <c r="L733" t="s">
        <v>25</v>
      </c>
      <c r="N733" t="s">
        <v>32</v>
      </c>
      <c r="O733" s="4">
        <v>1</v>
      </c>
      <c r="P733" s="5">
        <v>1</v>
      </c>
    </row>
    <row r="734" spans="1:16" x14ac:dyDescent="0.3">
      <c r="A734" s="4">
        <v>733</v>
      </c>
      <c r="B734" s="4">
        <v>62</v>
      </c>
      <c r="C734" t="s">
        <v>16</v>
      </c>
      <c r="D734" t="s">
        <v>36</v>
      </c>
      <c r="E734" t="s">
        <v>24</v>
      </c>
      <c r="F734" s="4">
        <v>110</v>
      </c>
      <c r="G734" s="4">
        <v>0</v>
      </c>
      <c r="H734" t="s">
        <v>21</v>
      </c>
      <c r="I734" t="s">
        <v>26</v>
      </c>
      <c r="J734" s="4">
        <v>120</v>
      </c>
      <c r="K734" t="s">
        <v>19</v>
      </c>
      <c r="L734" t="s">
        <v>25</v>
      </c>
      <c r="N734" t="s">
        <v>26</v>
      </c>
      <c r="O734" s="4">
        <v>1</v>
      </c>
      <c r="P734" s="5">
        <v>0.5</v>
      </c>
    </row>
    <row r="735" spans="1:16" x14ac:dyDescent="0.3">
      <c r="A735" s="4">
        <v>734</v>
      </c>
      <c r="B735" s="4">
        <v>63</v>
      </c>
      <c r="C735" t="s">
        <v>16</v>
      </c>
      <c r="D735" t="s">
        <v>36</v>
      </c>
      <c r="E735" t="s">
        <v>28</v>
      </c>
      <c r="G735" s="4">
        <v>0</v>
      </c>
      <c r="H735" t="s">
        <v>21</v>
      </c>
      <c r="I735" t="s">
        <v>20</v>
      </c>
      <c r="K735" t="s">
        <v>32</v>
      </c>
      <c r="L735" t="s">
        <v>32</v>
      </c>
      <c r="N735" t="s">
        <v>32</v>
      </c>
      <c r="O735" s="4">
        <v>1</v>
      </c>
    </row>
    <row r="736" spans="1:16" x14ac:dyDescent="0.3">
      <c r="A736" s="4">
        <v>735</v>
      </c>
      <c r="B736" s="4">
        <v>57</v>
      </c>
      <c r="C736" t="s">
        <v>16</v>
      </c>
      <c r="D736" t="s">
        <v>36</v>
      </c>
      <c r="E736" t="s">
        <v>24</v>
      </c>
      <c r="F736" s="4">
        <v>128</v>
      </c>
      <c r="G736" s="4">
        <v>0</v>
      </c>
      <c r="H736" t="s">
        <v>19</v>
      </c>
      <c r="I736" t="s">
        <v>33</v>
      </c>
      <c r="J736" s="4">
        <v>148</v>
      </c>
      <c r="K736" t="s">
        <v>19</v>
      </c>
      <c r="L736" t="s">
        <v>25</v>
      </c>
      <c r="N736" t="s">
        <v>32</v>
      </c>
      <c r="O736" s="4">
        <v>1</v>
      </c>
      <c r="P736" s="5">
        <v>1</v>
      </c>
    </row>
    <row r="737" spans="1:16" x14ac:dyDescent="0.3">
      <c r="A737" s="4">
        <v>736</v>
      </c>
      <c r="B737" s="4">
        <v>62</v>
      </c>
      <c r="C737" t="s">
        <v>16</v>
      </c>
      <c r="D737" t="s">
        <v>36</v>
      </c>
      <c r="E737" t="s">
        <v>24</v>
      </c>
      <c r="F737" s="4">
        <v>120</v>
      </c>
      <c r="G737" s="4">
        <v>220</v>
      </c>
      <c r="H737" t="s">
        <v>21</v>
      </c>
      <c r="I737" t="s">
        <v>33</v>
      </c>
      <c r="J737" s="4">
        <v>86</v>
      </c>
      <c r="K737" t="s">
        <v>21</v>
      </c>
      <c r="L737" t="s">
        <v>32</v>
      </c>
      <c r="N737" t="s">
        <v>32</v>
      </c>
      <c r="O737" s="4">
        <v>0</v>
      </c>
      <c r="P737" s="5">
        <v>0</v>
      </c>
    </row>
    <row r="738" spans="1:16" x14ac:dyDescent="0.3">
      <c r="A738" s="4">
        <v>737</v>
      </c>
      <c r="B738" s="4">
        <v>63</v>
      </c>
      <c r="C738" t="s">
        <v>16</v>
      </c>
      <c r="D738" t="s">
        <v>36</v>
      </c>
      <c r="E738" t="s">
        <v>24</v>
      </c>
      <c r="F738" s="4">
        <v>170</v>
      </c>
      <c r="G738" s="4">
        <v>177</v>
      </c>
      <c r="H738" t="s">
        <v>21</v>
      </c>
      <c r="I738" t="s">
        <v>26</v>
      </c>
      <c r="J738" s="4">
        <v>84</v>
      </c>
      <c r="K738" t="s">
        <v>19</v>
      </c>
      <c r="L738" t="s">
        <v>22</v>
      </c>
      <c r="N738" t="s">
        <v>32</v>
      </c>
      <c r="O738" s="4">
        <v>4</v>
      </c>
      <c r="P738" s="5">
        <v>0.5</v>
      </c>
    </row>
    <row r="739" spans="1:16" x14ac:dyDescent="0.3">
      <c r="A739" s="4">
        <v>738</v>
      </c>
      <c r="B739" s="4">
        <v>46</v>
      </c>
      <c r="C739" t="s">
        <v>16</v>
      </c>
      <c r="D739" t="s">
        <v>36</v>
      </c>
      <c r="E739" t="s">
        <v>24</v>
      </c>
      <c r="F739" s="4">
        <v>110</v>
      </c>
      <c r="G739" s="4">
        <v>236</v>
      </c>
      <c r="H739" t="s">
        <v>21</v>
      </c>
      <c r="I739" t="s">
        <v>26</v>
      </c>
      <c r="J739" s="4">
        <v>125</v>
      </c>
      <c r="K739" t="s">
        <v>19</v>
      </c>
      <c r="L739" t="s">
        <v>25</v>
      </c>
      <c r="N739" t="s">
        <v>32</v>
      </c>
      <c r="O739" s="4">
        <v>1</v>
      </c>
      <c r="P739" s="5">
        <v>2</v>
      </c>
    </row>
    <row r="740" spans="1:16" x14ac:dyDescent="0.3">
      <c r="A740" s="4">
        <v>739</v>
      </c>
      <c r="B740" s="4">
        <v>63</v>
      </c>
      <c r="C740" t="s">
        <v>16</v>
      </c>
      <c r="D740" t="s">
        <v>36</v>
      </c>
      <c r="E740" t="s">
        <v>24</v>
      </c>
      <c r="F740" s="4">
        <v>126</v>
      </c>
      <c r="G740" s="4">
        <v>0</v>
      </c>
      <c r="H740" t="s">
        <v>21</v>
      </c>
      <c r="I740" t="s">
        <v>33</v>
      </c>
      <c r="J740" s="4">
        <v>120</v>
      </c>
      <c r="K740" t="s">
        <v>21</v>
      </c>
      <c r="L740" t="s">
        <v>22</v>
      </c>
      <c r="N740" t="s">
        <v>32</v>
      </c>
      <c r="O740" s="4">
        <v>0</v>
      </c>
      <c r="P740" s="5">
        <v>0.5</v>
      </c>
    </row>
    <row r="741" spans="1:16" x14ac:dyDescent="0.3">
      <c r="A741" s="4">
        <v>740</v>
      </c>
      <c r="B741" s="4">
        <v>60</v>
      </c>
      <c r="C741" t="s">
        <v>16</v>
      </c>
      <c r="D741" t="s">
        <v>36</v>
      </c>
      <c r="E741" t="s">
        <v>24</v>
      </c>
      <c r="F741" s="4">
        <v>152</v>
      </c>
      <c r="G741" s="4">
        <v>0</v>
      </c>
      <c r="H741" t="s">
        <v>21</v>
      </c>
      <c r="I741" t="s">
        <v>33</v>
      </c>
      <c r="J741" s="4">
        <v>118</v>
      </c>
      <c r="K741" t="s">
        <v>19</v>
      </c>
      <c r="L741" t="s">
        <v>32</v>
      </c>
      <c r="N741" t="s">
        <v>27</v>
      </c>
      <c r="O741" s="4">
        <v>0</v>
      </c>
      <c r="P741" s="5">
        <v>0</v>
      </c>
    </row>
    <row r="742" spans="1:16" x14ac:dyDescent="0.3">
      <c r="A742" s="4">
        <v>741</v>
      </c>
      <c r="B742" s="4">
        <v>58</v>
      </c>
      <c r="C742" t="s">
        <v>16</v>
      </c>
      <c r="D742" t="s">
        <v>36</v>
      </c>
      <c r="E742" t="s">
        <v>24</v>
      </c>
      <c r="F742" s="4">
        <v>116</v>
      </c>
      <c r="G742" s="4">
        <v>0</v>
      </c>
      <c r="H742" t="s">
        <v>21</v>
      </c>
      <c r="I742" t="s">
        <v>26</v>
      </c>
      <c r="J742" s="4">
        <v>124</v>
      </c>
      <c r="K742" t="s">
        <v>21</v>
      </c>
      <c r="L742" t="s">
        <v>31</v>
      </c>
      <c r="N742" t="s">
        <v>32</v>
      </c>
      <c r="O742" s="4">
        <v>2</v>
      </c>
      <c r="P742" s="5">
        <v>1</v>
      </c>
    </row>
    <row r="743" spans="1:16" x14ac:dyDescent="0.3">
      <c r="A743" s="4">
        <v>742</v>
      </c>
      <c r="B743" s="4">
        <v>64</v>
      </c>
      <c r="C743" t="s">
        <v>16</v>
      </c>
      <c r="D743" t="s">
        <v>36</v>
      </c>
      <c r="E743" t="s">
        <v>24</v>
      </c>
      <c r="F743" s="4">
        <v>120</v>
      </c>
      <c r="G743" s="4">
        <v>0</v>
      </c>
      <c r="H743" t="s">
        <v>19</v>
      </c>
      <c r="I743" t="s">
        <v>33</v>
      </c>
      <c r="J743" s="4">
        <v>106</v>
      </c>
      <c r="K743" t="s">
        <v>21</v>
      </c>
      <c r="L743" t="s">
        <v>25</v>
      </c>
      <c r="N743" t="s">
        <v>32</v>
      </c>
      <c r="O743" s="4">
        <v>1</v>
      </c>
      <c r="P743" s="5">
        <v>2</v>
      </c>
    </row>
    <row r="744" spans="1:16" x14ac:dyDescent="0.3">
      <c r="A744" s="4">
        <v>743</v>
      </c>
      <c r="B744" s="4">
        <v>63</v>
      </c>
      <c r="C744" t="s">
        <v>16</v>
      </c>
      <c r="D744" t="s">
        <v>36</v>
      </c>
      <c r="E744" t="s">
        <v>28</v>
      </c>
      <c r="F744" s="4">
        <v>130</v>
      </c>
      <c r="G744" s="4">
        <v>0</v>
      </c>
      <c r="H744" t="s">
        <v>21</v>
      </c>
      <c r="I744" t="s">
        <v>33</v>
      </c>
      <c r="J744" s="4">
        <v>111</v>
      </c>
      <c r="K744" t="s">
        <v>19</v>
      </c>
      <c r="L744" t="s">
        <v>32</v>
      </c>
      <c r="N744" t="s">
        <v>32</v>
      </c>
      <c r="O744" s="4">
        <v>3</v>
      </c>
      <c r="P744" s="5">
        <v>0</v>
      </c>
    </row>
    <row r="745" spans="1:16" x14ac:dyDescent="0.3">
      <c r="A745" s="4">
        <v>744</v>
      </c>
      <c r="B745" s="4">
        <v>74</v>
      </c>
      <c r="C745" t="s">
        <v>16</v>
      </c>
      <c r="D745" t="s">
        <v>36</v>
      </c>
      <c r="E745" t="s">
        <v>28</v>
      </c>
      <c r="G745" s="4">
        <v>0</v>
      </c>
      <c r="H745" t="s">
        <v>21</v>
      </c>
      <c r="I745" t="s">
        <v>26</v>
      </c>
      <c r="K745" t="s">
        <v>32</v>
      </c>
      <c r="L745" t="s">
        <v>32</v>
      </c>
      <c r="N745" t="s">
        <v>32</v>
      </c>
      <c r="O745" s="4">
        <v>0</v>
      </c>
    </row>
    <row r="746" spans="1:16" x14ac:dyDescent="0.3">
      <c r="A746" s="4">
        <v>745</v>
      </c>
      <c r="B746" s="4">
        <v>52</v>
      </c>
      <c r="C746" t="s">
        <v>16</v>
      </c>
      <c r="D746" t="s">
        <v>36</v>
      </c>
      <c r="E746" t="s">
        <v>28</v>
      </c>
      <c r="F746" s="4">
        <v>128</v>
      </c>
      <c r="G746" s="4">
        <v>0</v>
      </c>
      <c r="H746" t="s">
        <v>21</v>
      </c>
      <c r="I746" t="s">
        <v>33</v>
      </c>
      <c r="J746" s="4">
        <v>180</v>
      </c>
      <c r="K746" t="s">
        <v>21</v>
      </c>
      <c r="L746" t="s">
        <v>31</v>
      </c>
      <c r="N746" t="s">
        <v>32</v>
      </c>
      <c r="O746" s="4">
        <v>2</v>
      </c>
      <c r="P746" s="5">
        <v>3</v>
      </c>
    </row>
    <row r="747" spans="1:16" x14ac:dyDescent="0.3">
      <c r="A747" s="4">
        <v>746</v>
      </c>
      <c r="B747" s="4">
        <v>69</v>
      </c>
      <c r="C747" t="s">
        <v>16</v>
      </c>
      <c r="D747" t="s">
        <v>36</v>
      </c>
      <c r="E747" t="s">
        <v>24</v>
      </c>
      <c r="F747" s="4">
        <v>130</v>
      </c>
      <c r="G747" s="4">
        <v>0</v>
      </c>
      <c r="H747" t="s">
        <v>19</v>
      </c>
      <c r="I747" t="s">
        <v>33</v>
      </c>
      <c r="J747" s="4">
        <v>129</v>
      </c>
      <c r="K747" t="s">
        <v>21</v>
      </c>
      <c r="L747" t="s">
        <v>25</v>
      </c>
      <c r="N747" t="s">
        <v>23</v>
      </c>
      <c r="O747" s="4">
        <v>2</v>
      </c>
      <c r="P747" s="5">
        <v>1</v>
      </c>
    </row>
    <row r="748" spans="1:16" x14ac:dyDescent="0.3">
      <c r="A748" s="4">
        <v>747</v>
      </c>
      <c r="B748" s="4">
        <v>51</v>
      </c>
      <c r="C748" t="s">
        <v>16</v>
      </c>
      <c r="D748" t="s">
        <v>36</v>
      </c>
      <c r="E748" t="s">
        <v>24</v>
      </c>
      <c r="G748" s="4">
        <v>0</v>
      </c>
      <c r="H748" t="s">
        <v>19</v>
      </c>
      <c r="I748" t="s">
        <v>33</v>
      </c>
      <c r="K748" t="s">
        <v>32</v>
      </c>
      <c r="L748" t="s">
        <v>32</v>
      </c>
      <c r="N748" t="s">
        <v>32</v>
      </c>
      <c r="O748" s="4">
        <v>2</v>
      </c>
    </row>
    <row r="749" spans="1:16" x14ac:dyDescent="0.3">
      <c r="A749" s="4">
        <v>748</v>
      </c>
      <c r="B749" s="4">
        <v>60</v>
      </c>
      <c r="C749" t="s">
        <v>16</v>
      </c>
      <c r="D749" t="s">
        <v>36</v>
      </c>
      <c r="E749" t="s">
        <v>24</v>
      </c>
      <c r="F749" s="4">
        <v>130</v>
      </c>
      <c r="G749" s="4">
        <v>186</v>
      </c>
      <c r="H749" t="s">
        <v>19</v>
      </c>
      <c r="I749" t="s">
        <v>33</v>
      </c>
      <c r="J749" s="4">
        <v>140</v>
      </c>
      <c r="K749" t="s">
        <v>19</v>
      </c>
      <c r="L749" t="s">
        <v>25</v>
      </c>
      <c r="N749" t="s">
        <v>32</v>
      </c>
      <c r="O749" s="4">
        <v>1</v>
      </c>
      <c r="P749" s="5">
        <v>0.5</v>
      </c>
    </row>
    <row r="750" spans="1:16" x14ac:dyDescent="0.3">
      <c r="A750" s="4">
        <v>749</v>
      </c>
      <c r="B750" s="4">
        <v>56</v>
      </c>
      <c r="C750" t="s">
        <v>16</v>
      </c>
      <c r="D750" t="s">
        <v>36</v>
      </c>
      <c r="E750" t="s">
        <v>24</v>
      </c>
      <c r="F750" s="4">
        <v>120</v>
      </c>
      <c r="G750" s="4">
        <v>100</v>
      </c>
      <c r="H750" t="s">
        <v>21</v>
      </c>
      <c r="I750" t="s">
        <v>26</v>
      </c>
      <c r="J750" s="4">
        <v>120</v>
      </c>
      <c r="K750" t="s">
        <v>19</v>
      </c>
      <c r="L750" t="s">
        <v>25</v>
      </c>
      <c r="M750" s="4">
        <v>0</v>
      </c>
      <c r="N750" t="s">
        <v>27</v>
      </c>
      <c r="O750" s="4">
        <v>1</v>
      </c>
      <c r="P750" s="5">
        <v>0.5</v>
      </c>
    </row>
    <row r="751" spans="1:16" x14ac:dyDescent="0.3">
      <c r="A751" s="4">
        <v>750</v>
      </c>
      <c r="B751" s="4">
        <v>55</v>
      </c>
      <c r="C751" t="s">
        <v>16</v>
      </c>
      <c r="D751" t="s">
        <v>36</v>
      </c>
      <c r="E751" t="s">
        <v>28</v>
      </c>
      <c r="G751" s="4">
        <v>228</v>
      </c>
      <c r="H751" t="s">
        <v>21</v>
      </c>
      <c r="I751" t="s">
        <v>33</v>
      </c>
      <c r="K751" t="s">
        <v>32</v>
      </c>
      <c r="L751" t="s">
        <v>32</v>
      </c>
      <c r="N751" t="s">
        <v>32</v>
      </c>
      <c r="O751" s="4">
        <v>3</v>
      </c>
    </row>
    <row r="752" spans="1:16" x14ac:dyDescent="0.3">
      <c r="A752" s="4">
        <v>751</v>
      </c>
      <c r="B752" s="4">
        <v>54</v>
      </c>
      <c r="C752" t="s">
        <v>16</v>
      </c>
      <c r="D752" t="s">
        <v>36</v>
      </c>
      <c r="E752" t="s">
        <v>24</v>
      </c>
      <c r="G752" s="4">
        <v>0</v>
      </c>
      <c r="H752" t="s">
        <v>21</v>
      </c>
      <c r="I752" t="s">
        <v>33</v>
      </c>
      <c r="K752" t="s">
        <v>32</v>
      </c>
      <c r="L752" t="s">
        <v>32</v>
      </c>
      <c r="N752" t="s">
        <v>32</v>
      </c>
      <c r="O752" s="4">
        <v>3</v>
      </c>
    </row>
    <row r="753" spans="1:16" x14ac:dyDescent="0.3">
      <c r="A753" s="4">
        <v>752</v>
      </c>
      <c r="B753" s="4">
        <v>77</v>
      </c>
      <c r="C753" t="s">
        <v>16</v>
      </c>
      <c r="D753" t="s">
        <v>36</v>
      </c>
      <c r="E753" t="s">
        <v>24</v>
      </c>
      <c r="F753" s="4">
        <v>124</v>
      </c>
      <c r="G753" s="4">
        <v>171</v>
      </c>
      <c r="H753" t="s">
        <v>21</v>
      </c>
      <c r="I753" t="s">
        <v>33</v>
      </c>
      <c r="J753" s="4">
        <v>110</v>
      </c>
      <c r="K753" t="s">
        <v>19</v>
      </c>
      <c r="L753" t="s">
        <v>31</v>
      </c>
      <c r="N753" t="s">
        <v>32</v>
      </c>
      <c r="O753" s="4">
        <v>3</v>
      </c>
      <c r="P753" s="5">
        <v>2</v>
      </c>
    </row>
    <row r="754" spans="1:16" x14ac:dyDescent="0.3">
      <c r="A754" s="4">
        <v>753</v>
      </c>
      <c r="B754" s="4">
        <v>63</v>
      </c>
      <c r="C754" t="s">
        <v>16</v>
      </c>
      <c r="D754" t="s">
        <v>36</v>
      </c>
      <c r="E754" t="s">
        <v>24</v>
      </c>
      <c r="F754" s="4">
        <v>160</v>
      </c>
      <c r="G754" s="4">
        <v>230</v>
      </c>
      <c r="H754" t="s">
        <v>19</v>
      </c>
      <c r="I754" t="s">
        <v>26</v>
      </c>
      <c r="J754" s="4">
        <v>105</v>
      </c>
      <c r="K754" t="s">
        <v>19</v>
      </c>
      <c r="L754" t="s">
        <v>25</v>
      </c>
      <c r="N754" t="s">
        <v>32</v>
      </c>
      <c r="O754" s="4">
        <v>3</v>
      </c>
      <c r="P754" s="5">
        <v>1</v>
      </c>
    </row>
    <row r="755" spans="1:16" x14ac:dyDescent="0.3">
      <c r="A755" s="4">
        <v>754</v>
      </c>
      <c r="B755" s="4">
        <v>55</v>
      </c>
      <c r="C755" t="s">
        <v>16</v>
      </c>
      <c r="D755" t="s">
        <v>36</v>
      </c>
      <c r="E755" t="s">
        <v>28</v>
      </c>
      <c r="F755" s="4">
        <v>0</v>
      </c>
      <c r="G755" s="4">
        <v>0</v>
      </c>
      <c r="H755" t="s">
        <v>21</v>
      </c>
      <c r="I755" t="s">
        <v>26</v>
      </c>
      <c r="J755" s="4">
        <v>155</v>
      </c>
      <c r="K755" t="s">
        <v>21</v>
      </c>
      <c r="L755" t="s">
        <v>25</v>
      </c>
      <c r="N755" t="s">
        <v>32</v>
      </c>
      <c r="O755" s="4">
        <v>3</v>
      </c>
      <c r="P755" s="5">
        <v>0.5</v>
      </c>
    </row>
    <row r="756" spans="1:16" x14ac:dyDescent="0.3">
      <c r="A756" s="4">
        <v>755</v>
      </c>
      <c r="B756" s="4">
        <v>52</v>
      </c>
      <c r="C756" t="s">
        <v>16</v>
      </c>
      <c r="D756" t="s">
        <v>36</v>
      </c>
      <c r="E756" t="s">
        <v>28</v>
      </c>
      <c r="F756" s="4">
        <v>122</v>
      </c>
      <c r="G756" s="4">
        <v>0</v>
      </c>
      <c r="H756" t="s">
        <v>21</v>
      </c>
      <c r="I756" t="s">
        <v>26</v>
      </c>
      <c r="J756" s="4">
        <v>110</v>
      </c>
      <c r="K756" t="s">
        <v>19</v>
      </c>
      <c r="L756" t="s">
        <v>22</v>
      </c>
      <c r="N756" t="s">
        <v>32</v>
      </c>
      <c r="O756" s="4">
        <v>2</v>
      </c>
      <c r="P756" s="5">
        <v>2</v>
      </c>
    </row>
    <row r="757" spans="1:16" x14ac:dyDescent="0.3">
      <c r="A757" s="4">
        <v>756</v>
      </c>
      <c r="B757" s="4">
        <v>64</v>
      </c>
      <c r="C757" t="s">
        <v>16</v>
      </c>
      <c r="D757" t="s">
        <v>36</v>
      </c>
      <c r="E757" t="s">
        <v>24</v>
      </c>
      <c r="F757" s="4">
        <v>144</v>
      </c>
      <c r="G757" s="4">
        <v>0</v>
      </c>
      <c r="H757" t="s">
        <v>21</v>
      </c>
      <c r="I757" t="s">
        <v>33</v>
      </c>
      <c r="J757" s="4">
        <v>122</v>
      </c>
      <c r="K757" t="s">
        <v>19</v>
      </c>
      <c r="L757" t="s">
        <v>25</v>
      </c>
      <c r="N757" t="s">
        <v>32</v>
      </c>
      <c r="O757" s="4">
        <v>3</v>
      </c>
      <c r="P757" s="5">
        <v>1</v>
      </c>
    </row>
    <row r="758" spans="1:16" x14ac:dyDescent="0.3">
      <c r="A758" s="4">
        <v>757</v>
      </c>
      <c r="B758" s="4">
        <v>60</v>
      </c>
      <c r="C758" t="s">
        <v>16</v>
      </c>
      <c r="D758" t="s">
        <v>36</v>
      </c>
      <c r="E758" t="s">
        <v>24</v>
      </c>
      <c r="G758" s="4">
        <v>281</v>
      </c>
      <c r="H758" t="s">
        <v>21</v>
      </c>
      <c r="I758" t="s">
        <v>33</v>
      </c>
      <c r="K758" t="s">
        <v>32</v>
      </c>
      <c r="L758" t="s">
        <v>32</v>
      </c>
      <c r="N758" t="s">
        <v>32</v>
      </c>
      <c r="O758" s="4">
        <v>2</v>
      </c>
    </row>
    <row r="759" spans="1:16" x14ac:dyDescent="0.3">
      <c r="A759" s="4">
        <v>758</v>
      </c>
      <c r="B759" s="4">
        <v>60</v>
      </c>
      <c r="C759" t="s">
        <v>16</v>
      </c>
      <c r="D759" t="s">
        <v>36</v>
      </c>
      <c r="E759" t="s">
        <v>24</v>
      </c>
      <c r="F759" s="4">
        <v>120</v>
      </c>
      <c r="G759" s="4">
        <v>0</v>
      </c>
      <c r="H759" t="s">
        <v>21</v>
      </c>
      <c r="I759" t="s">
        <v>26</v>
      </c>
      <c r="J759" s="4">
        <v>133</v>
      </c>
      <c r="K759" t="s">
        <v>19</v>
      </c>
      <c r="L759" t="s">
        <v>31</v>
      </c>
      <c r="N759" t="s">
        <v>27</v>
      </c>
      <c r="O759" s="4">
        <v>0</v>
      </c>
      <c r="P759" s="5">
        <v>2</v>
      </c>
    </row>
    <row r="760" spans="1:16" x14ac:dyDescent="0.3">
      <c r="A760" s="4">
        <v>759</v>
      </c>
      <c r="B760" s="4">
        <v>58</v>
      </c>
      <c r="C760" t="s">
        <v>16</v>
      </c>
      <c r="D760" t="s">
        <v>36</v>
      </c>
      <c r="E760" t="s">
        <v>24</v>
      </c>
      <c r="G760" s="4">
        <v>203</v>
      </c>
      <c r="H760" t="s">
        <v>19</v>
      </c>
      <c r="I760" t="s">
        <v>26</v>
      </c>
      <c r="K760" t="s">
        <v>32</v>
      </c>
      <c r="L760" t="s">
        <v>32</v>
      </c>
      <c r="N760" t="s">
        <v>32</v>
      </c>
      <c r="O760" s="4">
        <v>1</v>
      </c>
    </row>
    <row r="761" spans="1:16" x14ac:dyDescent="0.3">
      <c r="A761" s="4">
        <v>760</v>
      </c>
      <c r="B761" s="4">
        <v>59</v>
      </c>
      <c r="C761" t="s">
        <v>16</v>
      </c>
      <c r="D761" t="s">
        <v>36</v>
      </c>
      <c r="E761" t="s">
        <v>24</v>
      </c>
      <c r="F761" s="4">
        <v>154</v>
      </c>
      <c r="G761" s="4">
        <v>0</v>
      </c>
      <c r="H761" t="s">
        <v>21</v>
      </c>
      <c r="I761" t="s">
        <v>33</v>
      </c>
      <c r="J761" s="4">
        <v>131</v>
      </c>
      <c r="K761" t="s">
        <v>19</v>
      </c>
      <c r="L761" t="s">
        <v>32</v>
      </c>
      <c r="M761" s="4">
        <v>0</v>
      </c>
      <c r="N761" t="s">
        <v>32</v>
      </c>
      <c r="O761" s="4">
        <v>0</v>
      </c>
      <c r="P761" s="5">
        <v>0.5</v>
      </c>
    </row>
    <row r="762" spans="1:16" x14ac:dyDescent="0.3">
      <c r="A762" s="4">
        <v>761</v>
      </c>
      <c r="B762" s="4">
        <v>61</v>
      </c>
      <c r="C762" t="s">
        <v>16</v>
      </c>
      <c r="D762" t="s">
        <v>36</v>
      </c>
      <c r="E762" t="s">
        <v>28</v>
      </c>
      <c r="F762" s="4">
        <v>120</v>
      </c>
      <c r="G762" s="4">
        <v>0</v>
      </c>
      <c r="H762" t="s">
        <v>21</v>
      </c>
      <c r="I762" t="s">
        <v>26</v>
      </c>
      <c r="J762" s="4">
        <v>80</v>
      </c>
      <c r="K762" t="s">
        <v>19</v>
      </c>
      <c r="L762" t="s">
        <v>25</v>
      </c>
      <c r="N762" t="s">
        <v>32</v>
      </c>
      <c r="O762" s="4">
        <v>3</v>
      </c>
      <c r="P762" s="5">
        <v>0</v>
      </c>
    </row>
    <row r="763" spans="1:16" x14ac:dyDescent="0.3">
      <c r="A763" s="4">
        <v>762</v>
      </c>
      <c r="B763" s="4">
        <v>40</v>
      </c>
      <c r="C763" t="s">
        <v>16</v>
      </c>
      <c r="D763" t="s">
        <v>36</v>
      </c>
      <c r="E763" t="s">
        <v>24</v>
      </c>
      <c r="F763" s="4">
        <v>125</v>
      </c>
      <c r="G763" s="4">
        <v>0</v>
      </c>
      <c r="H763" t="s">
        <v>19</v>
      </c>
      <c r="I763" t="s">
        <v>26</v>
      </c>
      <c r="J763" s="4">
        <v>165</v>
      </c>
      <c r="K763" t="s">
        <v>21</v>
      </c>
      <c r="L763" t="s">
        <v>32</v>
      </c>
      <c r="N763" t="s">
        <v>27</v>
      </c>
      <c r="O763" s="4">
        <v>1</v>
      </c>
      <c r="P763" s="5">
        <v>0</v>
      </c>
    </row>
    <row r="764" spans="1:16" x14ac:dyDescent="0.3">
      <c r="A764" s="4">
        <v>763</v>
      </c>
      <c r="B764" s="4">
        <v>61</v>
      </c>
      <c r="C764" t="s">
        <v>16</v>
      </c>
      <c r="D764" t="s">
        <v>36</v>
      </c>
      <c r="E764" t="s">
        <v>24</v>
      </c>
      <c r="G764" s="4">
        <v>0</v>
      </c>
      <c r="H764" t="s">
        <v>19</v>
      </c>
      <c r="I764" t="s">
        <v>33</v>
      </c>
      <c r="J764" s="4">
        <v>86</v>
      </c>
      <c r="K764" t="s">
        <v>21</v>
      </c>
      <c r="L764" t="s">
        <v>25</v>
      </c>
      <c r="N764" t="s">
        <v>27</v>
      </c>
      <c r="O764" s="4">
        <v>3</v>
      </c>
      <c r="P764" s="5">
        <v>0.5</v>
      </c>
    </row>
    <row r="765" spans="1:16" x14ac:dyDescent="0.3">
      <c r="A765" s="4">
        <v>764</v>
      </c>
      <c r="B765" s="4">
        <v>41</v>
      </c>
      <c r="C765" t="s">
        <v>16</v>
      </c>
      <c r="D765" t="s">
        <v>36</v>
      </c>
      <c r="E765" t="s">
        <v>24</v>
      </c>
      <c r="F765" s="4">
        <v>104</v>
      </c>
      <c r="G765" s="4">
        <v>0</v>
      </c>
      <c r="H765" t="s">
        <v>21</v>
      </c>
      <c r="I765" t="s">
        <v>33</v>
      </c>
      <c r="J765" s="4">
        <v>111</v>
      </c>
      <c r="K765" t="s">
        <v>21</v>
      </c>
      <c r="L765" t="s">
        <v>32</v>
      </c>
      <c r="N765" t="s">
        <v>32</v>
      </c>
      <c r="O765" s="4">
        <v>0</v>
      </c>
      <c r="P765" s="5">
        <v>0</v>
      </c>
    </row>
    <row r="766" spans="1:16" x14ac:dyDescent="0.3">
      <c r="A766" s="4">
        <v>765</v>
      </c>
      <c r="B766" s="4">
        <v>57</v>
      </c>
      <c r="C766" t="s">
        <v>16</v>
      </c>
      <c r="D766" t="s">
        <v>36</v>
      </c>
      <c r="E766" t="s">
        <v>24</v>
      </c>
      <c r="G766" s="4">
        <v>277</v>
      </c>
      <c r="H766" t="s">
        <v>19</v>
      </c>
      <c r="I766" t="s">
        <v>33</v>
      </c>
      <c r="K766" t="s">
        <v>32</v>
      </c>
      <c r="L766" t="s">
        <v>32</v>
      </c>
      <c r="N766" t="s">
        <v>32</v>
      </c>
      <c r="O766" s="4">
        <v>4</v>
      </c>
    </row>
    <row r="767" spans="1:16" x14ac:dyDescent="0.3">
      <c r="A767" s="4">
        <v>766</v>
      </c>
      <c r="B767" s="4">
        <v>63</v>
      </c>
      <c r="C767" t="s">
        <v>16</v>
      </c>
      <c r="D767" t="s">
        <v>36</v>
      </c>
      <c r="E767" t="s">
        <v>24</v>
      </c>
      <c r="F767" s="4">
        <v>136</v>
      </c>
      <c r="G767" s="4">
        <v>0</v>
      </c>
      <c r="H767" t="s">
        <v>21</v>
      </c>
      <c r="I767" t="s">
        <v>26</v>
      </c>
      <c r="J767" s="4">
        <v>84</v>
      </c>
      <c r="K767" t="s">
        <v>19</v>
      </c>
      <c r="L767" t="s">
        <v>32</v>
      </c>
      <c r="N767" t="s">
        <v>27</v>
      </c>
      <c r="O767" s="4">
        <v>2</v>
      </c>
      <c r="P767" s="5">
        <v>0</v>
      </c>
    </row>
    <row r="768" spans="1:16" x14ac:dyDescent="0.3">
      <c r="A768" s="4">
        <v>767</v>
      </c>
      <c r="B768" s="4">
        <v>59</v>
      </c>
      <c r="C768" t="s">
        <v>16</v>
      </c>
      <c r="D768" t="s">
        <v>36</v>
      </c>
      <c r="E768" t="s">
        <v>24</v>
      </c>
      <c r="F768" s="4">
        <v>122</v>
      </c>
      <c r="G768" s="4">
        <v>233</v>
      </c>
      <c r="H768" t="s">
        <v>21</v>
      </c>
      <c r="I768" t="s">
        <v>26</v>
      </c>
      <c r="J768" s="4">
        <v>117</v>
      </c>
      <c r="K768" t="s">
        <v>19</v>
      </c>
      <c r="L768" t="s">
        <v>22</v>
      </c>
      <c r="N768" t="s">
        <v>32</v>
      </c>
      <c r="O768" s="4">
        <v>1</v>
      </c>
      <c r="P768" s="5">
        <v>0.3</v>
      </c>
    </row>
    <row r="769" spans="1:16" x14ac:dyDescent="0.3">
      <c r="A769" s="4">
        <v>768</v>
      </c>
      <c r="B769" s="4">
        <v>51</v>
      </c>
      <c r="C769" t="s">
        <v>16</v>
      </c>
      <c r="D769" t="s">
        <v>36</v>
      </c>
      <c r="E769" t="s">
        <v>24</v>
      </c>
      <c r="F769" s="4">
        <v>128</v>
      </c>
      <c r="G769" s="4">
        <v>0</v>
      </c>
      <c r="H769" t="s">
        <v>21</v>
      </c>
      <c r="I769" t="s">
        <v>26</v>
      </c>
      <c r="J769" s="4">
        <v>107</v>
      </c>
      <c r="K769" t="s">
        <v>21</v>
      </c>
      <c r="L769" t="s">
        <v>32</v>
      </c>
      <c r="N769" t="s">
        <v>32</v>
      </c>
      <c r="O769" s="4">
        <v>0</v>
      </c>
      <c r="P769" s="5">
        <v>0</v>
      </c>
    </row>
    <row r="770" spans="1:16" x14ac:dyDescent="0.3">
      <c r="A770" s="4">
        <v>769</v>
      </c>
      <c r="B770" s="4">
        <v>59</v>
      </c>
      <c r="C770" t="s">
        <v>16</v>
      </c>
      <c r="D770" t="s">
        <v>36</v>
      </c>
      <c r="E770" t="s">
        <v>28</v>
      </c>
      <c r="G770" s="4">
        <v>0</v>
      </c>
      <c r="H770" t="s">
        <v>21</v>
      </c>
      <c r="I770" t="s">
        <v>26</v>
      </c>
      <c r="J770" s="4">
        <v>128</v>
      </c>
      <c r="K770" t="s">
        <v>19</v>
      </c>
      <c r="L770" t="s">
        <v>22</v>
      </c>
      <c r="N770" t="s">
        <v>32</v>
      </c>
      <c r="O770" s="4">
        <v>2</v>
      </c>
      <c r="P770" s="5">
        <v>2</v>
      </c>
    </row>
    <row r="771" spans="1:16" x14ac:dyDescent="0.3">
      <c r="A771" s="4">
        <v>770</v>
      </c>
      <c r="B771" s="4">
        <v>42</v>
      </c>
      <c r="C771" t="s">
        <v>16</v>
      </c>
      <c r="D771" t="s">
        <v>36</v>
      </c>
      <c r="E771" t="s">
        <v>28</v>
      </c>
      <c r="F771" s="4">
        <v>134</v>
      </c>
      <c r="G771" s="4">
        <v>240</v>
      </c>
      <c r="H771" t="s">
        <v>32</v>
      </c>
      <c r="I771" t="s">
        <v>26</v>
      </c>
      <c r="J771" s="4">
        <v>160</v>
      </c>
      <c r="K771" t="s">
        <v>21</v>
      </c>
      <c r="L771" t="s">
        <v>32</v>
      </c>
      <c r="N771" t="s">
        <v>32</v>
      </c>
      <c r="O771" s="4">
        <v>0</v>
      </c>
      <c r="P771" s="5">
        <v>0</v>
      </c>
    </row>
    <row r="772" spans="1:16" x14ac:dyDescent="0.3">
      <c r="A772" s="4">
        <v>771</v>
      </c>
      <c r="B772" s="4">
        <v>55</v>
      </c>
      <c r="C772" t="s">
        <v>16</v>
      </c>
      <c r="D772" t="s">
        <v>36</v>
      </c>
      <c r="E772" t="s">
        <v>28</v>
      </c>
      <c r="F772" s="4">
        <v>120</v>
      </c>
      <c r="G772" s="4">
        <v>0</v>
      </c>
      <c r="H772" t="s">
        <v>21</v>
      </c>
      <c r="I772" t="s">
        <v>33</v>
      </c>
      <c r="J772" s="4">
        <v>125</v>
      </c>
      <c r="K772" t="s">
        <v>19</v>
      </c>
      <c r="L772" t="s">
        <v>25</v>
      </c>
      <c r="N772" t="s">
        <v>27</v>
      </c>
      <c r="O772" s="4">
        <v>1</v>
      </c>
      <c r="P772" s="5">
        <v>0.5</v>
      </c>
    </row>
    <row r="773" spans="1:16" x14ac:dyDescent="0.3">
      <c r="A773" s="4">
        <v>772</v>
      </c>
      <c r="B773" s="4">
        <v>63</v>
      </c>
      <c r="C773" t="s">
        <v>29</v>
      </c>
      <c r="D773" t="s">
        <v>36</v>
      </c>
      <c r="E773" t="s">
        <v>30</v>
      </c>
      <c r="G773" s="4">
        <v>0</v>
      </c>
      <c r="H773" t="s">
        <v>21</v>
      </c>
      <c r="I773" t="s">
        <v>26</v>
      </c>
      <c r="K773" t="s">
        <v>32</v>
      </c>
      <c r="L773" t="s">
        <v>32</v>
      </c>
      <c r="N773" t="s">
        <v>32</v>
      </c>
      <c r="O773" s="4">
        <v>0</v>
      </c>
    </row>
    <row r="774" spans="1:16" x14ac:dyDescent="0.3">
      <c r="A774" s="4">
        <v>773</v>
      </c>
      <c r="B774" s="4">
        <v>62</v>
      </c>
      <c r="C774" t="s">
        <v>16</v>
      </c>
      <c r="D774" t="s">
        <v>36</v>
      </c>
      <c r="E774" t="s">
        <v>24</v>
      </c>
      <c r="F774" s="4">
        <v>152</v>
      </c>
      <c r="G774" s="4">
        <v>153</v>
      </c>
      <c r="H774" t="s">
        <v>21</v>
      </c>
      <c r="I774" t="s">
        <v>33</v>
      </c>
      <c r="J774" s="4">
        <v>97</v>
      </c>
      <c r="K774" t="s">
        <v>19</v>
      </c>
      <c r="L774" t="s">
        <v>31</v>
      </c>
      <c r="N774" t="s">
        <v>27</v>
      </c>
      <c r="O774" s="4">
        <v>2</v>
      </c>
      <c r="P774" s="5">
        <v>0.6</v>
      </c>
    </row>
    <row r="775" spans="1:16" x14ac:dyDescent="0.3">
      <c r="A775" s="4">
        <v>774</v>
      </c>
      <c r="B775" s="4">
        <v>56</v>
      </c>
      <c r="C775" t="s">
        <v>16</v>
      </c>
      <c r="D775" t="s">
        <v>36</v>
      </c>
      <c r="E775" t="s">
        <v>30</v>
      </c>
      <c r="F775" s="4">
        <v>124</v>
      </c>
      <c r="G775" s="4">
        <v>224</v>
      </c>
      <c r="H775" t="s">
        <v>19</v>
      </c>
      <c r="I775" t="s">
        <v>26</v>
      </c>
      <c r="J775" s="4">
        <v>161</v>
      </c>
      <c r="K775" t="s">
        <v>21</v>
      </c>
      <c r="L775" t="s">
        <v>25</v>
      </c>
      <c r="N775" t="s">
        <v>32</v>
      </c>
      <c r="O775" s="4">
        <v>0</v>
      </c>
      <c r="P775" s="5">
        <v>2</v>
      </c>
    </row>
    <row r="776" spans="1:16" x14ac:dyDescent="0.3">
      <c r="A776" s="4">
        <v>775</v>
      </c>
      <c r="B776" s="4">
        <v>53</v>
      </c>
      <c r="C776" t="s">
        <v>16</v>
      </c>
      <c r="D776" t="s">
        <v>36</v>
      </c>
      <c r="E776" t="s">
        <v>24</v>
      </c>
      <c r="F776" s="4">
        <v>126</v>
      </c>
      <c r="G776" s="4">
        <v>0</v>
      </c>
      <c r="H776" t="s">
        <v>21</v>
      </c>
      <c r="I776" t="s">
        <v>26</v>
      </c>
      <c r="J776" s="4">
        <v>106</v>
      </c>
      <c r="K776" t="s">
        <v>21</v>
      </c>
      <c r="L776" t="s">
        <v>32</v>
      </c>
      <c r="N776" t="s">
        <v>32</v>
      </c>
      <c r="O776" s="4">
        <v>1</v>
      </c>
      <c r="P776" s="5">
        <v>0</v>
      </c>
    </row>
    <row r="777" spans="1:16" x14ac:dyDescent="0.3">
      <c r="A777" s="4">
        <v>776</v>
      </c>
      <c r="B777" s="4">
        <v>68</v>
      </c>
      <c r="C777" t="s">
        <v>16</v>
      </c>
      <c r="D777" t="s">
        <v>36</v>
      </c>
      <c r="E777" t="s">
        <v>24</v>
      </c>
      <c r="F777" s="4">
        <v>138</v>
      </c>
      <c r="G777" s="4">
        <v>0</v>
      </c>
      <c r="H777" t="s">
        <v>21</v>
      </c>
      <c r="I777" t="s">
        <v>26</v>
      </c>
      <c r="J777" s="4">
        <v>130</v>
      </c>
      <c r="K777" t="s">
        <v>19</v>
      </c>
      <c r="L777" t="s">
        <v>25</v>
      </c>
      <c r="N777" t="s">
        <v>32</v>
      </c>
      <c r="O777" s="4">
        <v>2</v>
      </c>
      <c r="P777" s="5">
        <v>3</v>
      </c>
    </row>
    <row r="778" spans="1:16" x14ac:dyDescent="0.3">
      <c r="A778" s="4">
        <v>777</v>
      </c>
      <c r="B778" s="4">
        <v>53</v>
      </c>
      <c r="C778" t="s">
        <v>16</v>
      </c>
      <c r="D778" t="s">
        <v>36</v>
      </c>
      <c r="E778" t="s">
        <v>24</v>
      </c>
      <c r="F778" s="4">
        <v>154</v>
      </c>
      <c r="G778" s="4">
        <v>0</v>
      </c>
      <c r="H778" t="s">
        <v>32</v>
      </c>
      <c r="I778" t="s">
        <v>33</v>
      </c>
      <c r="J778" s="4">
        <v>140</v>
      </c>
      <c r="K778" t="s">
        <v>19</v>
      </c>
      <c r="L778" t="s">
        <v>25</v>
      </c>
      <c r="N778" t="s">
        <v>32</v>
      </c>
      <c r="O778" s="4">
        <v>2</v>
      </c>
      <c r="P778" s="5">
        <v>0.5</v>
      </c>
    </row>
    <row r="779" spans="1:16" x14ac:dyDescent="0.3">
      <c r="A779" s="4">
        <v>778</v>
      </c>
      <c r="B779" s="4">
        <v>60</v>
      </c>
      <c r="C779" t="s">
        <v>16</v>
      </c>
      <c r="D779" t="s">
        <v>36</v>
      </c>
      <c r="E779" t="s">
        <v>28</v>
      </c>
      <c r="G779" s="4">
        <v>316</v>
      </c>
      <c r="H779" t="s">
        <v>19</v>
      </c>
      <c r="I779" t="s">
        <v>33</v>
      </c>
      <c r="K779" t="s">
        <v>32</v>
      </c>
      <c r="L779" t="s">
        <v>32</v>
      </c>
      <c r="N779" t="s">
        <v>32</v>
      </c>
      <c r="O779" s="4">
        <v>3</v>
      </c>
    </row>
    <row r="780" spans="1:16" x14ac:dyDescent="0.3">
      <c r="A780" s="4">
        <v>779</v>
      </c>
      <c r="B780" s="4">
        <v>62</v>
      </c>
      <c r="C780" t="s">
        <v>16</v>
      </c>
      <c r="D780" t="s">
        <v>36</v>
      </c>
      <c r="E780" t="s">
        <v>30</v>
      </c>
      <c r="G780" s="4">
        <v>0</v>
      </c>
      <c r="H780" t="s">
        <v>21</v>
      </c>
      <c r="I780" t="s">
        <v>26</v>
      </c>
      <c r="K780" t="s">
        <v>32</v>
      </c>
      <c r="L780" t="s">
        <v>32</v>
      </c>
      <c r="N780" t="s">
        <v>32</v>
      </c>
      <c r="O780" s="4">
        <v>0</v>
      </c>
    </row>
    <row r="781" spans="1:16" x14ac:dyDescent="0.3">
      <c r="A781" s="4">
        <v>780</v>
      </c>
      <c r="B781" s="4">
        <v>59</v>
      </c>
      <c r="C781" t="s">
        <v>16</v>
      </c>
      <c r="D781" t="s">
        <v>36</v>
      </c>
      <c r="E781" t="s">
        <v>24</v>
      </c>
      <c r="F781" s="4">
        <v>178</v>
      </c>
      <c r="G781" s="4">
        <v>0</v>
      </c>
      <c r="H781" t="s">
        <v>19</v>
      </c>
      <c r="I781" t="s">
        <v>20</v>
      </c>
      <c r="J781" s="4">
        <v>120</v>
      </c>
      <c r="K781" t="s">
        <v>19</v>
      </c>
      <c r="L781" t="s">
        <v>32</v>
      </c>
      <c r="N781" t="s">
        <v>27</v>
      </c>
      <c r="O781" s="4">
        <v>1</v>
      </c>
      <c r="P781" s="5">
        <v>0</v>
      </c>
    </row>
    <row r="782" spans="1:16" x14ac:dyDescent="0.3">
      <c r="A782" s="4">
        <v>781</v>
      </c>
      <c r="B782" s="4">
        <v>51</v>
      </c>
      <c r="C782" t="s">
        <v>16</v>
      </c>
      <c r="D782" t="s">
        <v>36</v>
      </c>
      <c r="E782" t="s">
        <v>24</v>
      </c>
      <c r="G782" s="4">
        <v>218</v>
      </c>
      <c r="H782" t="s">
        <v>19</v>
      </c>
      <c r="I782" t="s">
        <v>20</v>
      </c>
      <c r="K782" t="s">
        <v>32</v>
      </c>
      <c r="L782" t="s">
        <v>32</v>
      </c>
      <c r="N782" t="s">
        <v>32</v>
      </c>
      <c r="O782" s="4">
        <v>0</v>
      </c>
    </row>
    <row r="783" spans="1:16" x14ac:dyDescent="0.3">
      <c r="A783" s="4">
        <v>782</v>
      </c>
      <c r="B783" s="4">
        <v>61</v>
      </c>
      <c r="C783" t="s">
        <v>16</v>
      </c>
      <c r="D783" t="s">
        <v>36</v>
      </c>
      <c r="E783" t="s">
        <v>24</v>
      </c>
      <c r="F783" s="4">
        <v>110</v>
      </c>
      <c r="G783" s="4">
        <v>0</v>
      </c>
      <c r="H783" t="s">
        <v>32</v>
      </c>
      <c r="I783" t="s">
        <v>26</v>
      </c>
      <c r="J783" s="4">
        <v>108</v>
      </c>
      <c r="K783" t="s">
        <v>19</v>
      </c>
      <c r="L783" t="s">
        <v>22</v>
      </c>
      <c r="N783" t="s">
        <v>32</v>
      </c>
      <c r="O783" s="4">
        <v>2</v>
      </c>
      <c r="P783" s="5">
        <v>2</v>
      </c>
    </row>
    <row r="784" spans="1:16" x14ac:dyDescent="0.3">
      <c r="A784" s="4">
        <v>783</v>
      </c>
      <c r="B784" s="4">
        <v>57</v>
      </c>
      <c r="C784" t="s">
        <v>16</v>
      </c>
      <c r="D784" t="s">
        <v>36</v>
      </c>
      <c r="E784" t="s">
        <v>24</v>
      </c>
      <c r="F784" s="4">
        <v>130</v>
      </c>
      <c r="G784" s="4">
        <v>311</v>
      </c>
      <c r="H784" t="s">
        <v>32</v>
      </c>
      <c r="I784" t="s">
        <v>33</v>
      </c>
      <c r="J784" s="4">
        <v>148</v>
      </c>
      <c r="K784" t="s">
        <v>19</v>
      </c>
      <c r="L784" t="s">
        <v>25</v>
      </c>
      <c r="N784" t="s">
        <v>32</v>
      </c>
      <c r="O784" s="4">
        <v>1</v>
      </c>
      <c r="P784" s="5">
        <v>2</v>
      </c>
    </row>
    <row r="785" spans="1:16" x14ac:dyDescent="0.3">
      <c r="A785" s="4">
        <v>784</v>
      </c>
      <c r="B785" s="4">
        <v>56</v>
      </c>
      <c r="C785" t="s">
        <v>16</v>
      </c>
      <c r="D785" t="s">
        <v>36</v>
      </c>
      <c r="E785" t="s">
        <v>28</v>
      </c>
      <c r="F785" s="4">
        <v>170</v>
      </c>
      <c r="G785" s="4">
        <v>0</v>
      </c>
      <c r="H785" t="s">
        <v>21</v>
      </c>
      <c r="I785" t="s">
        <v>20</v>
      </c>
      <c r="J785" s="4">
        <v>123</v>
      </c>
      <c r="K785" t="s">
        <v>19</v>
      </c>
      <c r="L785" t="s">
        <v>32</v>
      </c>
      <c r="N785" t="s">
        <v>32</v>
      </c>
      <c r="O785" s="4">
        <v>4</v>
      </c>
      <c r="P785" s="5">
        <v>0.5</v>
      </c>
    </row>
    <row r="786" spans="1:16" x14ac:dyDescent="0.3">
      <c r="A786" s="4">
        <v>785</v>
      </c>
      <c r="B786" s="4">
        <v>58</v>
      </c>
      <c r="C786" t="s">
        <v>16</v>
      </c>
      <c r="D786" t="s">
        <v>36</v>
      </c>
      <c r="E786" t="s">
        <v>30</v>
      </c>
      <c r="F786" s="4">
        <v>126</v>
      </c>
      <c r="G786" s="4">
        <v>0</v>
      </c>
      <c r="H786" t="s">
        <v>19</v>
      </c>
      <c r="I786" t="s">
        <v>26</v>
      </c>
      <c r="J786" s="4">
        <v>110</v>
      </c>
      <c r="K786" t="s">
        <v>19</v>
      </c>
      <c r="L786" t="s">
        <v>25</v>
      </c>
      <c r="N786" t="s">
        <v>32</v>
      </c>
      <c r="O786" s="4">
        <v>2</v>
      </c>
      <c r="P786" s="5">
        <v>2</v>
      </c>
    </row>
    <row r="787" spans="1:16" x14ac:dyDescent="0.3">
      <c r="A787" s="4">
        <v>786</v>
      </c>
      <c r="B787" s="4">
        <v>69</v>
      </c>
      <c r="C787" t="s">
        <v>16</v>
      </c>
      <c r="D787" t="s">
        <v>36</v>
      </c>
      <c r="E787" t="s">
        <v>28</v>
      </c>
      <c r="F787" s="4">
        <v>140</v>
      </c>
      <c r="G787" s="4">
        <v>0</v>
      </c>
      <c r="H787" t="s">
        <v>32</v>
      </c>
      <c r="I787" t="s">
        <v>33</v>
      </c>
      <c r="J787" s="4">
        <v>118</v>
      </c>
      <c r="K787" t="s">
        <v>21</v>
      </c>
      <c r="L787" t="s">
        <v>22</v>
      </c>
      <c r="N787" t="s">
        <v>32</v>
      </c>
      <c r="O787" s="4">
        <v>2</v>
      </c>
      <c r="P787" s="5">
        <v>0.5</v>
      </c>
    </row>
    <row r="788" spans="1:16" x14ac:dyDescent="0.3">
      <c r="A788" s="4">
        <v>787</v>
      </c>
      <c r="B788" s="4">
        <v>67</v>
      </c>
      <c r="C788" t="s">
        <v>16</v>
      </c>
      <c r="D788" t="s">
        <v>36</v>
      </c>
      <c r="E788" t="s">
        <v>18</v>
      </c>
      <c r="F788" s="4">
        <v>142</v>
      </c>
      <c r="G788" s="4">
        <v>270</v>
      </c>
      <c r="H788" t="s">
        <v>19</v>
      </c>
      <c r="I788" t="s">
        <v>26</v>
      </c>
      <c r="J788" s="4">
        <v>125</v>
      </c>
      <c r="K788" t="s">
        <v>21</v>
      </c>
      <c r="L788" t="s">
        <v>31</v>
      </c>
      <c r="N788" t="s">
        <v>32</v>
      </c>
      <c r="O788" s="4">
        <v>3</v>
      </c>
      <c r="P788" s="5">
        <v>0.5</v>
      </c>
    </row>
    <row r="789" spans="1:16" x14ac:dyDescent="0.3">
      <c r="A789" s="4">
        <v>788</v>
      </c>
      <c r="B789" s="4">
        <v>58</v>
      </c>
      <c r="C789" t="s">
        <v>16</v>
      </c>
      <c r="D789" t="s">
        <v>36</v>
      </c>
      <c r="E789" t="s">
        <v>24</v>
      </c>
      <c r="F789" s="4">
        <v>120</v>
      </c>
      <c r="G789" s="4">
        <v>0</v>
      </c>
      <c r="H789" t="s">
        <v>21</v>
      </c>
      <c r="I789" t="s">
        <v>20</v>
      </c>
      <c r="J789" s="4">
        <v>106</v>
      </c>
      <c r="K789" t="s">
        <v>19</v>
      </c>
      <c r="L789" t="s">
        <v>22</v>
      </c>
      <c r="N789" t="s">
        <v>27</v>
      </c>
      <c r="O789" s="4">
        <v>1</v>
      </c>
      <c r="P789" s="5">
        <v>0.5</v>
      </c>
    </row>
    <row r="790" spans="1:16" x14ac:dyDescent="0.3">
      <c r="A790" s="4">
        <v>789</v>
      </c>
      <c r="B790" s="4">
        <v>65</v>
      </c>
      <c r="C790" t="s">
        <v>16</v>
      </c>
      <c r="D790" t="s">
        <v>36</v>
      </c>
      <c r="E790" t="s">
        <v>24</v>
      </c>
      <c r="G790" s="4">
        <v>0</v>
      </c>
      <c r="H790" t="s">
        <v>21</v>
      </c>
      <c r="I790" t="s">
        <v>26</v>
      </c>
      <c r="K790" t="s">
        <v>32</v>
      </c>
      <c r="L790" t="s">
        <v>32</v>
      </c>
      <c r="N790" t="s">
        <v>32</v>
      </c>
      <c r="O790" s="4">
        <v>1</v>
      </c>
    </row>
    <row r="791" spans="1:16" x14ac:dyDescent="0.3">
      <c r="A791" s="4">
        <v>790</v>
      </c>
      <c r="B791" s="4">
        <v>63</v>
      </c>
      <c r="C791" t="s">
        <v>16</v>
      </c>
      <c r="D791" t="s">
        <v>36</v>
      </c>
      <c r="E791" t="s">
        <v>30</v>
      </c>
      <c r="G791" s="4">
        <v>217</v>
      </c>
      <c r="H791" t="s">
        <v>19</v>
      </c>
      <c r="I791" t="s">
        <v>33</v>
      </c>
      <c r="K791" t="s">
        <v>32</v>
      </c>
      <c r="L791" t="s">
        <v>32</v>
      </c>
      <c r="N791" t="s">
        <v>32</v>
      </c>
      <c r="O791" s="4">
        <v>1</v>
      </c>
    </row>
    <row r="792" spans="1:16" x14ac:dyDescent="0.3">
      <c r="A792" s="4">
        <v>791</v>
      </c>
      <c r="B792" s="4">
        <v>55</v>
      </c>
      <c r="C792" t="s">
        <v>16</v>
      </c>
      <c r="D792" t="s">
        <v>36</v>
      </c>
      <c r="E792" t="s">
        <v>30</v>
      </c>
      <c r="F792" s="4">
        <v>110</v>
      </c>
      <c r="G792" s="4">
        <v>214</v>
      </c>
      <c r="H792" t="s">
        <v>19</v>
      </c>
      <c r="I792" t="s">
        <v>33</v>
      </c>
      <c r="J792" s="4">
        <v>180</v>
      </c>
      <c r="K792" t="s">
        <v>21</v>
      </c>
      <c r="L792" t="s">
        <v>32</v>
      </c>
      <c r="N792" t="s">
        <v>32</v>
      </c>
      <c r="O792" s="4">
        <v>0</v>
      </c>
    </row>
    <row r="793" spans="1:16" x14ac:dyDescent="0.3">
      <c r="A793" s="4">
        <v>792</v>
      </c>
      <c r="B793" s="4">
        <v>57</v>
      </c>
      <c r="C793" t="s">
        <v>16</v>
      </c>
      <c r="D793" t="s">
        <v>36</v>
      </c>
      <c r="E793" t="s">
        <v>24</v>
      </c>
      <c r="F793" s="4">
        <v>140</v>
      </c>
      <c r="G793" s="4">
        <v>214</v>
      </c>
      <c r="H793" t="s">
        <v>21</v>
      </c>
      <c r="I793" t="s">
        <v>33</v>
      </c>
      <c r="J793" s="4">
        <v>144</v>
      </c>
      <c r="K793" t="s">
        <v>19</v>
      </c>
      <c r="L793" t="s">
        <v>25</v>
      </c>
      <c r="N793" t="s">
        <v>23</v>
      </c>
      <c r="O793" s="4">
        <v>2</v>
      </c>
      <c r="P793" s="5">
        <v>2</v>
      </c>
    </row>
    <row r="794" spans="1:16" x14ac:dyDescent="0.3">
      <c r="A794" s="4">
        <v>793</v>
      </c>
      <c r="B794" s="4">
        <v>65</v>
      </c>
      <c r="C794" t="s">
        <v>16</v>
      </c>
      <c r="D794" t="s">
        <v>36</v>
      </c>
      <c r="E794" t="s">
        <v>18</v>
      </c>
      <c r="G794" s="4">
        <v>252</v>
      </c>
      <c r="H794" t="s">
        <v>21</v>
      </c>
      <c r="I794" t="s">
        <v>26</v>
      </c>
      <c r="K794" t="s">
        <v>32</v>
      </c>
      <c r="L794" t="s">
        <v>32</v>
      </c>
      <c r="N794" t="s">
        <v>32</v>
      </c>
      <c r="O794" s="4">
        <v>0</v>
      </c>
    </row>
    <row r="795" spans="1:16" x14ac:dyDescent="0.3">
      <c r="A795" s="4">
        <v>794</v>
      </c>
      <c r="B795" s="4">
        <v>54</v>
      </c>
      <c r="C795" t="s">
        <v>16</v>
      </c>
      <c r="D795" t="s">
        <v>36</v>
      </c>
      <c r="E795" t="s">
        <v>24</v>
      </c>
      <c r="F795" s="4">
        <v>136</v>
      </c>
      <c r="G795" s="4">
        <v>220</v>
      </c>
      <c r="H795" t="s">
        <v>21</v>
      </c>
      <c r="I795" t="s">
        <v>26</v>
      </c>
      <c r="J795" s="4">
        <v>140</v>
      </c>
      <c r="K795" t="s">
        <v>19</v>
      </c>
      <c r="L795" t="s">
        <v>25</v>
      </c>
      <c r="N795" t="s">
        <v>32</v>
      </c>
      <c r="O795" s="4">
        <v>3</v>
      </c>
      <c r="P795" s="5">
        <v>3</v>
      </c>
    </row>
    <row r="796" spans="1:16" x14ac:dyDescent="0.3">
      <c r="A796" s="4">
        <v>795</v>
      </c>
      <c r="B796" s="4">
        <v>72</v>
      </c>
      <c r="C796" t="s">
        <v>16</v>
      </c>
      <c r="D796" t="s">
        <v>36</v>
      </c>
      <c r="E796" t="s">
        <v>28</v>
      </c>
      <c r="F796" s="4">
        <v>120</v>
      </c>
      <c r="G796" s="4">
        <v>214</v>
      </c>
      <c r="H796" t="s">
        <v>21</v>
      </c>
      <c r="I796" t="s">
        <v>26</v>
      </c>
      <c r="J796" s="4">
        <v>102</v>
      </c>
      <c r="K796" t="s">
        <v>19</v>
      </c>
      <c r="L796" t="s">
        <v>25</v>
      </c>
      <c r="N796" t="s">
        <v>32</v>
      </c>
      <c r="O796" s="4">
        <v>3</v>
      </c>
      <c r="P796" s="5">
        <v>1</v>
      </c>
    </row>
    <row r="797" spans="1:16" x14ac:dyDescent="0.3">
      <c r="A797" s="4">
        <v>796</v>
      </c>
      <c r="B797" s="4">
        <v>75</v>
      </c>
      <c r="C797" t="s">
        <v>16</v>
      </c>
      <c r="D797" t="s">
        <v>36</v>
      </c>
      <c r="E797" t="s">
        <v>24</v>
      </c>
      <c r="F797" s="4">
        <v>170</v>
      </c>
      <c r="G797" s="4">
        <v>203</v>
      </c>
      <c r="H797" t="s">
        <v>19</v>
      </c>
      <c r="I797" t="s">
        <v>33</v>
      </c>
      <c r="J797" s="4">
        <v>108</v>
      </c>
      <c r="K797" t="s">
        <v>21</v>
      </c>
      <c r="L797" t="s">
        <v>32</v>
      </c>
      <c r="N797" t="s">
        <v>27</v>
      </c>
      <c r="O797" s="4">
        <v>1</v>
      </c>
      <c r="P797" s="5">
        <v>0</v>
      </c>
    </row>
    <row r="798" spans="1:16" x14ac:dyDescent="0.3">
      <c r="A798" s="4">
        <v>797</v>
      </c>
      <c r="B798" s="4">
        <v>49</v>
      </c>
      <c r="C798" t="s">
        <v>16</v>
      </c>
      <c r="D798" t="s">
        <v>36</v>
      </c>
      <c r="E798" t="s">
        <v>18</v>
      </c>
      <c r="F798" s="4">
        <v>130</v>
      </c>
      <c r="G798" s="4">
        <v>0</v>
      </c>
      <c r="H798" t="s">
        <v>21</v>
      </c>
      <c r="I798" t="s">
        <v>33</v>
      </c>
      <c r="J798" s="4">
        <v>145</v>
      </c>
      <c r="K798" t="s">
        <v>21</v>
      </c>
      <c r="L798" t="s">
        <v>25</v>
      </c>
      <c r="N798" t="s">
        <v>32</v>
      </c>
      <c r="O798" s="4">
        <v>2</v>
      </c>
      <c r="P798" s="5">
        <v>3</v>
      </c>
    </row>
    <row r="799" spans="1:16" x14ac:dyDescent="0.3">
      <c r="A799" s="4">
        <v>798</v>
      </c>
      <c r="B799" s="4">
        <v>51</v>
      </c>
      <c r="C799" t="s">
        <v>16</v>
      </c>
      <c r="D799" t="s">
        <v>36</v>
      </c>
      <c r="E799" t="s">
        <v>28</v>
      </c>
      <c r="G799" s="4">
        <v>339</v>
      </c>
      <c r="H799" t="s">
        <v>21</v>
      </c>
      <c r="I799" t="s">
        <v>26</v>
      </c>
      <c r="K799" t="s">
        <v>32</v>
      </c>
      <c r="L799" t="s">
        <v>32</v>
      </c>
      <c r="N799" t="s">
        <v>32</v>
      </c>
      <c r="O799" s="4">
        <v>3</v>
      </c>
    </row>
    <row r="800" spans="1:16" x14ac:dyDescent="0.3">
      <c r="A800" s="4">
        <v>799</v>
      </c>
      <c r="B800" s="4">
        <v>60</v>
      </c>
      <c r="C800" t="s">
        <v>16</v>
      </c>
      <c r="D800" t="s">
        <v>36</v>
      </c>
      <c r="E800" t="s">
        <v>24</v>
      </c>
      <c r="F800" s="4">
        <v>142</v>
      </c>
      <c r="G800" s="4">
        <v>216</v>
      </c>
      <c r="H800" t="s">
        <v>21</v>
      </c>
      <c r="I800" t="s">
        <v>26</v>
      </c>
      <c r="J800" s="4">
        <v>110</v>
      </c>
      <c r="K800" t="s">
        <v>19</v>
      </c>
      <c r="L800" t="s">
        <v>25</v>
      </c>
      <c r="N800" t="s">
        <v>32</v>
      </c>
      <c r="O800" s="4">
        <v>2</v>
      </c>
      <c r="P800" s="5">
        <v>0.5</v>
      </c>
    </row>
    <row r="801" spans="1:16" x14ac:dyDescent="0.3">
      <c r="A801" s="4">
        <v>800</v>
      </c>
      <c r="B801" s="4">
        <v>64</v>
      </c>
      <c r="C801" t="s">
        <v>29</v>
      </c>
      <c r="D801" t="s">
        <v>36</v>
      </c>
      <c r="E801" t="s">
        <v>24</v>
      </c>
      <c r="F801" s="4">
        <v>142</v>
      </c>
      <c r="G801" s="4">
        <v>276</v>
      </c>
      <c r="H801" t="s">
        <v>21</v>
      </c>
      <c r="I801" t="s">
        <v>26</v>
      </c>
      <c r="J801" s="4">
        <v>140</v>
      </c>
      <c r="K801" t="s">
        <v>19</v>
      </c>
      <c r="L801" t="s">
        <v>25</v>
      </c>
      <c r="N801" t="s">
        <v>27</v>
      </c>
      <c r="O801" s="4">
        <v>1</v>
      </c>
      <c r="P801" s="5">
        <v>1</v>
      </c>
    </row>
    <row r="802" spans="1:16" x14ac:dyDescent="0.3">
      <c r="A802" s="4">
        <v>801</v>
      </c>
      <c r="B802" s="4">
        <v>58</v>
      </c>
      <c r="C802" t="s">
        <v>16</v>
      </c>
      <c r="D802" t="s">
        <v>36</v>
      </c>
      <c r="E802" t="s">
        <v>24</v>
      </c>
      <c r="F802" s="4">
        <v>132</v>
      </c>
      <c r="G802" s="4">
        <v>458</v>
      </c>
      <c r="H802" t="s">
        <v>19</v>
      </c>
      <c r="I802" t="s">
        <v>26</v>
      </c>
      <c r="J802" s="4">
        <v>69</v>
      </c>
      <c r="K802" t="s">
        <v>21</v>
      </c>
      <c r="L802" t="s">
        <v>22</v>
      </c>
      <c r="N802" t="s">
        <v>32</v>
      </c>
      <c r="O802" s="4">
        <v>0</v>
      </c>
      <c r="P802" s="5">
        <v>1</v>
      </c>
    </row>
    <row r="803" spans="1:16" x14ac:dyDescent="0.3">
      <c r="A803" s="4">
        <v>802</v>
      </c>
      <c r="B803" s="4">
        <v>61</v>
      </c>
      <c r="C803" t="s">
        <v>16</v>
      </c>
      <c r="D803" t="s">
        <v>36</v>
      </c>
      <c r="E803" t="s">
        <v>24</v>
      </c>
      <c r="F803" s="4">
        <v>146</v>
      </c>
      <c r="G803" s="4">
        <v>241</v>
      </c>
      <c r="H803" t="s">
        <v>21</v>
      </c>
      <c r="I803" t="s">
        <v>26</v>
      </c>
      <c r="J803" s="4">
        <v>148</v>
      </c>
      <c r="K803" t="s">
        <v>19</v>
      </c>
      <c r="L803" t="s">
        <v>22</v>
      </c>
      <c r="N803" t="s">
        <v>32</v>
      </c>
      <c r="O803" s="4">
        <v>2</v>
      </c>
      <c r="P803" s="5">
        <v>3</v>
      </c>
    </row>
    <row r="804" spans="1:16" x14ac:dyDescent="0.3">
      <c r="A804" s="4">
        <v>803</v>
      </c>
      <c r="B804" s="4">
        <v>67</v>
      </c>
      <c r="C804" t="s">
        <v>16</v>
      </c>
      <c r="D804" t="s">
        <v>36</v>
      </c>
      <c r="E804" t="s">
        <v>24</v>
      </c>
      <c r="F804" s="4">
        <v>160</v>
      </c>
      <c r="G804" s="4">
        <v>384</v>
      </c>
      <c r="H804" t="s">
        <v>19</v>
      </c>
      <c r="I804" t="s">
        <v>33</v>
      </c>
      <c r="J804" s="4">
        <v>130</v>
      </c>
      <c r="K804" t="s">
        <v>19</v>
      </c>
      <c r="L804" t="s">
        <v>25</v>
      </c>
      <c r="N804" t="s">
        <v>32</v>
      </c>
      <c r="O804" s="4">
        <v>2</v>
      </c>
      <c r="P804" s="5">
        <v>0</v>
      </c>
    </row>
    <row r="805" spans="1:16" x14ac:dyDescent="0.3">
      <c r="A805" s="4">
        <v>804</v>
      </c>
      <c r="B805" s="4">
        <v>62</v>
      </c>
      <c r="C805" t="s">
        <v>16</v>
      </c>
      <c r="D805" t="s">
        <v>36</v>
      </c>
      <c r="E805" t="s">
        <v>24</v>
      </c>
      <c r="F805" s="4">
        <v>135</v>
      </c>
      <c r="G805" s="4">
        <v>297</v>
      </c>
      <c r="H805" t="s">
        <v>21</v>
      </c>
      <c r="I805" t="s">
        <v>26</v>
      </c>
      <c r="J805" s="4">
        <v>130</v>
      </c>
      <c r="K805" t="s">
        <v>19</v>
      </c>
      <c r="L805" t="s">
        <v>25</v>
      </c>
      <c r="N805" t="s">
        <v>32</v>
      </c>
      <c r="O805" s="4">
        <v>2</v>
      </c>
      <c r="P805" s="5">
        <v>1</v>
      </c>
    </row>
    <row r="806" spans="1:16" x14ac:dyDescent="0.3">
      <c r="A806" s="4">
        <v>805</v>
      </c>
      <c r="B806" s="4">
        <v>65</v>
      </c>
      <c r="C806" t="s">
        <v>16</v>
      </c>
      <c r="D806" t="s">
        <v>36</v>
      </c>
      <c r="E806" t="s">
        <v>24</v>
      </c>
      <c r="F806" s="4">
        <v>136</v>
      </c>
      <c r="G806" s="4">
        <v>248</v>
      </c>
      <c r="H806" t="s">
        <v>21</v>
      </c>
      <c r="I806" t="s">
        <v>26</v>
      </c>
      <c r="J806" s="4">
        <v>140</v>
      </c>
      <c r="K806" t="s">
        <v>19</v>
      </c>
      <c r="L806" t="s">
        <v>22</v>
      </c>
      <c r="N806" t="s">
        <v>32</v>
      </c>
      <c r="O806" s="4">
        <v>4</v>
      </c>
      <c r="P806" s="5">
        <v>4</v>
      </c>
    </row>
    <row r="807" spans="1:16" x14ac:dyDescent="0.3">
      <c r="A807" s="4">
        <v>806</v>
      </c>
      <c r="B807" s="4">
        <v>63</v>
      </c>
      <c r="C807" t="s">
        <v>16</v>
      </c>
      <c r="D807" t="s">
        <v>36</v>
      </c>
      <c r="E807" t="s">
        <v>24</v>
      </c>
      <c r="F807" s="4">
        <v>130</v>
      </c>
      <c r="G807" s="4">
        <v>308</v>
      </c>
      <c r="H807" t="s">
        <v>21</v>
      </c>
      <c r="I807" t="s">
        <v>26</v>
      </c>
      <c r="J807" s="4">
        <v>138</v>
      </c>
      <c r="K807" t="s">
        <v>19</v>
      </c>
      <c r="L807" t="s">
        <v>25</v>
      </c>
      <c r="N807" t="s">
        <v>32</v>
      </c>
      <c r="O807" s="4">
        <v>2</v>
      </c>
      <c r="P807" s="5">
        <v>2</v>
      </c>
    </row>
    <row r="808" spans="1:16" x14ac:dyDescent="0.3">
      <c r="A808" s="4">
        <v>807</v>
      </c>
      <c r="B808" s="4">
        <v>69</v>
      </c>
      <c r="C808" t="s">
        <v>16</v>
      </c>
      <c r="D808" t="s">
        <v>36</v>
      </c>
      <c r="E808" t="s">
        <v>24</v>
      </c>
      <c r="F808" s="4">
        <v>140</v>
      </c>
      <c r="G808" s="4">
        <v>208</v>
      </c>
      <c r="H808" t="s">
        <v>21</v>
      </c>
      <c r="I808" t="s">
        <v>33</v>
      </c>
      <c r="J808" s="4">
        <v>140</v>
      </c>
      <c r="K808" t="s">
        <v>19</v>
      </c>
      <c r="L808" t="s">
        <v>32</v>
      </c>
      <c r="N808" t="s">
        <v>32</v>
      </c>
      <c r="O808" s="4">
        <v>3</v>
      </c>
      <c r="P808" s="5">
        <v>2</v>
      </c>
    </row>
    <row r="809" spans="1:16" x14ac:dyDescent="0.3">
      <c r="A809" s="4">
        <v>808</v>
      </c>
      <c r="B809" s="4">
        <v>51</v>
      </c>
      <c r="C809" t="s">
        <v>16</v>
      </c>
      <c r="D809" t="s">
        <v>36</v>
      </c>
      <c r="E809" t="s">
        <v>24</v>
      </c>
      <c r="G809" s="4">
        <v>227</v>
      </c>
      <c r="H809" t="s">
        <v>19</v>
      </c>
      <c r="I809" t="s">
        <v>33</v>
      </c>
      <c r="K809" t="s">
        <v>32</v>
      </c>
      <c r="L809" t="s">
        <v>32</v>
      </c>
      <c r="N809" t="s">
        <v>32</v>
      </c>
      <c r="O809" s="4">
        <v>0</v>
      </c>
    </row>
    <row r="810" spans="1:16" x14ac:dyDescent="0.3">
      <c r="A810" s="4">
        <v>809</v>
      </c>
      <c r="B810" s="4">
        <v>62</v>
      </c>
      <c r="C810" t="s">
        <v>16</v>
      </c>
      <c r="D810" t="s">
        <v>36</v>
      </c>
      <c r="E810" t="s">
        <v>24</v>
      </c>
      <c r="F810" s="4">
        <v>158</v>
      </c>
      <c r="G810" s="4">
        <v>210</v>
      </c>
      <c r="H810" t="s">
        <v>19</v>
      </c>
      <c r="I810" t="s">
        <v>26</v>
      </c>
      <c r="J810" s="4">
        <v>112</v>
      </c>
      <c r="K810" t="s">
        <v>19</v>
      </c>
      <c r="L810" t="s">
        <v>22</v>
      </c>
      <c r="N810" t="s">
        <v>32</v>
      </c>
      <c r="O810" s="4">
        <v>1</v>
      </c>
      <c r="P810" s="5">
        <v>3</v>
      </c>
    </row>
    <row r="811" spans="1:16" x14ac:dyDescent="0.3">
      <c r="A811" s="4">
        <v>810</v>
      </c>
      <c r="B811" s="4">
        <v>55</v>
      </c>
      <c r="C811" t="s">
        <v>16</v>
      </c>
      <c r="D811" t="s">
        <v>36</v>
      </c>
      <c r="E811" t="s">
        <v>28</v>
      </c>
      <c r="G811" s="4">
        <v>245</v>
      </c>
      <c r="H811" t="s">
        <v>19</v>
      </c>
      <c r="I811" t="s">
        <v>33</v>
      </c>
      <c r="K811" t="s">
        <v>32</v>
      </c>
      <c r="L811" t="s">
        <v>32</v>
      </c>
      <c r="N811" t="s">
        <v>32</v>
      </c>
      <c r="O811" s="4">
        <v>1</v>
      </c>
    </row>
    <row r="812" spans="1:16" x14ac:dyDescent="0.3">
      <c r="A812" s="4">
        <v>811</v>
      </c>
      <c r="B812" s="4">
        <v>75</v>
      </c>
      <c r="C812" t="s">
        <v>16</v>
      </c>
      <c r="D812" t="s">
        <v>36</v>
      </c>
      <c r="E812" t="s">
        <v>24</v>
      </c>
      <c r="F812" s="4">
        <v>136</v>
      </c>
      <c r="G812" s="4">
        <v>225</v>
      </c>
      <c r="H812" t="s">
        <v>21</v>
      </c>
      <c r="I812" t="s">
        <v>26</v>
      </c>
      <c r="J812" s="4">
        <v>112</v>
      </c>
      <c r="K812" t="s">
        <v>19</v>
      </c>
      <c r="L812" t="s">
        <v>25</v>
      </c>
      <c r="N812" t="s">
        <v>32</v>
      </c>
      <c r="O812" s="4">
        <v>3</v>
      </c>
      <c r="P812" s="5">
        <v>3</v>
      </c>
    </row>
    <row r="813" spans="1:16" x14ac:dyDescent="0.3">
      <c r="A813" s="4">
        <v>812</v>
      </c>
      <c r="B813" s="4">
        <v>40</v>
      </c>
      <c r="C813" t="s">
        <v>16</v>
      </c>
      <c r="D813" t="s">
        <v>36</v>
      </c>
      <c r="E813" t="s">
        <v>28</v>
      </c>
      <c r="F813" s="4">
        <v>106</v>
      </c>
      <c r="G813" s="4">
        <v>240</v>
      </c>
      <c r="H813" t="s">
        <v>21</v>
      </c>
      <c r="I813" t="s">
        <v>26</v>
      </c>
      <c r="J813" s="4">
        <v>80</v>
      </c>
      <c r="K813" t="s">
        <v>19</v>
      </c>
      <c r="L813" t="s">
        <v>32</v>
      </c>
      <c r="N813" t="s">
        <v>27</v>
      </c>
      <c r="O813" s="4">
        <v>0</v>
      </c>
      <c r="P813" s="5">
        <v>0</v>
      </c>
    </row>
    <row r="814" spans="1:16" x14ac:dyDescent="0.3">
      <c r="A814" s="4">
        <v>813</v>
      </c>
      <c r="B814" s="4">
        <v>67</v>
      </c>
      <c r="C814" t="s">
        <v>16</v>
      </c>
      <c r="D814" t="s">
        <v>36</v>
      </c>
      <c r="E814" t="s">
        <v>24</v>
      </c>
      <c r="F814" s="4">
        <v>120</v>
      </c>
      <c r="G814" s="4">
        <v>0</v>
      </c>
      <c r="H814" t="s">
        <v>19</v>
      </c>
      <c r="I814" t="s">
        <v>26</v>
      </c>
      <c r="J814" s="4">
        <v>150</v>
      </c>
      <c r="K814" t="s">
        <v>21</v>
      </c>
      <c r="L814" t="s">
        <v>22</v>
      </c>
      <c r="N814" t="s">
        <v>32</v>
      </c>
      <c r="O814" s="4">
        <v>3</v>
      </c>
      <c r="P814" s="5">
        <v>0.5</v>
      </c>
    </row>
    <row r="815" spans="1:16" x14ac:dyDescent="0.3">
      <c r="A815" s="4">
        <v>814</v>
      </c>
      <c r="B815" s="4">
        <v>58</v>
      </c>
      <c r="C815" t="s">
        <v>16</v>
      </c>
      <c r="D815" t="s">
        <v>36</v>
      </c>
      <c r="E815" t="s">
        <v>24</v>
      </c>
      <c r="F815" s="4">
        <v>110</v>
      </c>
      <c r="G815" s="4">
        <v>198</v>
      </c>
      <c r="H815" t="s">
        <v>21</v>
      </c>
      <c r="I815" t="s">
        <v>26</v>
      </c>
      <c r="J815" s="4">
        <v>110</v>
      </c>
      <c r="K815" t="s">
        <v>21</v>
      </c>
      <c r="L815" t="s">
        <v>32</v>
      </c>
      <c r="N815" t="s">
        <v>32</v>
      </c>
      <c r="O815" s="4">
        <v>1</v>
      </c>
      <c r="P815" s="5">
        <v>0</v>
      </c>
    </row>
    <row r="816" spans="1:16" x14ac:dyDescent="0.3">
      <c r="A816" s="4">
        <v>815</v>
      </c>
      <c r="B816" s="4">
        <v>60</v>
      </c>
      <c r="C816" t="s">
        <v>16</v>
      </c>
      <c r="D816" t="s">
        <v>36</v>
      </c>
      <c r="E816" t="s">
        <v>24</v>
      </c>
      <c r="G816" s="4">
        <v>195</v>
      </c>
      <c r="H816" t="s">
        <v>21</v>
      </c>
      <c r="I816" t="s">
        <v>26</v>
      </c>
      <c r="K816" t="s">
        <v>32</v>
      </c>
      <c r="L816" t="s">
        <v>32</v>
      </c>
      <c r="N816" t="s">
        <v>32</v>
      </c>
      <c r="O816" s="4">
        <v>0</v>
      </c>
    </row>
    <row r="817" spans="1:16" x14ac:dyDescent="0.3">
      <c r="A817" s="4">
        <v>816</v>
      </c>
      <c r="B817" s="4">
        <v>63</v>
      </c>
      <c r="C817" t="s">
        <v>16</v>
      </c>
      <c r="D817" t="s">
        <v>36</v>
      </c>
      <c r="E817" t="s">
        <v>24</v>
      </c>
      <c r="F817" s="4">
        <v>160</v>
      </c>
      <c r="G817" s="4">
        <v>267</v>
      </c>
      <c r="H817" t="s">
        <v>19</v>
      </c>
      <c r="I817" t="s">
        <v>33</v>
      </c>
      <c r="J817" s="4">
        <v>88</v>
      </c>
      <c r="K817" t="s">
        <v>19</v>
      </c>
      <c r="L817" t="s">
        <v>32</v>
      </c>
      <c r="N817" t="s">
        <v>32</v>
      </c>
      <c r="O817" s="4">
        <v>3</v>
      </c>
      <c r="P817" s="5">
        <v>2</v>
      </c>
    </row>
    <row r="818" spans="1:16" x14ac:dyDescent="0.3">
      <c r="A818" s="4">
        <v>817</v>
      </c>
      <c r="B818" s="4">
        <v>35</v>
      </c>
      <c r="C818" t="s">
        <v>16</v>
      </c>
      <c r="D818" t="s">
        <v>36</v>
      </c>
      <c r="E818" t="s">
        <v>28</v>
      </c>
      <c r="G818" s="4">
        <v>161</v>
      </c>
      <c r="H818" t="s">
        <v>21</v>
      </c>
      <c r="I818" t="s">
        <v>33</v>
      </c>
      <c r="K818" t="s">
        <v>32</v>
      </c>
      <c r="L818" t="s">
        <v>32</v>
      </c>
      <c r="N818" t="s">
        <v>32</v>
      </c>
      <c r="O818" s="4">
        <v>0</v>
      </c>
    </row>
    <row r="819" spans="1:16" x14ac:dyDescent="0.3">
      <c r="A819" s="4">
        <v>818</v>
      </c>
      <c r="B819" s="4">
        <v>62</v>
      </c>
      <c r="C819" t="s">
        <v>16</v>
      </c>
      <c r="D819" t="s">
        <v>36</v>
      </c>
      <c r="E819" t="s">
        <v>18</v>
      </c>
      <c r="F819" s="4">
        <v>112</v>
      </c>
      <c r="G819" s="4">
        <v>258</v>
      </c>
      <c r="H819" t="s">
        <v>21</v>
      </c>
      <c r="I819" t="s">
        <v>33</v>
      </c>
      <c r="J819" s="4">
        <v>150</v>
      </c>
      <c r="K819" t="s">
        <v>19</v>
      </c>
      <c r="L819" t="s">
        <v>32</v>
      </c>
      <c r="N819" t="s">
        <v>32</v>
      </c>
      <c r="O819" s="4">
        <v>1</v>
      </c>
    </row>
    <row r="820" spans="1:16" x14ac:dyDescent="0.3">
      <c r="A820" s="4">
        <v>819</v>
      </c>
      <c r="B820" s="4">
        <v>43</v>
      </c>
      <c r="C820" t="s">
        <v>16</v>
      </c>
      <c r="D820" t="s">
        <v>36</v>
      </c>
      <c r="E820" t="s">
        <v>24</v>
      </c>
      <c r="F820" s="4">
        <v>122</v>
      </c>
      <c r="G820" s="4">
        <v>0</v>
      </c>
      <c r="H820" t="s">
        <v>21</v>
      </c>
      <c r="I820" t="s">
        <v>26</v>
      </c>
      <c r="J820" s="4">
        <v>120</v>
      </c>
      <c r="K820" t="s">
        <v>21</v>
      </c>
      <c r="L820" t="s">
        <v>31</v>
      </c>
      <c r="N820" t="s">
        <v>32</v>
      </c>
      <c r="O820" s="4">
        <v>1</v>
      </c>
      <c r="P820" s="5">
        <v>0.5</v>
      </c>
    </row>
    <row r="821" spans="1:16" x14ac:dyDescent="0.3">
      <c r="A821" s="4">
        <v>820</v>
      </c>
      <c r="B821" s="4">
        <v>63</v>
      </c>
      <c r="C821" t="s">
        <v>16</v>
      </c>
      <c r="D821" t="s">
        <v>36</v>
      </c>
      <c r="E821" t="s">
        <v>28</v>
      </c>
      <c r="F821" s="4">
        <v>130</v>
      </c>
      <c r="G821" s="4">
        <v>0</v>
      </c>
      <c r="H821" t="s">
        <v>19</v>
      </c>
      <c r="I821" t="s">
        <v>33</v>
      </c>
      <c r="J821" s="4">
        <v>160</v>
      </c>
      <c r="K821" t="s">
        <v>21</v>
      </c>
      <c r="L821" t="s">
        <v>25</v>
      </c>
      <c r="N821" t="s">
        <v>32</v>
      </c>
      <c r="O821" s="4">
        <v>0</v>
      </c>
      <c r="P821" s="5">
        <v>3</v>
      </c>
    </row>
    <row r="822" spans="1:16" x14ac:dyDescent="0.3">
      <c r="A822" s="4">
        <v>821</v>
      </c>
      <c r="B822" s="4">
        <v>68</v>
      </c>
      <c r="C822" t="s">
        <v>16</v>
      </c>
      <c r="D822" t="s">
        <v>36</v>
      </c>
      <c r="E822" t="s">
        <v>28</v>
      </c>
      <c r="F822" s="4">
        <v>150</v>
      </c>
      <c r="G822" s="4">
        <v>195</v>
      </c>
      <c r="H822" t="s">
        <v>19</v>
      </c>
      <c r="I822" t="s">
        <v>26</v>
      </c>
      <c r="J822" s="4">
        <v>132</v>
      </c>
      <c r="K822" t="s">
        <v>21</v>
      </c>
      <c r="L822" t="s">
        <v>32</v>
      </c>
      <c r="N822" t="s">
        <v>23</v>
      </c>
      <c r="O822" s="4">
        <v>1</v>
      </c>
      <c r="P822" s="5">
        <v>0</v>
      </c>
    </row>
    <row r="823" spans="1:16" x14ac:dyDescent="0.3">
      <c r="A823" s="4">
        <v>822</v>
      </c>
      <c r="B823" s="4">
        <v>65</v>
      </c>
      <c r="C823" t="s">
        <v>16</v>
      </c>
      <c r="D823" t="s">
        <v>36</v>
      </c>
      <c r="E823" t="s">
        <v>24</v>
      </c>
      <c r="F823" s="4">
        <v>150</v>
      </c>
      <c r="G823" s="4">
        <v>235</v>
      </c>
      <c r="H823" t="s">
        <v>21</v>
      </c>
      <c r="I823" t="s">
        <v>26</v>
      </c>
      <c r="J823" s="4">
        <v>120</v>
      </c>
      <c r="K823" t="s">
        <v>19</v>
      </c>
      <c r="L823" t="s">
        <v>25</v>
      </c>
      <c r="N823" t="s">
        <v>32</v>
      </c>
      <c r="O823" s="4">
        <v>3</v>
      </c>
      <c r="P823" s="5">
        <v>0.5</v>
      </c>
    </row>
    <row r="824" spans="1:16" x14ac:dyDescent="0.3">
      <c r="A824" s="4">
        <v>823</v>
      </c>
      <c r="B824" s="4">
        <v>48</v>
      </c>
      <c r="C824" t="s">
        <v>16</v>
      </c>
      <c r="D824" t="s">
        <v>36</v>
      </c>
      <c r="E824" t="s">
        <v>28</v>
      </c>
      <c r="F824" s="4">
        <v>102</v>
      </c>
      <c r="G824" s="4">
        <v>0</v>
      </c>
      <c r="H824" t="s">
        <v>32</v>
      </c>
      <c r="I824" t="s">
        <v>33</v>
      </c>
      <c r="J824" s="4">
        <v>110</v>
      </c>
      <c r="K824" t="s">
        <v>19</v>
      </c>
      <c r="L824" t="s">
        <v>22</v>
      </c>
      <c r="N824" t="s">
        <v>32</v>
      </c>
      <c r="O824" s="4">
        <v>1</v>
      </c>
      <c r="P824" s="5">
        <v>1</v>
      </c>
    </row>
    <row r="825" spans="1:16" x14ac:dyDescent="0.3">
      <c r="A825" s="4">
        <v>824</v>
      </c>
      <c r="B825" s="4">
        <v>63</v>
      </c>
      <c r="C825" t="s">
        <v>16</v>
      </c>
      <c r="D825" t="s">
        <v>36</v>
      </c>
      <c r="E825" t="s">
        <v>24</v>
      </c>
      <c r="F825" s="4">
        <v>96</v>
      </c>
      <c r="G825" s="4">
        <v>305</v>
      </c>
      <c r="H825" t="s">
        <v>21</v>
      </c>
      <c r="I825" t="s">
        <v>33</v>
      </c>
      <c r="J825" s="4">
        <v>121</v>
      </c>
      <c r="K825" t="s">
        <v>19</v>
      </c>
      <c r="L825" t="s">
        <v>31</v>
      </c>
      <c r="N825" t="s">
        <v>32</v>
      </c>
      <c r="O825" s="4">
        <v>1</v>
      </c>
      <c r="P825" s="5">
        <v>1</v>
      </c>
    </row>
    <row r="826" spans="1:16" x14ac:dyDescent="0.3">
      <c r="A826" s="4">
        <v>825</v>
      </c>
      <c r="B826" s="4">
        <v>64</v>
      </c>
      <c r="C826" t="s">
        <v>16</v>
      </c>
      <c r="D826" t="s">
        <v>36</v>
      </c>
      <c r="E826" t="s">
        <v>24</v>
      </c>
      <c r="F826" s="4">
        <v>130</v>
      </c>
      <c r="G826" s="4">
        <v>223</v>
      </c>
      <c r="H826" t="s">
        <v>21</v>
      </c>
      <c r="I826" t="s">
        <v>33</v>
      </c>
      <c r="J826" s="4">
        <v>128</v>
      </c>
      <c r="K826" t="s">
        <v>21</v>
      </c>
      <c r="L826" t="s">
        <v>25</v>
      </c>
      <c r="N826" t="s">
        <v>32</v>
      </c>
      <c r="O826" s="4">
        <v>0</v>
      </c>
      <c r="P826" s="5">
        <v>0.5</v>
      </c>
    </row>
    <row r="827" spans="1:16" x14ac:dyDescent="0.3">
      <c r="A827" s="4">
        <v>826</v>
      </c>
      <c r="B827" s="4">
        <v>61</v>
      </c>
      <c r="C827" t="s">
        <v>16</v>
      </c>
      <c r="D827" t="s">
        <v>36</v>
      </c>
      <c r="E827" t="s">
        <v>24</v>
      </c>
      <c r="F827" s="4">
        <v>120</v>
      </c>
      <c r="G827" s="4">
        <v>282</v>
      </c>
      <c r="H827" t="s">
        <v>21</v>
      </c>
      <c r="I827" t="s">
        <v>33</v>
      </c>
      <c r="J827" s="4">
        <v>135</v>
      </c>
      <c r="K827" t="s">
        <v>19</v>
      </c>
      <c r="L827" t="s">
        <v>22</v>
      </c>
      <c r="N827" t="s">
        <v>23</v>
      </c>
      <c r="O827" s="4">
        <v>3</v>
      </c>
      <c r="P827" s="5">
        <v>4</v>
      </c>
    </row>
    <row r="828" spans="1:16" x14ac:dyDescent="0.3">
      <c r="A828" s="4">
        <v>827</v>
      </c>
      <c r="B828" s="4">
        <v>50</v>
      </c>
      <c r="C828" t="s">
        <v>16</v>
      </c>
      <c r="D828" t="s">
        <v>36</v>
      </c>
      <c r="E828" t="s">
        <v>24</v>
      </c>
      <c r="F828" s="4">
        <v>144</v>
      </c>
      <c r="G828" s="4">
        <v>349</v>
      </c>
      <c r="H828" t="s">
        <v>21</v>
      </c>
      <c r="I828" t="s">
        <v>20</v>
      </c>
      <c r="J828" s="4">
        <v>120</v>
      </c>
      <c r="K828" t="s">
        <v>19</v>
      </c>
      <c r="L828" t="s">
        <v>31</v>
      </c>
      <c r="N828" t="s">
        <v>27</v>
      </c>
      <c r="O828" s="4">
        <v>1</v>
      </c>
      <c r="P828" s="5">
        <v>1</v>
      </c>
    </row>
    <row r="829" spans="1:16" x14ac:dyDescent="0.3">
      <c r="A829" s="4">
        <v>828</v>
      </c>
      <c r="B829" s="4">
        <v>59</v>
      </c>
      <c r="C829" t="s">
        <v>16</v>
      </c>
      <c r="D829" t="s">
        <v>36</v>
      </c>
      <c r="E829" t="s">
        <v>24</v>
      </c>
      <c r="F829" s="4">
        <v>124</v>
      </c>
      <c r="H829" t="s">
        <v>21</v>
      </c>
      <c r="I829" t="s">
        <v>26</v>
      </c>
      <c r="J829" s="4">
        <v>117</v>
      </c>
      <c r="K829" t="s">
        <v>19</v>
      </c>
      <c r="L829" t="s">
        <v>25</v>
      </c>
      <c r="N829" t="s">
        <v>32</v>
      </c>
      <c r="O829" s="4">
        <v>1</v>
      </c>
      <c r="P829" s="5">
        <v>1</v>
      </c>
    </row>
    <row r="830" spans="1:16" x14ac:dyDescent="0.3">
      <c r="A830" s="4">
        <v>829</v>
      </c>
      <c r="B830" s="4">
        <v>55</v>
      </c>
      <c r="C830" t="s">
        <v>16</v>
      </c>
      <c r="D830" t="s">
        <v>36</v>
      </c>
      <c r="E830" t="s">
        <v>24</v>
      </c>
      <c r="F830" s="4">
        <v>150</v>
      </c>
      <c r="G830" s="4">
        <v>160</v>
      </c>
      <c r="H830" t="s">
        <v>21</v>
      </c>
      <c r="I830" t="s">
        <v>33</v>
      </c>
      <c r="J830" s="4">
        <v>150</v>
      </c>
      <c r="K830" t="s">
        <v>21</v>
      </c>
      <c r="L830" t="s">
        <v>32</v>
      </c>
      <c r="N830" t="s">
        <v>32</v>
      </c>
      <c r="O830" s="4">
        <v>0</v>
      </c>
      <c r="P830" s="5">
        <v>0</v>
      </c>
    </row>
    <row r="831" spans="1:16" x14ac:dyDescent="0.3">
      <c r="A831" s="4">
        <v>830</v>
      </c>
      <c r="B831" s="4">
        <v>45</v>
      </c>
      <c r="C831" t="s">
        <v>16</v>
      </c>
      <c r="D831" t="s">
        <v>36</v>
      </c>
      <c r="E831" t="s">
        <v>28</v>
      </c>
      <c r="G831" s="4">
        <v>236</v>
      </c>
      <c r="H831" t="s">
        <v>21</v>
      </c>
      <c r="I831" t="s">
        <v>26</v>
      </c>
      <c r="K831" t="s">
        <v>32</v>
      </c>
      <c r="L831" t="s">
        <v>32</v>
      </c>
      <c r="N831" t="s">
        <v>32</v>
      </c>
      <c r="O831" s="4">
        <v>0</v>
      </c>
    </row>
    <row r="832" spans="1:16" x14ac:dyDescent="0.3">
      <c r="A832" s="4">
        <v>831</v>
      </c>
      <c r="B832" s="4">
        <v>65</v>
      </c>
      <c r="C832" t="s">
        <v>16</v>
      </c>
      <c r="D832" t="s">
        <v>36</v>
      </c>
      <c r="E832" t="s">
        <v>24</v>
      </c>
      <c r="G832" s="4">
        <v>312</v>
      </c>
      <c r="H832" t="s">
        <v>21</v>
      </c>
      <c r="I832" t="s">
        <v>20</v>
      </c>
      <c r="K832" t="s">
        <v>32</v>
      </c>
      <c r="L832" t="s">
        <v>32</v>
      </c>
      <c r="N832" t="s">
        <v>32</v>
      </c>
      <c r="O832" s="4">
        <v>3</v>
      </c>
    </row>
    <row r="833" spans="1:16" x14ac:dyDescent="0.3">
      <c r="A833" s="4">
        <v>832</v>
      </c>
      <c r="B833" s="4">
        <v>61</v>
      </c>
      <c r="C833" t="s">
        <v>16</v>
      </c>
      <c r="D833" t="s">
        <v>36</v>
      </c>
      <c r="E833" t="s">
        <v>30</v>
      </c>
      <c r="G833" s="4">
        <v>283</v>
      </c>
      <c r="H833" t="s">
        <v>21</v>
      </c>
      <c r="I833" t="s">
        <v>26</v>
      </c>
      <c r="K833" t="s">
        <v>32</v>
      </c>
      <c r="L833" t="s">
        <v>32</v>
      </c>
      <c r="N833" t="s">
        <v>32</v>
      </c>
      <c r="O833" s="4">
        <v>0</v>
      </c>
    </row>
    <row r="834" spans="1:16" x14ac:dyDescent="0.3">
      <c r="A834" s="4">
        <v>833</v>
      </c>
      <c r="B834" s="4">
        <v>49</v>
      </c>
      <c r="C834" t="s">
        <v>16</v>
      </c>
      <c r="D834" t="s">
        <v>36</v>
      </c>
      <c r="E834" t="s">
        <v>28</v>
      </c>
      <c r="G834" s="4">
        <v>142</v>
      </c>
      <c r="H834" t="s">
        <v>21</v>
      </c>
      <c r="I834" t="s">
        <v>26</v>
      </c>
      <c r="K834" t="s">
        <v>32</v>
      </c>
      <c r="L834" t="s">
        <v>32</v>
      </c>
      <c r="N834" t="s">
        <v>32</v>
      </c>
      <c r="O834" s="4">
        <v>3</v>
      </c>
    </row>
    <row r="835" spans="1:16" x14ac:dyDescent="0.3">
      <c r="A835" s="4">
        <v>834</v>
      </c>
      <c r="B835" s="4">
        <v>72</v>
      </c>
      <c r="C835" t="s">
        <v>16</v>
      </c>
      <c r="D835" t="s">
        <v>36</v>
      </c>
      <c r="E835" t="s">
        <v>24</v>
      </c>
      <c r="G835" s="4">
        <v>211</v>
      </c>
      <c r="H835" t="s">
        <v>21</v>
      </c>
      <c r="I835" t="s">
        <v>26</v>
      </c>
      <c r="K835" t="s">
        <v>32</v>
      </c>
      <c r="L835" t="s">
        <v>32</v>
      </c>
      <c r="N835" t="s">
        <v>32</v>
      </c>
      <c r="O835" s="4">
        <v>1</v>
      </c>
    </row>
    <row r="836" spans="1:16" x14ac:dyDescent="0.3">
      <c r="A836" s="4">
        <v>835</v>
      </c>
      <c r="B836" s="4">
        <v>50</v>
      </c>
      <c r="C836" t="s">
        <v>16</v>
      </c>
      <c r="D836" t="s">
        <v>36</v>
      </c>
      <c r="E836" t="s">
        <v>24</v>
      </c>
      <c r="G836" s="4">
        <v>218</v>
      </c>
      <c r="H836" t="s">
        <v>21</v>
      </c>
      <c r="I836" t="s">
        <v>26</v>
      </c>
      <c r="K836" t="s">
        <v>32</v>
      </c>
      <c r="L836" t="s">
        <v>32</v>
      </c>
      <c r="N836" t="s">
        <v>32</v>
      </c>
      <c r="O836" s="4">
        <v>1</v>
      </c>
    </row>
    <row r="837" spans="1:16" x14ac:dyDescent="0.3">
      <c r="A837" s="4">
        <v>836</v>
      </c>
      <c r="B837" s="4">
        <v>64</v>
      </c>
      <c r="C837" t="s">
        <v>16</v>
      </c>
      <c r="D837" t="s">
        <v>36</v>
      </c>
      <c r="E837" t="s">
        <v>24</v>
      </c>
      <c r="G837" s="4">
        <v>306</v>
      </c>
      <c r="H837" t="s">
        <v>19</v>
      </c>
      <c r="I837" t="s">
        <v>33</v>
      </c>
      <c r="K837" t="s">
        <v>32</v>
      </c>
      <c r="L837" t="s">
        <v>32</v>
      </c>
      <c r="N837" t="s">
        <v>32</v>
      </c>
      <c r="O837" s="4">
        <v>3</v>
      </c>
    </row>
    <row r="838" spans="1:16" x14ac:dyDescent="0.3">
      <c r="A838" s="4">
        <v>837</v>
      </c>
      <c r="B838" s="4">
        <v>55</v>
      </c>
      <c r="C838" t="s">
        <v>16</v>
      </c>
      <c r="D838" t="s">
        <v>36</v>
      </c>
      <c r="E838" t="s">
        <v>24</v>
      </c>
      <c r="F838" s="4">
        <v>116</v>
      </c>
      <c r="G838" s="4">
        <v>186</v>
      </c>
      <c r="H838" t="s">
        <v>19</v>
      </c>
      <c r="I838" t="s">
        <v>33</v>
      </c>
      <c r="J838" s="4">
        <v>102</v>
      </c>
      <c r="K838" t="s">
        <v>21</v>
      </c>
      <c r="L838" t="s">
        <v>32</v>
      </c>
      <c r="N838" t="s">
        <v>32</v>
      </c>
      <c r="O838" s="4">
        <v>2</v>
      </c>
      <c r="P838" s="5">
        <v>0</v>
      </c>
    </row>
    <row r="839" spans="1:16" x14ac:dyDescent="0.3">
      <c r="A839" s="4">
        <v>838</v>
      </c>
      <c r="B839" s="4">
        <v>63</v>
      </c>
      <c r="C839" t="s">
        <v>16</v>
      </c>
      <c r="D839" t="s">
        <v>36</v>
      </c>
      <c r="E839" t="s">
        <v>24</v>
      </c>
      <c r="F839" s="4">
        <v>110</v>
      </c>
      <c r="G839" s="4">
        <v>252</v>
      </c>
      <c r="H839" t="s">
        <v>21</v>
      </c>
      <c r="I839" t="s">
        <v>33</v>
      </c>
      <c r="J839" s="4">
        <v>140</v>
      </c>
      <c r="K839" t="s">
        <v>19</v>
      </c>
      <c r="L839" t="s">
        <v>25</v>
      </c>
      <c r="N839" t="s">
        <v>32</v>
      </c>
      <c r="O839" s="4">
        <v>2</v>
      </c>
      <c r="P839" s="5">
        <v>2</v>
      </c>
    </row>
    <row r="840" spans="1:16" x14ac:dyDescent="0.3">
      <c r="A840" s="4">
        <v>839</v>
      </c>
      <c r="B840" s="4">
        <v>59</v>
      </c>
      <c r="C840" t="s">
        <v>16</v>
      </c>
      <c r="D840" t="s">
        <v>36</v>
      </c>
      <c r="E840" t="s">
        <v>24</v>
      </c>
      <c r="F840" s="4">
        <v>125</v>
      </c>
      <c r="G840" s="4">
        <v>222</v>
      </c>
      <c r="H840" t="s">
        <v>21</v>
      </c>
      <c r="I840" t="s">
        <v>26</v>
      </c>
      <c r="J840" s="4">
        <v>135</v>
      </c>
      <c r="K840" t="s">
        <v>19</v>
      </c>
      <c r="L840" t="s">
        <v>22</v>
      </c>
      <c r="N840" t="s">
        <v>32</v>
      </c>
      <c r="O840" s="4">
        <v>3</v>
      </c>
      <c r="P840" s="5">
        <v>0.5</v>
      </c>
    </row>
    <row r="841" spans="1:16" x14ac:dyDescent="0.3">
      <c r="A841" s="4">
        <v>840</v>
      </c>
      <c r="B841" s="4">
        <v>56</v>
      </c>
      <c r="C841" t="s">
        <v>16</v>
      </c>
      <c r="D841" t="s">
        <v>36</v>
      </c>
      <c r="E841" t="s">
        <v>24</v>
      </c>
      <c r="G841" s="4">
        <v>0</v>
      </c>
      <c r="H841" t="s">
        <v>21</v>
      </c>
      <c r="I841" t="s">
        <v>20</v>
      </c>
      <c r="K841" t="s">
        <v>32</v>
      </c>
      <c r="L841" t="s">
        <v>32</v>
      </c>
      <c r="N841" t="s">
        <v>32</v>
      </c>
      <c r="O841" s="4">
        <v>1</v>
      </c>
    </row>
    <row r="842" spans="1:16" x14ac:dyDescent="0.3">
      <c r="A842" s="4">
        <v>841</v>
      </c>
      <c r="B842" s="4">
        <v>62</v>
      </c>
      <c r="C842" t="s">
        <v>16</v>
      </c>
      <c r="D842" t="s">
        <v>36</v>
      </c>
      <c r="E842" t="s">
        <v>28</v>
      </c>
      <c r="G842" s="4">
        <v>0</v>
      </c>
      <c r="H842" t="s">
        <v>19</v>
      </c>
      <c r="I842" t="s">
        <v>33</v>
      </c>
      <c r="K842" t="s">
        <v>32</v>
      </c>
      <c r="L842" t="s">
        <v>32</v>
      </c>
      <c r="N842" t="s">
        <v>32</v>
      </c>
      <c r="O842" s="4">
        <v>2</v>
      </c>
    </row>
    <row r="843" spans="1:16" x14ac:dyDescent="0.3">
      <c r="A843" s="4">
        <v>842</v>
      </c>
      <c r="B843" s="4">
        <v>74</v>
      </c>
      <c r="C843" t="s">
        <v>16</v>
      </c>
      <c r="D843" t="s">
        <v>36</v>
      </c>
      <c r="E843" t="s">
        <v>24</v>
      </c>
      <c r="F843" s="4">
        <v>150</v>
      </c>
      <c r="G843" s="4">
        <v>258</v>
      </c>
      <c r="H843" t="s">
        <v>19</v>
      </c>
      <c r="I843" t="s">
        <v>33</v>
      </c>
      <c r="J843" s="4">
        <v>130</v>
      </c>
      <c r="K843" t="s">
        <v>19</v>
      </c>
      <c r="L843" t="s">
        <v>22</v>
      </c>
      <c r="N843" t="s">
        <v>32</v>
      </c>
      <c r="O843" s="4">
        <v>3</v>
      </c>
      <c r="P843" s="5">
        <v>4</v>
      </c>
    </row>
    <row r="844" spans="1:16" x14ac:dyDescent="0.3">
      <c r="A844" s="4">
        <v>843</v>
      </c>
      <c r="B844" s="4">
        <v>54</v>
      </c>
      <c r="C844" t="s">
        <v>16</v>
      </c>
      <c r="D844" t="s">
        <v>36</v>
      </c>
      <c r="E844" t="s">
        <v>24</v>
      </c>
      <c r="F844" s="4">
        <v>130</v>
      </c>
      <c r="G844" s="4">
        <v>202</v>
      </c>
      <c r="H844" t="s">
        <v>19</v>
      </c>
      <c r="I844" t="s">
        <v>26</v>
      </c>
      <c r="J844" s="4">
        <v>112</v>
      </c>
      <c r="K844" t="s">
        <v>19</v>
      </c>
      <c r="L844" t="s">
        <v>25</v>
      </c>
      <c r="N844" t="s">
        <v>32</v>
      </c>
      <c r="O844" s="4">
        <v>1</v>
      </c>
      <c r="P844" s="5">
        <v>2</v>
      </c>
    </row>
    <row r="845" spans="1:16" x14ac:dyDescent="0.3">
      <c r="A845" s="4">
        <v>844</v>
      </c>
      <c r="B845" s="4">
        <v>57</v>
      </c>
      <c r="C845" t="s">
        <v>16</v>
      </c>
      <c r="D845" t="s">
        <v>36</v>
      </c>
      <c r="E845" t="s">
        <v>24</v>
      </c>
      <c r="F845" s="4">
        <v>110</v>
      </c>
      <c r="G845" s="4">
        <v>197</v>
      </c>
      <c r="H845" t="s">
        <v>21</v>
      </c>
      <c r="I845" t="s">
        <v>20</v>
      </c>
      <c r="J845" s="4">
        <v>100</v>
      </c>
      <c r="K845" t="s">
        <v>21</v>
      </c>
      <c r="L845" t="s">
        <v>32</v>
      </c>
      <c r="N845" t="s">
        <v>32</v>
      </c>
      <c r="O845" s="4">
        <v>0</v>
      </c>
      <c r="P845" s="5">
        <v>0</v>
      </c>
    </row>
    <row r="846" spans="1:16" x14ac:dyDescent="0.3">
      <c r="A846" s="4">
        <v>845</v>
      </c>
      <c r="B846" s="4">
        <v>62</v>
      </c>
      <c r="C846" t="s">
        <v>16</v>
      </c>
      <c r="D846" t="s">
        <v>36</v>
      </c>
      <c r="E846" t="s">
        <v>28</v>
      </c>
      <c r="G846" s="4">
        <v>204</v>
      </c>
      <c r="H846" t="s">
        <v>21</v>
      </c>
      <c r="I846" t="s">
        <v>33</v>
      </c>
      <c r="K846" t="s">
        <v>32</v>
      </c>
      <c r="L846" t="s">
        <v>32</v>
      </c>
      <c r="N846" t="s">
        <v>32</v>
      </c>
      <c r="O846" s="4">
        <v>1</v>
      </c>
    </row>
    <row r="847" spans="1:16" x14ac:dyDescent="0.3">
      <c r="A847" s="4">
        <v>846</v>
      </c>
      <c r="B847" s="4">
        <v>76</v>
      </c>
      <c r="C847" t="s">
        <v>16</v>
      </c>
      <c r="D847" t="s">
        <v>36</v>
      </c>
      <c r="E847" t="s">
        <v>28</v>
      </c>
      <c r="F847" s="4">
        <v>104</v>
      </c>
      <c r="H847" t="s">
        <v>21</v>
      </c>
      <c r="I847" t="s">
        <v>20</v>
      </c>
      <c r="J847" s="4">
        <v>120</v>
      </c>
      <c r="K847" t="s">
        <v>21</v>
      </c>
      <c r="L847" t="s">
        <v>22</v>
      </c>
      <c r="N847" t="s">
        <v>32</v>
      </c>
      <c r="O847" s="4">
        <v>4</v>
      </c>
      <c r="P847" s="5">
        <v>0.5</v>
      </c>
    </row>
    <row r="848" spans="1:16" x14ac:dyDescent="0.3">
      <c r="A848" s="4">
        <v>847</v>
      </c>
      <c r="B848" s="4">
        <v>54</v>
      </c>
      <c r="C848" t="s">
        <v>29</v>
      </c>
      <c r="D848" t="s">
        <v>36</v>
      </c>
      <c r="E848" t="s">
        <v>24</v>
      </c>
      <c r="F848" s="4">
        <v>138</v>
      </c>
      <c r="G848" s="4">
        <v>274</v>
      </c>
      <c r="H848" t="s">
        <v>21</v>
      </c>
      <c r="I848" t="s">
        <v>26</v>
      </c>
      <c r="J848" s="4">
        <v>105</v>
      </c>
      <c r="K848" t="s">
        <v>19</v>
      </c>
      <c r="L848" t="s">
        <v>25</v>
      </c>
      <c r="N848" t="s">
        <v>32</v>
      </c>
      <c r="O848" s="4">
        <v>1</v>
      </c>
      <c r="P848" s="5">
        <v>0.5</v>
      </c>
    </row>
    <row r="849" spans="1:16" x14ac:dyDescent="0.3">
      <c r="A849" s="4">
        <v>848</v>
      </c>
      <c r="B849" s="4">
        <v>70</v>
      </c>
      <c r="C849" t="s">
        <v>16</v>
      </c>
      <c r="D849" t="s">
        <v>36</v>
      </c>
      <c r="E849" t="s">
        <v>24</v>
      </c>
      <c r="F849" s="4">
        <v>170</v>
      </c>
      <c r="G849" s="4">
        <v>192</v>
      </c>
      <c r="H849" t="s">
        <v>21</v>
      </c>
      <c r="I849" t="s">
        <v>33</v>
      </c>
      <c r="J849" s="4">
        <v>129</v>
      </c>
      <c r="K849" t="s">
        <v>19</v>
      </c>
      <c r="L849" t="s">
        <v>22</v>
      </c>
      <c r="N849" t="s">
        <v>32</v>
      </c>
      <c r="O849" s="4">
        <v>2</v>
      </c>
      <c r="P849" s="5">
        <v>3</v>
      </c>
    </row>
    <row r="850" spans="1:16" x14ac:dyDescent="0.3">
      <c r="A850" s="4">
        <v>849</v>
      </c>
      <c r="B850" s="4">
        <v>61</v>
      </c>
      <c r="C850" t="s">
        <v>29</v>
      </c>
      <c r="D850" t="s">
        <v>36</v>
      </c>
      <c r="E850" t="s">
        <v>30</v>
      </c>
      <c r="F850" s="4">
        <v>140</v>
      </c>
      <c r="G850" s="4">
        <v>298</v>
      </c>
      <c r="H850" t="s">
        <v>19</v>
      </c>
      <c r="I850" t="s">
        <v>26</v>
      </c>
      <c r="J850" s="4">
        <v>120</v>
      </c>
      <c r="K850" t="s">
        <v>19</v>
      </c>
      <c r="L850" t="s">
        <v>32</v>
      </c>
      <c r="N850" t="s">
        <v>27</v>
      </c>
      <c r="O850" s="4">
        <v>0</v>
      </c>
      <c r="P850" s="5">
        <v>0</v>
      </c>
    </row>
    <row r="851" spans="1:16" x14ac:dyDescent="0.3">
      <c r="A851" s="4">
        <v>850</v>
      </c>
      <c r="B851" s="4">
        <v>48</v>
      </c>
      <c r="C851" t="s">
        <v>16</v>
      </c>
      <c r="D851" t="s">
        <v>36</v>
      </c>
      <c r="E851" t="s">
        <v>24</v>
      </c>
      <c r="G851" s="4">
        <v>272</v>
      </c>
      <c r="H851" t="s">
        <v>21</v>
      </c>
      <c r="I851" t="s">
        <v>33</v>
      </c>
      <c r="K851" t="s">
        <v>32</v>
      </c>
      <c r="L851" t="s">
        <v>32</v>
      </c>
      <c r="N851" t="s">
        <v>32</v>
      </c>
      <c r="O851" s="4">
        <v>0</v>
      </c>
    </row>
    <row r="852" spans="1:16" x14ac:dyDescent="0.3">
      <c r="A852" s="4">
        <v>851</v>
      </c>
      <c r="B852" s="4">
        <v>48</v>
      </c>
      <c r="C852" t="s">
        <v>16</v>
      </c>
      <c r="D852" t="s">
        <v>36</v>
      </c>
      <c r="E852" t="s">
        <v>28</v>
      </c>
      <c r="F852" s="4">
        <v>132</v>
      </c>
      <c r="G852" s="4">
        <v>220</v>
      </c>
      <c r="H852" t="s">
        <v>19</v>
      </c>
      <c r="I852" t="s">
        <v>33</v>
      </c>
      <c r="J852" s="4">
        <v>162</v>
      </c>
      <c r="K852" t="s">
        <v>21</v>
      </c>
      <c r="L852" t="s">
        <v>32</v>
      </c>
      <c r="N852" t="s">
        <v>23</v>
      </c>
      <c r="O852" s="4">
        <v>1</v>
      </c>
      <c r="P852" s="5">
        <v>0</v>
      </c>
    </row>
    <row r="853" spans="1:16" x14ac:dyDescent="0.3">
      <c r="A853" s="4">
        <v>852</v>
      </c>
      <c r="B853" s="4">
        <v>61</v>
      </c>
      <c r="C853" t="s">
        <v>16</v>
      </c>
      <c r="D853" t="s">
        <v>36</v>
      </c>
      <c r="E853" t="s">
        <v>18</v>
      </c>
      <c r="F853" s="4">
        <v>142</v>
      </c>
      <c r="G853" s="4">
        <v>200</v>
      </c>
      <c r="H853" t="s">
        <v>19</v>
      </c>
      <c r="I853" t="s">
        <v>33</v>
      </c>
      <c r="J853" s="4">
        <v>100</v>
      </c>
      <c r="K853" t="s">
        <v>21</v>
      </c>
      <c r="L853" t="s">
        <v>22</v>
      </c>
      <c r="N853" t="s">
        <v>32</v>
      </c>
      <c r="O853" s="4">
        <v>3</v>
      </c>
      <c r="P853" s="5">
        <v>0.5</v>
      </c>
    </row>
    <row r="854" spans="1:16" x14ac:dyDescent="0.3">
      <c r="A854" s="4">
        <v>853</v>
      </c>
      <c r="B854" s="4">
        <v>66</v>
      </c>
      <c r="C854" t="s">
        <v>16</v>
      </c>
      <c r="D854" t="s">
        <v>36</v>
      </c>
      <c r="E854" t="s">
        <v>24</v>
      </c>
      <c r="F854" s="4">
        <v>112</v>
      </c>
      <c r="G854" s="4">
        <v>261</v>
      </c>
      <c r="H854" t="s">
        <v>21</v>
      </c>
      <c r="I854" t="s">
        <v>26</v>
      </c>
      <c r="J854" s="4">
        <v>140</v>
      </c>
      <c r="K854" t="s">
        <v>21</v>
      </c>
      <c r="L854" t="s">
        <v>31</v>
      </c>
      <c r="N854" t="s">
        <v>32</v>
      </c>
      <c r="O854" s="4">
        <v>1</v>
      </c>
      <c r="P854" s="5">
        <v>0.5</v>
      </c>
    </row>
    <row r="855" spans="1:16" x14ac:dyDescent="0.3">
      <c r="A855" s="4">
        <v>854</v>
      </c>
      <c r="B855" s="4">
        <v>68</v>
      </c>
      <c r="C855" t="s">
        <v>16</v>
      </c>
      <c r="D855" t="s">
        <v>36</v>
      </c>
      <c r="E855" t="s">
        <v>18</v>
      </c>
      <c r="G855" s="4">
        <v>181</v>
      </c>
      <c r="H855" t="s">
        <v>19</v>
      </c>
      <c r="I855" t="s">
        <v>33</v>
      </c>
      <c r="K855" t="s">
        <v>32</v>
      </c>
      <c r="L855" t="s">
        <v>32</v>
      </c>
      <c r="N855" t="s">
        <v>32</v>
      </c>
      <c r="O855" s="4">
        <v>0</v>
      </c>
    </row>
    <row r="856" spans="1:16" x14ac:dyDescent="0.3">
      <c r="A856" s="4">
        <v>855</v>
      </c>
      <c r="B856" s="4">
        <v>55</v>
      </c>
      <c r="C856" t="s">
        <v>16</v>
      </c>
      <c r="D856" t="s">
        <v>36</v>
      </c>
      <c r="E856" t="s">
        <v>24</v>
      </c>
      <c r="F856" s="4">
        <v>172</v>
      </c>
      <c r="G856" s="4">
        <v>260</v>
      </c>
      <c r="H856" t="s">
        <v>21</v>
      </c>
      <c r="I856" t="s">
        <v>26</v>
      </c>
      <c r="J856" s="4">
        <v>73</v>
      </c>
      <c r="K856" t="s">
        <v>21</v>
      </c>
      <c r="L856" t="s">
        <v>32</v>
      </c>
      <c r="N856" t="s">
        <v>32</v>
      </c>
      <c r="O856" s="4">
        <v>3</v>
      </c>
      <c r="P856" s="5">
        <v>2</v>
      </c>
    </row>
    <row r="857" spans="1:16" x14ac:dyDescent="0.3">
      <c r="A857" s="4">
        <v>856</v>
      </c>
      <c r="B857" s="4">
        <v>62</v>
      </c>
      <c r="C857" t="s">
        <v>16</v>
      </c>
      <c r="D857" t="s">
        <v>36</v>
      </c>
      <c r="E857" t="s">
        <v>28</v>
      </c>
      <c r="F857" s="4">
        <v>120</v>
      </c>
      <c r="G857" s="4">
        <v>220</v>
      </c>
      <c r="H857" t="s">
        <v>21</v>
      </c>
      <c r="I857" t="s">
        <v>20</v>
      </c>
      <c r="J857" s="4">
        <v>86</v>
      </c>
      <c r="K857" t="s">
        <v>21</v>
      </c>
      <c r="L857" t="s">
        <v>32</v>
      </c>
      <c r="N857" t="s">
        <v>32</v>
      </c>
      <c r="O857" s="4">
        <v>0</v>
      </c>
      <c r="P857" s="5">
        <v>0</v>
      </c>
    </row>
    <row r="858" spans="1:16" x14ac:dyDescent="0.3">
      <c r="A858" s="4">
        <v>857</v>
      </c>
      <c r="B858" s="4">
        <v>71</v>
      </c>
      <c r="C858" t="s">
        <v>16</v>
      </c>
      <c r="D858" t="s">
        <v>36</v>
      </c>
      <c r="E858" t="s">
        <v>28</v>
      </c>
      <c r="G858" s="4">
        <v>221</v>
      </c>
      <c r="H858" t="s">
        <v>21</v>
      </c>
      <c r="I858" t="s">
        <v>26</v>
      </c>
      <c r="K858" t="s">
        <v>32</v>
      </c>
      <c r="L858" t="s">
        <v>32</v>
      </c>
      <c r="N858" t="s">
        <v>32</v>
      </c>
      <c r="O858" s="4">
        <v>3</v>
      </c>
    </row>
    <row r="859" spans="1:16" x14ac:dyDescent="0.3">
      <c r="A859" s="4">
        <v>858</v>
      </c>
      <c r="B859" s="4">
        <v>74</v>
      </c>
      <c r="C859" t="s">
        <v>16</v>
      </c>
      <c r="D859" t="s">
        <v>36</v>
      </c>
      <c r="E859" t="s">
        <v>18</v>
      </c>
      <c r="G859" s="4">
        <v>216</v>
      </c>
      <c r="H859" t="s">
        <v>19</v>
      </c>
      <c r="I859" t="s">
        <v>26</v>
      </c>
      <c r="K859" t="s">
        <v>32</v>
      </c>
      <c r="L859" t="s">
        <v>32</v>
      </c>
      <c r="N859" t="s">
        <v>32</v>
      </c>
      <c r="O859" s="4">
        <v>3</v>
      </c>
    </row>
    <row r="860" spans="1:16" x14ac:dyDescent="0.3">
      <c r="A860" s="4">
        <v>859</v>
      </c>
      <c r="B860" s="4">
        <v>53</v>
      </c>
      <c r="C860" t="s">
        <v>16</v>
      </c>
      <c r="D860" t="s">
        <v>36</v>
      </c>
      <c r="E860" t="s">
        <v>28</v>
      </c>
      <c r="F860" s="4">
        <v>155</v>
      </c>
      <c r="G860" s="4">
        <v>175</v>
      </c>
      <c r="H860" t="s">
        <v>19</v>
      </c>
      <c r="I860" t="s">
        <v>33</v>
      </c>
      <c r="J860" s="4">
        <v>160</v>
      </c>
      <c r="K860" t="s">
        <v>21</v>
      </c>
      <c r="L860" t="s">
        <v>32</v>
      </c>
      <c r="N860" t="s">
        <v>23</v>
      </c>
      <c r="O860" s="4">
        <v>0</v>
      </c>
    </row>
    <row r="861" spans="1:16" x14ac:dyDescent="0.3">
      <c r="A861" s="4">
        <v>860</v>
      </c>
      <c r="B861" s="4">
        <v>58</v>
      </c>
      <c r="C861" t="s">
        <v>16</v>
      </c>
      <c r="D861" t="s">
        <v>36</v>
      </c>
      <c r="E861" t="s">
        <v>28</v>
      </c>
      <c r="F861" s="4">
        <v>150</v>
      </c>
      <c r="G861" s="4">
        <v>219</v>
      </c>
      <c r="H861" t="s">
        <v>21</v>
      </c>
      <c r="I861" t="s">
        <v>33</v>
      </c>
      <c r="J861" s="4">
        <v>118</v>
      </c>
      <c r="K861" t="s">
        <v>19</v>
      </c>
      <c r="L861" t="s">
        <v>32</v>
      </c>
      <c r="N861" t="s">
        <v>32</v>
      </c>
      <c r="O861" s="4">
        <v>2</v>
      </c>
      <c r="P861" s="5">
        <v>0</v>
      </c>
    </row>
    <row r="862" spans="1:16" x14ac:dyDescent="0.3">
      <c r="A862" s="4">
        <v>861</v>
      </c>
      <c r="B862" s="4">
        <v>75</v>
      </c>
      <c r="C862" t="s">
        <v>16</v>
      </c>
      <c r="D862" t="s">
        <v>36</v>
      </c>
      <c r="E862" t="s">
        <v>24</v>
      </c>
      <c r="F862" s="4">
        <v>160</v>
      </c>
      <c r="G862" s="4">
        <v>310</v>
      </c>
      <c r="H862" t="s">
        <v>19</v>
      </c>
      <c r="I862" t="s">
        <v>26</v>
      </c>
      <c r="J862" s="4">
        <v>112</v>
      </c>
      <c r="K862" t="s">
        <v>19</v>
      </c>
      <c r="L862" t="s">
        <v>22</v>
      </c>
      <c r="N862" t="s">
        <v>27</v>
      </c>
      <c r="O862" s="4">
        <v>0</v>
      </c>
      <c r="P862" s="5">
        <v>2</v>
      </c>
    </row>
    <row r="863" spans="1:16" x14ac:dyDescent="0.3">
      <c r="A863" s="4">
        <v>862</v>
      </c>
      <c r="B863" s="4">
        <v>56</v>
      </c>
      <c r="C863" t="s">
        <v>16</v>
      </c>
      <c r="D863" t="s">
        <v>36</v>
      </c>
      <c r="E863" t="s">
        <v>28</v>
      </c>
      <c r="G863" s="4">
        <v>208</v>
      </c>
      <c r="H863" t="s">
        <v>19</v>
      </c>
      <c r="I863" t="s">
        <v>33</v>
      </c>
      <c r="K863" t="s">
        <v>32</v>
      </c>
      <c r="L863" t="s">
        <v>32</v>
      </c>
      <c r="N863" t="s">
        <v>32</v>
      </c>
      <c r="O863" s="4">
        <v>4</v>
      </c>
    </row>
    <row r="864" spans="1:16" x14ac:dyDescent="0.3">
      <c r="A864" s="4">
        <v>863</v>
      </c>
      <c r="B864" s="4">
        <v>58</v>
      </c>
      <c r="C864" t="s">
        <v>16</v>
      </c>
      <c r="D864" t="s">
        <v>36</v>
      </c>
      <c r="E864" t="s">
        <v>28</v>
      </c>
      <c r="G864" s="4">
        <v>232</v>
      </c>
      <c r="H864" t="s">
        <v>21</v>
      </c>
      <c r="I864" t="s">
        <v>33</v>
      </c>
      <c r="K864" t="s">
        <v>32</v>
      </c>
      <c r="L864" t="s">
        <v>32</v>
      </c>
      <c r="N864" t="s">
        <v>32</v>
      </c>
      <c r="O864" s="4">
        <v>2</v>
      </c>
    </row>
    <row r="865" spans="1:16" x14ac:dyDescent="0.3">
      <c r="A865" s="4">
        <v>864</v>
      </c>
      <c r="B865" s="4">
        <v>64</v>
      </c>
      <c r="C865" t="s">
        <v>16</v>
      </c>
      <c r="D865" t="s">
        <v>36</v>
      </c>
      <c r="E865" t="s">
        <v>24</v>
      </c>
      <c r="F865" s="4">
        <v>134</v>
      </c>
      <c r="G865" s="4">
        <v>273</v>
      </c>
      <c r="H865" t="s">
        <v>21</v>
      </c>
      <c r="I865" t="s">
        <v>26</v>
      </c>
      <c r="J865" s="4">
        <v>102</v>
      </c>
      <c r="K865" t="s">
        <v>19</v>
      </c>
      <c r="L865" t="s">
        <v>22</v>
      </c>
      <c r="N865" t="s">
        <v>32</v>
      </c>
      <c r="O865" s="4">
        <v>4</v>
      </c>
      <c r="P865" s="5">
        <v>4</v>
      </c>
    </row>
    <row r="866" spans="1:16" x14ac:dyDescent="0.3">
      <c r="A866" s="4">
        <v>865</v>
      </c>
      <c r="B866" s="4">
        <v>54</v>
      </c>
      <c r="C866" t="s">
        <v>16</v>
      </c>
      <c r="D866" t="s">
        <v>36</v>
      </c>
      <c r="E866" t="s">
        <v>28</v>
      </c>
      <c r="G866" s="4">
        <v>203</v>
      </c>
      <c r="H866" t="s">
        <v>21</v>
      </c>
      <c r="I866" t="s">
        <v>33</v>
      </c>
      <c r="K866" t="s">
        <v>32</v>
      </c>
      <c r="L866" t="s">
        <v>32</v>
      </c>
      <c r="N866" t="s">
        <v>32</v>
      </c>
      <c r="O866" s="4">
        <v>0</v>
      </c>
    </row>
    <row r="867" spans="1:16" x14ac:dyDescent="0.3">
      <c r="A867" s="4">
        <v>866</v>
      </c>
      <c r="B867" s="4">
        <v>54</v>
      </c>
      <c r="C867" t="s">
        <v>16</v>
      </c>
      <c r="D867" t="s">
        <v>36</v>
      </c>
      <c r="E867" t="s">
        <v>30</v>
      </c>
      <c r="G867" s="4">
        <v>182</v>
      </c>
      <c r="H867" t="s">
        <v>21</v>
      </c>
      <c r="I867" t="s">
        <v>33</v>
      </c>
      <c r="K867" t="s">
        <v>32</v>
      </c>
      <c r="L867" t="s">
        <v>32</v>
      </c>
      <c r="N867" t="s">
        <v>32</v>
      </c>
      <c r="O867" s="4">
        <v>0</v>
      </c>
    </row>
    <row r="868" spans="1:16" x14ac:dyDescent="0.3">
      <c r="A868" s="4">
        <v>867</v>
      </c>
      <c r="B868" s="4">
        <v>59</v>
      </c>
      <c r="C868" t="s">
        <v>16</v>
      </c>
      <c r="D868" t="s">
        <v>36</v>
      </c>
      <c r="E868" t="s">
        <v>24</v>
      </c>
      <c r="F868" s="4">
        <v>140</v>
      </c>
      <c r="G868" s="4">
        <v>274</v>
      </c>
      <c r="H868" t="s">
        <v>21</v>
      </c>
      <c r="I868" t="s">
        <v>26</v>
      </c>
      <c r="J868" s="4">
        <v>154</v>
      </c>
      <c r="K868" t="s">
        <v>19</v>
      </c>
      <c r="L868" t="s">
        <v>25</v>
      </c>
      <c r="N868" t="s">
        <v>32</v>
      </c>
      <c r="O868" s="4">
        <v>0</v>
      </c>
      <c r="P868" s="5">
        <v>2</v>
      </c>
    </row>
    <row r="869" spans="1:16" x14ac:dyDescent="0.3">
      <c r="A869" s="4">
        <v>868</v>
      </c>
      <c r="B869" s="4">
        <v>55</v>
      </c>
      <c r="C869" t="s">
        <v>16</v>
      </c>
      <c r="D869" t="s">
        <v>36</v>
      </c>
      <c r="E869" t="s">
        <v>24</v>
      </c>
      <c r="G869" s="4">
        <v>204</v>
      </c>
      <c r="H869" t="s">
        <v>19</v>
      </c>
      <c r="I869" t="s">
        <v>33</v>
      </c>
      <c r="K869" t="s">
        <v>32</v>
      </c>
      <c r="L869" t="s">
        <v>32</v>
      </c>
      <c r="N869" t="s">
        <v>32</v>
      </c>
      <c r="O869" s="4">
        <v>1</v>
      </c>
    </row>
    <row r="870" spans="1:16" x14ac:dyDescent="0.3">
      <c r="A870" s="4">
        <v>869</v>
      </c>
      <c r="B870" s="4">
        <v>57</v>
      </c>
      <c r="C870" t="s">
        <v>16</v>
      </c>
      <c r="D870" t="s">
        <v>36</v>
      </c>
      <c r="E870" t="s">
        <v>24</v>
      </c>
      <c r="F870" s="4">
        <v>144</v>
      </c>
      <c r="G870" s="4">
        <v>270</v>
      </c>
      <c r="H870" t="s">
        <v>19</v>
      </c>
      <c r="I870" t="s">
        <v>33</v>
      </c>
      <c r="J870" s="4">
        <v>160</v>
      </c>
      <c r="K870" t="s">
        <v>19</v>
      </c>
      <c r="L870" t="s">
        <v>25</v>
      </c>
      <c r="N870" t="s">
        <v>32</v>
      </c>
      <c r="O870" s="4">
        <v>3</v>
      </c>
      <c r="P870" s="5">
        <v>2</v>
      </c>
    </row>
    <row r="871" spans="1:16" x14ac:dyDescent="0.3">
      <c r="A871" s="4">
        <v>870</v>
      </c>
      <c r="B871" s="4">
        <v>61</v>
      </c>
      <c r="C871" t="s">
        <v>16</v>
      </c>
      <c r="D871" t="s">
        <v>36</v>
      </c>
      <c r="E871" t="s">
        <v>24</v>
      </c>
      <c r="G871" s="4">
        <v>292</v>
      </c>
      <c r="H871" t="s">
        <v>21</v>
      </c>
      <c r="I871" t="s">
        <v>33</v>
      </c>
      <c r="K871" t="s">
        <v>32</v>
      </c>
      <c r="L871" t="s">
        <v>32</v>
      </c>
      <c r="N871" t="s">
        <v>32</v>
      </c>
      <c r="O871" s="4">
        <v>3</v>
      </c>
    </row>
    <row r="872" spans="1:16" x14ac:dyDescent="0.3">
      <c r="A872" s="4">
        <v>871</v>
      </c>
      <c r="B872" s="4">
        <v>41</v>
      </c>
      <c r="C872" t="s">
        <v>16</v>
      </c>
      <c r="D872" t="s">
        <v>36</v>
      </c>
      <c r="E872" t="s">
        <v>24</v>
      </c>
      <c r="F872" s="4">
        <v>150</v>
      </c>
      <c r="G872" s="4">
        <v>171</v>
      </c>
      <c r="H872" t="s">
        <v>21</v>
      </c>
      <c r="I872" t="s">
        <v>26</v>
      </c>
      <c r="J872" s="4">
        <v>128</v>
      </c>
      <c r="K872" t="s">
        <v>19</v>
      </c>
      <c r="L872" t="s">
        <v>25</v>
      </c>
      <c r="N872" t="s">
        <v>32</v>
      </c>
      <c r="O872" s="4">
        <v>0</v>
      </c>
      <c r="P872" s="5">
        <v>0.5</v>
      </c>
    </row>
    <row r="873" spans="1:16" x14ac:dyDescent="0.3">
      <c r="A873" s="4">
        <v>872</v>
      </c>
      <c r="B873" s="4">
        <v>71</v>
      </c>
      <c r="C873" t="s">
        <v>16</v>
      </c>
      <c r="D873" t="s">
        <v>36</v>
      </c>
      <c r="E873" t="s">
        <v>24</v>
      </c>
      <c r="F873" s="4">
        <v>130</v>
      </c>
      <c r="G873" s="4">
        <v>221</v>
      </c>
      <c r="H873" t="s">
        <v>21</v>
      </c>
      <c r="I873" t="s">
        <v>33</v>
      </c>
      <c r="J873" s="4">
        <v>115</v>
      </c>
      <c r="K873" t="s">
        <v>19</v>
      </c>
      <c r="L873" t="s">
        <v>32</v>
      </c>
      <c r="N873" t="s">
        <v>32</v>
      </c>
      <c r="O873" s="4">
        <v>3</v>
      </c>
      <c r="P873" s="5">
        <v>0</v>
      </c>
    </row>
    <row r="874" spans="1:16" x14ac:dyDescent="0.3">
      <c r="A874" s="4">
        <v>873</v>
      </c>
      <c r="B874" s="4">
        <v>38</v>
      </c>
      <c r="C874" t="s">
        <v>16</v>
      </c>
      <c r="D874" t="s">
        <v>36</v>
      </c>
      <c r="E874" t="s">
        <v>24</v>
      </c>
      <c r="F874" s="4">
        <v>110</v>
      </c>
      <c r="G874" s="4">
        <v>289</v>
      </c>
      <c r="H874" t="s">
        <v>21</v>
      </c>
      <c r="I874" t="s">
        <v>26</v>
      </c>
      <c r="J874" s="4">
        <v>105</v>
      </c>
      <c r="K874" t="s">
        <v>19</v>
      </c>
      <c r="L874" t="s">
        <v>22</v>
      </c>
      <c r="N874" t="s">
        <v>32</v>
      </c>
      <c r="O874" s="4">
        <v>1</v>
      </c>
      <c r="P874" s="5">
        <v>0.5</v>
      </c>
    </row>
    <row r="875" spans="1:16" x14ac:dyDescent="0.3">
      <c r="A875" s="4">
        <v>874</v>
      </c>
      <c r="B875" s="4">
        <v>55</v>
      </c>
      <c r="C875" t="s">
        <v>16</v>
      </c>
      <c r="D875" t="s">
        <v>36</v>
      </c>
      <c r="E875" t="s">
        <v>24</v>
      </c>
      <c r="F875" s="4">
        <v>158</v>
      </c>
      <c r="G875" s="4">
        <v>217</v>
      </c>
      <c r="H875" t="s">
        <v>21</v>
      </c>
      <c r="I875" t="s">
        <v>26</v>
      </c>
      <c r="J875" s="4">
        <v>110</v>
      </c>
      <c r="K875" t="s">
        <v>19</v>
      </c>
      <c r="L875" t="s">
        <v>25</v>
      </c>
      <c r="N875" t="s">
        <v>32</v>
      </c>
      <c r="O875" s="4">
        <v>1</v>
      </c>
      <c r="P875" s="5">
        <v>0.5</v>
      </c>
    </row>
    <row r="876" spans="1:16" x14ac:dyDescent="0.3">
      <c r="A876" s="4">
        <v>875</v>
      </c>
      <c r="B876" s="4">
        <v>56</v>
      </c>
      <c r="C876" t="s">
        <v>16</v>
      </c>
      <c r="D876" t="s">
        <v>36</v>
      </c>
      <c r="E876" t="s">
        <v>24</v>
      </c>
      <c r="F876" s="4">
        <v>128</v>
      </c>
      <c r="G876" s="4">
        <v>223</v>
      </c>
      <c r="H876" t="s">
        <v>21</v>
      </c>
      <c r="I876" t="s">
        <v>33</v>
      </c>
      <c r="J876" s="4">
        <v>119</v>
      </c>
      <c r="K876" t="s">
        <v>19</v>
      </c>
      <c r="L876" t="s">
        <v>22</v>
      </c>
      <c r="N876" t="s">
        <v>32</v>
      </c>
      <c r="O876" s="4">
        <v>2</v>
      </c>
      <c r="P876" s="5">
        <v>2</v>
      </c>
    </row>
    <row r="877" spans="1:16" x14ac:dyDescent="0.3">
      <c r="A877" s="4">
        <v>876</v>
      </c>
      <c r="B877" s="4">
        <v>69</v>
      </c>
      <c r="C877" t="s">
        <v>16</v>
      </c>
      <c r="D877" t="s">
        <v>36</v>
      </c>
      <c r="E877" t="s">
        <v>24</v>
      </c>
      <c r="H877" t="s">
        <v>19</v>
      </c>
      <c r="I877" t="s">
        <v>26</v>
      </c>
      <c r="K877" t="s">
        <v>32</v>
      </c>
      <c r="L877" t="s">
        <v>32</v>
      </c>
      <c r="N877" t="s">
        <v>32</v>
      </c>
      <c r="O877" s="4">
        <v>2</v>
      </c>
    </row>
    <row r="878" spans="1:16" x14ac:dyDescent="0.3">
      <c r="A878" s="4">
        <v>877</v>
      </c>
      <c r="B878" s="4">
        <v>64</v>
      </c>
      <c r="C878" t="s">
        <v>16</v>
      </c>
      <c r="D878" t="s">
        <v>36</v>
      </c>
      <c r="E878" t="s">
        <v>24</v>
      </c>
      <c r="F878" s="4">
        <v>150</v>
      </c>
      <c r="G878" s="4">
        <v>193</v>
      </c>
      <c r="H878" t="s">
        <v>21</v>
      </c>
      <c r="I878" t="s">
        <v>33</v>
      </c>
      <c r="J878" s="4">
        <v>135</v>
      </c>
      <c r="K878" t="s">
        <v>19</v>
      </c>
      <c r="L878" t="s">
        <v>25</v>
      </c>
      <c r="N878" t="s">
        <v>32</v>
      </c>
      <c r="O878" s="4">
        <v>2</v>
      </c>
      <c r="P878" s="5">
        <v>0.5</v>
      </c>
    </row>
    <row r="879" spans="1:16" x14ac:dyDescent="0.3">
      <c r="A879" s="4">
        <v>878</v>
      </c>
      <c r="B879" s="4">
        <v>72</v>
      </c>
      <c r="C879" t="s">
        <v>16</v>
      </c>
      <c r="D879" t="s">
        <v>36</v>
      </c>
      <c r="E879" t="s">
        <v>24</v>
      </c>
      <c r="F879" s="4">
        <v>160</v>
      </c>
      <c r="H879" t="s">
        <v>19</v>
      </c>
      <c r="I879" t="s">
        <v>20</v>
      </c>
      <c r="J879" s="4">
        <v>130</v>
      </c>
      <c r="K879" t="s">
        <v>21</v>
      </c>
      <c r="L879" t="s">
        <v>32</v>
      </c>
      <c r="N879" t="s">
        <v>32</v>
      </c>
      <c r="O879" s="4">
        <v>2</v>
      </c>
      <c r="P879" s="5">
        <v>0.5</v>
      </c>
    </row>
    <row r="880" spans="1:16" x14ac:dyDescent="0.3">
      <c r="A880" s="4">
        <v>879</v>
      </c>
      <c r="B880" s="4">
        <v>69</v>
      </c>
      <c r="C880" t="s">
        <v>16</v>
      </c>
      <c r="D880" t="s">
        <v>36</v>
      </c>
      <c r="E880" t="s">
        <v>24</v>
      </c>
      <c r="G880" s="4">
        <v>210</v>
      </c>
      <c r="H880" t="s">
        <v>19</v>
      </c>
      <c r="I880" t="s">
        <v>33</v>
      </c>
      <c r="K880" t="s">
        <v>32</v>
      </c>
      <c r="L880" t="s">
        <v>32</v>
      </c>
      <c r="N880" t="s">
        <v>32</v>
      </c>
      <c r="O880" s="4">
        <v>2</v>
      </c>
    </row>
    <row r="881" spans="1:16" x14ac:dyDescent="0.3">
      <c r="A881" s="4">
        <v>880</v>
      </c>
      <c r="B881" s="4">
        <v>56</v>
      </c>
      <c r="C881" t="s">
        <v>16</v>
      </c>
      <c r="D881" t="s">
        <v>36</v>
      </c>
      <c r="E881" t="s">
        <v>24</v>
      </c>
      <c r="G881" s="4">
        <v>282</v>
      </c>
      <c r="H881" t="s">
        <v>19</v>
      </c>
      <c r="I881" t="s">
        <v>26</v>
      </c>
      <c r="K881" t="s">
        <v>32</v>
      </c>
      <c r="L881" t="s">
        <v>32</v>
      </c>
      <c r="N881" t="s">
        <v>32</v>
      </c>
      <c r="O881" s="4">
        <v>1</v>
      </c>
    </row>
    <row r="882" spans="1:16" x14ac:dyDescent="0.3">
      <c r="A882" s="4">
        <v>881</v>
      </c>
      <c r="B882" s="4">
        <v>62</v>
      </c>
      <c r="C882" t="s">
        <v>16</v>
      </c>
      <c r="D882" t="s">
        <v>36</v>
      </c>
      <c r="E882" t="s">
        <v>24</v>
      </c>
      <c r="G882" s="4">
        <v>170</v>
      </c>
      <c r="H882" t="s">
        <v>21</v>
      </c>
      <c r="I882" t="s">
        <v>33</v>
      </c>
      <c r="J882" s="4">
        <v>120</v>
      </c>
      <c r="K882" t="s">
        <v>19</v>
      </c>
      <c r="L882" t="s">
        <v>32</v>
      </c>
      <c r="N882" t="s">
        <v>32</v>
      </c>
      <c r="O882" s="4">
        <v>4</v>
      </c>
      <c r="P882" s="5">
        <v>3</v>
      </c>
    </row>
    <row r="883" spans="1:16" x14ac:dyDescent="0.3">
      <c r="A883" s="4">
        <v>882</v>
      </c>
      <c r="B883" s="4">
        <v>67</v>
      </c>
      <c r="C883" t="s">
        <v>16</v>
      </c>
      <c r="D883" t="s">
        <v>36</v>
      </c>
      <c r="E883" t="s">
        <v>24</v>
      </c>
      <c r="G883" s="4">
        <v>369</v>
      </c>
      <c r="H883" t="s">
        <v>21</v>
      </c>
      <c r="I883" t="s">
        <v>26</v>
      </c>
      <c r="K883" t="s">
        <v>32</v>
      </c>
      <c r="L883" t="s">
        <v>32</v>
      </c>
      <c r="N883" t="s">
        <v>32</v>
      </c>
      <c r="O883" s="4">
        <v>3</v>
      </c>
    </row>
    <row r="884" spans="1:16" x14ac:dyDescent="0.3">
      <c r="A884" s="4">
        <v>883</v>
      </c>
      <c r="B884" s="4">
        <v>57</v>
      </c>
      <c r="C884" t="s">
        <v>16</v>
      </c>
      <c r="D884" t="s">
        <v>36</v>
      </c>
      <c r="E884" t="s">
        <v>24</v>
      </c>
      <c r="F884" s="4">
        <v>156</v>
      </c>
      <c r="G884" s="4">
        <v>173</v>
      </c>
      <c r="H884" t="s">
        <v>21</v>
      </c>
      <c r="I884" t="s">
        <v>20</v>
      </c>
      <c r="J884" s="4">
        <v>119</v>
      </c>
      <c r="K884" t="s">
        <v>19</v>
      </c>
      <c r="L884" t="s">
        <v>22</v>
      </c>
      <c r="N884" t="s">
        <v>32</v>
      </c>
      <c r="O884" s="4">
        <v>3</v>
      </c>
      <c r="P884" s="5">
        <v>3</v>
      </c>
    </row>
    <row r="885" spans="1:16" x14ac:dyDescent="0.3">
      <c r="A885" s="4">
        <v>884</v>
      </c>
      <c r="B885" s="4">
        <v>69</v>
      </c>
      <c r="C885" t="s">
        <v>16</v>
      </c>
      <c r="D885" t="s">
        <v>36</v>
      </c>
      <c r="E885" t="s">
        <v>24</v>
      </c>
      <c r="G885" s="4">
        <v>289</v>
      </c>
      <c r="H885" t="s">
        <v>19</v>
      </c>
      <c r="I885" t="s">
        <v>33</v>
      </c>
      <c r="K885" t="s">
        <v>32</v>
      </c>
      <c r="L885" t="s">
        <v>32</v>
      </c>
      <c r="N885" t="s">
        <v>32</v>
      </c>
      <c r="O885" s="4">
        <v>3</v>
      </c>
    </row>
    <row r="886" spans="1:16" x14ac:dyDescent="0.3">
      <c r="A886" s="4">
        <v>885</v>
      </c>
      <c r="B886" s="4">
        <v>51</v>
      </c>
      <c r="C886" t="s">
        <v>16</v>
      </c>
      <c r="D886" t="s">
        <v>36</v>
      </c>
      <c r="E886" t="s">
        <v>24</v>
      </c>
      <c r="H886" t="s">
        <v>19</v>
      </c>
      <c r="I886" t="s">
        <v>20</v>
      </c>
      <c r="K886" t="s">
        <v>32</v>
      </c>
      <c r="L886" t="s">
        <v>32</v>
      </c>
      <c r="N886" t="s">
        <v>27</v>
      </c>
      <c r="O886" s="4">
        <v>1</v>
      </c>
    </row>
    <row r="887" spans="1:16" x14ac:dyDescent="0.3">
      <c r="A887" s="4">
        <v>886</v>
      </c>
      <c r="B887" s="4">
        <v>48</v>
      </c>
      <c r="C887" t="s">
        <v>16</v>
      </c>
      <c r="D887" t="s">
        <v>36</v>
      </c>
      <c r="E887" t="s">
        <v>24</v>
      </c>
      <c r="F887" s="4">
        <v>140</v>
      </c>
      <c r="H887" t="s">
        <v>21</v>
      </c>
      <c r="I887" t="s">
        <v>26</v>
      </c>
      <c r="J887" s="4">
        <v>159</v>
      </c>
      <c r="K887" t="s">
        <v>19</v>
      </c>
      <c r="L887" t="s">
        <v>31</v>
      </c>
      <c r="N887" t="s">
        <v>32</v>
      </c>
      <c r="O887" s="4">
        <v>3</v>
      </c>
      <c r="P887" s="5">
        <v>0.5</v>
      </c>
    </row>
    <row r="888" spans="1:16" x14ac:dyDescent="0.3">
      <c r="A888" s="4">
        <v>887</v>
      </c>
      <c r="B888" s="4">
        <v>69</v>
      </c>
      <c r="C888" t="s">
        <v>16</v>
      </c>
      <c r="D888" t="s">
        <v>36</v>
      </c>
      <c r="E888" t="s">
        <v>24</v>
      </c>
      <c r="F888" s="4">
        <v>122</v>
      </c>
      <c r="G888" s="4">
        <v>216</v>
      </c>
      <c r="H888" t="s">
        <v>19</v>
      </c>
      <c r="I888" t="s">
        <v>20</v>
      </c>
      <c r="J888" s="4">
        <v>84</v>
      </c>
      <c r="K888" t="s">
        <v>19</v>
      </c>
      <c r="L888" t="s">
        <v>32</v>
      </c>
      <c r="N888" t="s">
        <v>27</v>
      </c>
      <c r="O888" s="4">
        <v>2</v>
      </c>
      <c r="P888" s="5">
        <v>0</v>
      </c>
    </row>
    <row r="889" spans="1:16" x14ac:dyDescent="0.3">
      <c r="A889" s="4">
        <v>888</v>
      </c>
      <c r="B889" s="4">
        <v>69</v>
      </c>
      <c r="C889" t="s">
        <v>16</v>
      </c>
      <c r="D889" t="s">
        <v>36</v>
      </c>
      <c r="E889" t="s">
        <v>28</v>
      </c>
      <c r="G889" s="4">
        <v>271</v>
      </c>
      <c r="H889" t="s">
        <v>21</v>
      </c>
      <c r="I889" t="s">
        <v>20</v>
      </c>
      <c r="K889" t="s">
        <v>32</v>
      </c>
      <c r="L889" t="s">
        <v>32</v>
      </c>
      <c r="N889" t="s">
        <v>32</v>
      </c>
      <c r="O889" s="4">
        <v>0</v>
      </c>
    </row>
    <row r="890" spans="1:16" x14ac:dyDescent="0.3">
      <c r="A890" s="4">
        <v>889</v>
      </c>
      <c r="B890" s="4">
        <v>64</v>
      </c>
      <c r="C890" t="s">
        <v>16</v>
      </c>
      <c r="D890" t="s">
        <v>36</v>
      </c>
      <c r="E890" t="s">
        <v>24</v>
      </c>
      <c r="G890" s="4">
        <v>244</v>
      </c>
      <c r="H890" t="s">
        <v>19</v>
      </c>
      <c r="I890" t="s">
        <v>33</v>
      </c>
      <c r="K890" t="s">
        <v>32</v>
      </c>
      <c r="L890" t="s">
        <v>32</v>
      </c>
      <c r="N890" t="s">
        <v>32</v>
      </c>
      <c r="O890" s="4">
        <v>2</v>
      </c>
    </row>
    <row r="891" spans="1:16" x14ac:dyDescent="0.3">
      <c r="A891" s="4">
        <v>890</v>
      </c>
      <c r="B891" s="4">
        <v>57</v>
      </c>
      <c r="C891" t="s">
        <v>16</v>
      </c>
      <c r="D891" t="s">
        <v>36</v>
      </c>
      <c r="E891" t="s">
        <v>30</v>
      </c>
      <c r="F891" s="4">
        <v>180</v>
      </c>
      <c r="G891" s="4">
        <v>285</v>
      </c>
      <c r="H891" t="s">
        <v>19</v>
      </c>
      <c r="I891" t="s">
        <v>33</v>
      </c>
      <c r="J891" s="4">
        <v>120</v>
      </c>
      <c r="K891" t="s">
        <v>21</v>
      </c>
      <c r="L891" t="s">
        <v>32</v>
      </c>
      <c r="N891" t="s">
        <v>32</v>
      </c>
      <c r="O891" s="4">
        <v>1</v>
      </c>
      <c r="P891" s="5">
        <v>0.8</v>
      </c>
    </row>
    <row r="892" spans="1:16" x14ac:dyDescent="0.3">
      <c r="A892" s="4">
        <v>891</v>
      </c>
      <c r="B892" s="4">
        <v>53</v>
      </c>
      <c r="C892" t="s">
        <v>16</v>
      </c>
      <c r="D892" t="s">
        <v>36</v>
      </c>
      <c r="E892" t="s">
        <v>24</v>
      </c>
      <c r="F892" s="4">
        <v>124</v>
      </c>
      <c r="G892" s="4">
        <v>243</v>
      </c>
      <c r="H892" t="s">
        <v>21</v>
      </c>
      <c r="I892" t="s">
        <v>26</v>
      </c>
      <c r="J892" s="4">
        <v>122</v>
      </c>
      <c r="K892" t="s">
        <v>19</v>
      </c>
      <c r="L892" t="s">
        <v>25</v>
      </c>
      <c r="N892" t="s">
        <v>27</v>
      </c>
      <c r="O892" s="4">
        <v>1</v>
      </c>
      <c r="P892" s="5">
        <v>2</v>
      </c>
    </row>
    <row r="893" spans="1:16" x14ac:dyDescent="0.3">
      <c r="A893" s="4">
        <v>892</v>
      </c>
      <c r="B893" s="4">
        <v>37</v>
      </c>
      <c r="C893" t="s">
        <v>16</v>
      </c>
      <c r="D893" t="s">
        <v>36</v>
      </c>
      <c r="E893" t="s">
        <v>28</v>
      </c>
      <c r="F893" s="4">
        <v>118</v>
      </c>
      <c r="G893" s="4">
        <v>240</v>
      </c>
      <c r="H893" t="s">
        <v>21</v>
      </c>
      <c r="I893" t="s">
        <v>20</v>
      </c>
      <c r="J893" s="4">
        <v>165</v>
      </c>
      <c r="K893" t="s">
        <v>21</v>
      </c>
      <c r="L893" t="s">
        <v>25</v>
      </c>
      <c r="N893" t="s">
        <v>26</v>
      </c>
      <c r="O893" s="4">
        <v>0</v>
      </c>
      <c r="P893" s="5">
        <v>1</v>
      </c>
    </row>
    <row r="894" spans="1:16" x14ac:dyDescent="0.3">
      <c r="A894" s="4">
        <v>893</v>
      </c>
      <c r="B894" s="4">
        <v>67</v>
      </c>
      <c r="C894" t="s">
        <v>16</v>
      </c>
      <c r="D894" t="s">
        <v>36</v>
      </c>
      <c r="E894" t="s">
        <v>24</v>
      </c>
      <c r="F894" s="4">
        <v>140</v>
      </c>
      <c r="G894" s="4">
        <v>219</v>
      </c>
      <c r="H894" t="s">
        <v>21</v>
      </c>
      <c r="I894" t="s">
        <v>33</v>
      </c>
      <c r="J894" s="4">
        <v>122</v>
      </c>
      <c r="K894" t="s">
        <v>19</v>
      </c>
      <c r="L894" t="s">
        <v>25</v>
      </c>
      <c r="N894" t="s">
        <v>27</v>
      </c>
      <c r="O894" s="4">
        <v>3</v>
      </c>
      <c r="P894" s="5">
        <v>2</v>
      </c>
    </row>
    <row r="895" spans="1:16" x14ac:dyDescent="0.3">
      <c r="A895" s="4">
        <v>894</v>
      </c>
      <c r="B895" s="4">
        <v>74</v>
      </c>
      <c r="C895" t="s">
        <v>16</v>
      </c>
      <c r="D895" t="s">
        <v>36</v>
      </c>
      <c r="E895" t="s">
        <v>28</v>
      </c>
      <c r="F895" s="4">
        <v>140</v>
      </c>
      <c r="G895" s="4">
        <v>237</v>
      </c>
      <c r="H895" t="s">
        <v>19</v>
      </c>
      <c r="I895" t="s">
        <v>26</v>
      </c>
      <c r="J895" s="4">
        <v>94</v>
      </c>
      <c r="K895" t="s">
        <v>21</v>
      </c>
      <c r="L895" t="s">
        <v>32</v>
      </c>
      <c r="N895" t="s">
        <v>32</v>
      </c>
      <c r="O895" s="4">
        <v>1</v>
      </c>
      <c r="P895" s="5">
        <v>0</v>
      </c>
    </row>
    <row r="896" spans="1:16" x14ac:dyDescent="0.3">
      <c r="A896" s="4">
        <v>895</v>
      </c>
      <c r="B896" s="4">
        <v>63</v>
      </c>
      <c r="C896" t="s">
        <v>16</v>
      </c>
      <c r="D896" t="s">
        <v>36</v>
      </c>
      <c r="E896" t="s">
        <v>30</v>
      </c>
      <c r="G896" s="4">
        <v>165</v>
      </c>
      <c r="H896" t="s">
        <v>21</v>
      </c>
      <c r="I896" t="s">
        <v>33</v>
      </c>
      <c r="K896" t="s">
        <v>32</v>
      </c>
      <c r="L896" t="s">
        <v>32</v>
      </c>
      <c r="N896" t="s">
        <v>32</v>
      </c>
      <c r="O896" s="4">
        <v>0</v>
      </c>
    </row>
    <row r="897" spans="1:16" x14ac:dyDescent="0.3">
      <c r="A897" s="4">
        <v>896</v>
      </c>
      <c r="B897" s="4">
        <v>58</v>
      </c>
      <c r="C897" t="s">
        <v>16</v>
      </c>
      <c r="D897" t="s">
        <v>36</v>
      </c>
      <c r="E897" t="s">
        <v>24</v>
      </c>
      <c r="F897" s="4">
        <v>100</v>
      </c>
      <c r="G897" s="4">
        <v>213</v>
      </c>
      <c r="H897" t="s">
        <v>21</v>
      </c>
      <c r="I897" t="s">
        <v>33</v>
      </c>
      <c r="J897" s="4">
        <v>110</v>
      </c>
      <c r="K897" t="s">
        <v>21</v>
      </c>
      <c r="L897" t="s">
        <v>32</v>
      </c>
      <c r="N897" t="s">
        <v>32</v>
      </c>
      <c r="O897" s="4">
        <v>0</v>
      </c>
      <c r="P897" s="5">
        <v>0</v>
      </c>
    </row>
    <row r="898" spans="1:16" x14ac:dyDescent="0.3">
      <c r="A898" s="4">
        <v>897</v>
      </c>
      <c r="B898" s="4">
        <v>61</v>
      </c>
      <c r="C898" t="s">
        <v>16</v>
      </c>
      <c r="D898" t="s">
        <v>36</v>
      </c>
      <c r="E898" t="s">
        <v>24</v>
      </c>
      <c r="F898" s="4">
        <v>190</v>
      </c>
      <c r="G898" s="4">
        <v>287</v>
      </c>
      <c r="H898" t="s">
        <v>19</v>
      </c>
      <c r="I898" t="s">
        <v>20</v>
      </c>
      <c r="J898" s="4">
        <v>150</v>
      </c>
      <c r="K898" t="s">
        <v>19</v>
      </c>
      <c r="L898" t="s">
        <v>22</v>
      </c>
      <c r="N898" t="s">
        <v>32</v>
      </c>
      <c r="O898" s="4">
        <v>4</v>
      </c>
      <c r="P898" s="5">
        <v>2</v>
      </c>
    </row>
    <row r="899" spans="1:16" x14ac:dyDescent="0.3">
      <c r="A899" s="4">
        <v>898</v>
      </c>
      <c r="B899" s="4">
        <v>64</v>
      </c>
      <c r="C899" t="s">
        <v>16</v>
      </c>
      <c r="D899" t="s">
        <v>36</v>
      </c>
      <c r="E899" t="s">
        <v>24</v>
      </c>
      <c r="F899" s="4">
        <v>130</v>
      </c>
      <c r="G899" s="4">
        <v>258</v>
      </c>
      <c r="H899" t="s">
        <v>19</v>
      </c>
      <c r="I899" t="s">
        <v>20</v>
      </c>
      <c r="J899" s="4">
        <v>130</v>
      </c>
      <c r="K899" t="s">
        <v>21</v>
      </c>
      <c r="L899" t="s">
        <v>32</v>
      </c>
      <c r="N899" t="s">
        <v>23</v>
      </c>
      <c r="O899" s="4">
        <v>2</v>
      </c>
      <c r="P899" s="5">
        <v>0</v>
      </c>
    </row>
    <row r="900" spans="1:16" x14ac:dyDescent="0.3">
      <c r="A900" s="4">
        <v>899</v>
      </c>
      <c r="B900" s="4">
        <v>58</v>
      </c>
      <c r="C900" t="s">
        <v>16</v>
      </c>
      <c r="D900" t="s">
        <v>36</v>
      </c>
      <c r="E900" t="s">
        <v>24</v>
      </c>
      <c r="F900" s="4">
        <v>160</v>
      </c>
      <c r="G900" s="4">
        <v>256</v>
      </c>
      <c r="H900" t="s">
        <v>19</v>
      </c>
      <c r="I900" t="s">
        <v>20</v>
      </c>
      <c r="J900" s="4">
        <v>113</v>
      </c>
      <c r="K900" t="s">
        <v>19</v>
      </c>
      <c r="L900" t="s">
        <v>31</v>
      </c>
      <c r="N900" t="s">
        <v>32</v>
      </c>
      <c r="O900" s="4">
        <v>3</v>
      </c>
      <c r="P900" s="5">
        <v>1</v>
      </c>
    </row>
    <row r="901" spans="1:16" x14ac:dyDescent="0.3">
      <c r="A901" s="4">
        <v>900</v>
      </c>
      <c r="B901" s="4">
        <v>60</v>
      </c>
      <c r="C901" t="s">
        <v>16</v>
      </c>
      <c r="D901" t="s">
        <v>36</v>
      </c>
      <c r="E901" t="s">
        <v>24</v>
      </c>
      <c r="F901" s="4">
        <v>130</v>
      </c>
      <c r="G901" s="4">
        <v>186</v>
      </c>
      <c r="H901" t="s">
        <v>19</v>
      </c>
      <c r="I901" t="s">
        <v>20</v>
      </c>
      <c r="J901" s="4">
        <v>140</v>
      </c>
      <c r="K901" t="s">
        <v>19</v>
      </c>
      <c r="L901" t="s">
        <v>25</v>
      </c>
      <c r="N901" t="s">
        <v>32</v>
      </c>
      <c r="O901" s="4">
        <v>1</v>
      </c>
      <c r="P901" s="5">
        <v>0.5</v>
      </c>
    </row>
    <row r="902" spans="1:16" x14ac:dyDescent="0.3">
      <c r="A902" s="4">
        <v>901</v>
      </c>
      <c r="B902" s="4">
        <v>57</v>
      </c>
      <c r="C902" t="s">
        <v>16</v>
      </c>
      <c r="D902" t="s">
        <v>36</v>
      </c>
      <c r="E902" t="s">
        <v>24</v>
      </c>
      <c r="F902" s="4">
        <v>122</v>
      </c>
      <c r="G902" s="4">
        <v>264</v>
      </c>
      <c r="H902" t="s">
        <v>21</v>
      </c>
      <c r="I902" t="s">
        <v>20</v>
      </c>
      <c r="J902" s="4">
        <v>100</v>
      </c>
      <c r="K902" t="s">
        <v>21</v>
      </c>
      <c r="L902" t="s">
        <v>32</v>
      </c>
      <c r="N902" t="s">
        <v>32</v>
      </c>
      <c r="O902" s="4">
        <v>1</v>
      </c>
      <c r="P902" s="5">
        <v>0</v>
      </c>
    </row>
    <row r="903" spans="1:16" x14ac:dyDescent="0.3">
      <c r="A903" s="4">
        <v>902</v>
      </c>
      <c r="B903" s="4">
        <v>55</v>
      </c>
      <c r="C903" t="s">
        <v>16</v>
      </c>
      <c r="D903" t="s">
        <v>36</v>
      </c>
      <c r="E903" t="s">
        <v>28</v>
      </c>
      <c r="H903" t="s">
        <v>21</v>
      </c>
      <c r="I903" t="s">
        <v>33</v>
      </c>
      <c r="K903" t="s">
        <v>32</v>
      </c>
      <c r="L903" t="s">
        <v>32</v>
      </c>
      <c r="N903" t="s">
        <v>32</v>
      </c>
      <c r="O903" s="4">
        <v>0</v>
      </c>
    </row>
    <row r="904" spans="1:16" x14ac:dyDescent="0.3">
      <c r="A904" s="4">
        <v>903</v>
      </c>
      <c r="B904" s="4">
        <v>55</v>
      </c>
      <c r="C904" t="s">
        <v>16</v>
      </c>
      <c r="D904" t="s">
        <v>36</v>
      </c>
      <c r="E904" t="s">
        <v>24</v>
      </c>
      <c r="F904" s="4">
        <v>120</v>
      </c>
      <c r="G904" s="4">
        <v>226</v>
      </c>
      <c r="H904" t="s">
        <v>21</v>
      </c>
      <c r="I904" t="s">
        <v>20</v>
      </c>
      <c r="J904" s="4">
        <v>127</v>
      </c>
      <c r="K904" t="s">
        <v>19</v>
      </c>
      <c r="L904" t="s">
        <v>22</v>
      </c>
      <c r="N904" t="s">
        <v>27</v>
      </c>
      <c r="O904" s="4">
        <v>1</v>
      </c>
      <c r="P904" s="5">
        <v>0.7</v>
      </c>
    </row>
    <row r="905" spans="1:16" x14ac:dyDescent="0.3">
      <c r="A905" s="4">
        <v>904</v>
      </c>
      <c r="B905" s="4">
        <v>56</v>
      </c>
      <c r="C905" t="s">
        <v>16</v>
      </c>
      <c r="D905" t="s">
        <v>36</v>
      </c>
      <c r="E905" t="s">
        <v>24</v>
      </c>
      <c r="F905" s="4">
        <v>130</v>
      </c>
      <c r="G905" s="4">
        <v>203</v>
      </c>
      <c r="H905" t="s">
        <v>19</v>
      </c>
      <c r="I905" t="s">
        <v>26</v>
      </c>
      <c r="J905" s="4">
        <v>98</v>
      </c>
      <c r="K905" t="s">
        <v>21</v>
      </c>
      <c r="L905" t="s">
        <v>25</v>
      </c>
      <c r="N905" t="s">
        <v>27</v>
      </c>
      <c r="O905" s="4">
        <v>1</v>
      </c>
      <c r="P905" s="5">
        <v>0.5</v>
      </c>
    </row>
    <row r="906" spans="1:16" x14ac:dyDescent="0.3">
      <c r="A906" s="4">
        <v>905</v>
      </c>
      <c r="B906" s="4">
        <v>57</v>
      </c>
      <c r="C906" t="s">
        <v>16</v>
      </c>
      <c r="D906" t="s">
        <v>36</v>
      </c>
      <c r="E906" t="s">
        <v>24</v>
      </c>
      <c r="F906" s="4">
        <v>130</v>
      </c>
      <c r="G906" s="4">
        <v>207</v>
      </c>
      <c r="H906" t="s">
        <v>21</v>
      </c>
      <c r="I906" t="s">
        <v>33</v>
      </c>
      <c r="J906" s="4">
        <v>96</v>
      </c>
      <c r="K906" t="s">
        <v>19</v>
      </c>
      <c r="L906" t="s">
        <v>25</v>
      </c>
      <c r="N906" t="s">
        <v>32</v>
      </c>
      <c r="O906" s="4">
        <v>0</v>
      </c>
      <c r="P906" s="5">
        <v>1</v>
      </c>
    </row>
    <row r="907" spans="1:16" x14ac:dyDescent="0.3">
      <c r="A907" s="4">
        <v>906</v>
      </c>
      <c r="B907" s="4">
        <v>61</v>
      </c>
      <c r="C907" t="s">
        <v>16</v>
      </c>
      <c r="D907" t="s">
        <v>36</v>
      </c>
      <c r="E907" t="s">
        <v>28</v>
      </c>
      <c r="G907" s="4">
        <v>284</v>
      </c>
      <c r="H907" t="s">
        <v>21</v>
      </c>
      <c r="I907" t="s">
        <v>26</v>
      </c>
      <c r="K907" t="s">
        <v>32</v>
      </c>
      <c r="L907" t="s">
        <v>32</v>
      </c>
      <c r="N907" t="s">
        <v>32</v>
      </c>
      <c r="O907" s="4">
        <v>1</v>
      </c>
    </row>
    <row r="908" spans="1:16" x14ac:dyDescent="0.3">
      <c r="A908" s="4">
        <v>907</v>
      </c>
      <c r="B908" s="4">
        <v>61</v>
      </c>
      <c r="C908" t="s">
        <v>16</v>
      </c>
      <c r="D908" t="s">
        <v>36</v>
      </c>
      <c r="E908" t="s">
        <v>28</v>
      </c>
      <c r="F908" s="4">
        <v>120</v>
      </c>
      <c r="G908" s="4">
        <v>337</v>
      </c>
      <c r="H908" t="s">
        <v>21</v>
      </c>
      <c r="I908" t="s">
        <v>26</v>
      </c>
      <c r="J908" s="4">
        <v>98</v>
      </c>
      <c r="K908" t="s">
        <v>19</v>
      </c>
      <c r="L908" t="s">
        <v>32</v>
      </c>
      <c r="N908" t="s">
        <v>32</v>
      </c>
      <c r="O908" s="4">
        <v>3</v>
      </c>
      <c r="P908" s="5">
        <v>0</v>
      </c>
    </row>
    <row r="909" spans="1:16" x14ac:dyDescent="0.3">
      <c r="A909" s="4">
        <v>908</v>
      </c>
      <c r="B909" s="4">
        <v>58</v>
      </c>
      <c r="C909" t="s">
        <v>16</v>
      </c>
      <c r="D909" t="s">
        <v>36</v>
      </c>
      <c r="E909" t="s">
        <v>28</v>
      </c>
      <c r="F909" s="4">
        <v>150</v>
      </c>
      <c r="G909" s="4">
        <v>219</v>
      </c>
      <c r="H909" t="s">
        <v>21</v>
      </c>
      <c r="I909" t="s">
        <v>33</v>
      </c>
      <c r="J909" s="4">
        <v>118</v>
      </c>
      <c r="K909" t="s">
        <v>19</v>
      </c>
      <c r="L909" t="s">
        <v>32</v>
      </c>
      <c r="N909" t="s">
        <v>32</v>
      </c>
      <c r="O909" s="4">
        <v>2</v>
      </c>
      <c r="P909" s="5">
        <v>0</v>
      </c>
    </row>
    <row r="910" spans="1:16" x14ac:dyDescent="0.3">
      <c r="A910" s="4">
        <v>909</v>
      </c>
      <c r="B910" s="4">
        <v>74</v>
      </c>
      <c r="C910" t="s">
        <v>16</v>
      </c>
      <c r="D910" t="s">
        <v>36</v>
      </c>
      <c r="E910" t="s">
        <v>24</v>
      </c>
      <c r="F910" s="4">
        <v>155</v>
      </c>
      <c r="G910" s="4">
        <v>310</v>
      </c>
      <c r="H910" t="s">
        <v>21</v>
      </c>
      <c r="I910" t="s">
        <v>26</v>
      </c>
      <c r="J910" s="4">
        <v>112</v>
      </c>
      <c r="K910" t="s">
        <v>19</v>
      </c>
      <c r="L910" t="s">
        <v>22</v>
      </c>
      <c r="N910" t="s">
        <v>32</v>
      </c>
      <c r="O910" s="4">
        <v>2</v>
      </c>
      <c r="P910" s="5">
        <v>0.5</v>
      </c>
    </row>
    <row r="911" spans="1:16" x14ac:dyDescent="0.3">
      <c r="A911" s="4">
        <v>910</v>
      </c>
      <c r="B911" s="4">
        <v>68</v>
      </c>
      <c r="C911" t="s">
        <v>16</v>
      </c>
      <c r="D911" t="s">
        <v>36</v>
      </c>
      <c r="E911" t="s">
        <v>28</v>
      </c>
      <c r="F911" s="4">
        <v>134</v>
      </c>
      <c r="G911" s="4">
        <v>254</v>
      </c>
      <c r="H911" t="s">
        <v>19</v>
      </c>
      <c r="I911" t="s">
        <v>26</v>
      </c>
      <c r="J911" s="4">
        <v>151</v>
      </c>
      <c r="K911" t="s">
        <v>19</v>
      </c>
      <c r="L911" t="s">
        <v>32</v>
      </c>
      <c r="N911" t="s">
        <v>26</v>
      </c>
      <c r="O911" s="4">
        <v>0</v>
      </c>
      <c r="P911" s="5">
        <v>0</v>
      </c>
    </row>
    <row r="912" spans="1:16" x14ac:dyDescent="0.3">
      <c r="A912" s="4">
        <v>911</v>
      </c>
      <c r="B912" s="4">
        <v>51</v>
      </c>
      <c r="C912" t="s">
        <v>29</v>
      </c>
      <c r="D912" t="s">
        <v>36</v>
      </c>
      <c r="E912" t="s">
        <v>24</v>
      </c>
      <c r="F912" s="4">
        <v>114</v>
      </c>
      <c r="G912" s="4">
        <v>258</v>
      </c>
      <c r="H912" t="s">
        <v>19</v>
      </c>
      <c r="I912" t="s">
        <v>20</v>
      </c>
      <c r="J912" s="4">
        <v>96</v>
      </c>
      <c r="K912" t="s">
        <v>21</v>
      </c>
      <c r="L912" t="s">
        <v>31</v>
      </c>
      <c r="N912" t="s">
        <v>32</v>
      </c>
      <c r="O912" s="4">
        <v>0</v>
      </c>
      <c r="P912" s="5">
        <v>1</v>
      </c>
    </row>
    <row r="913" spans="1:16" x14ac:dyDescent="0.3">
      <c r="A913" s="4">
        <v>912</v>
      </c>
      <c r="B913" s="4">
        <v>62</v>
      </c>
      <c r="C913" t="s">
        <v>16</v>
      </c>
      <c r="D913" t="s">
        <v>36</v>
      </c>
      <c r="E913" t="s">
        <v>24</v>
      </c>
      <c r="F913" s="4">
        <v>160</v>
      </c>
      <c r="G913" s="4">
        <v>254</v>
      </c>
      <c r="H913" t="s">
        <v>19</v>
      </c>
      <c r="I913" t="s">
        <v>33</v>
      </c>
      <c r="J913" s="4">
        <v>108</v>
      </c>
      <c r="K913" t="s">
        <v>19</v>
      </c>
      <c r="L913" t="s">
        <v>25</v>
      </c>
      <c r="N913" t="s">
        <v>32</v>
      </c>
      <c r="O913" s="4">
        <v>4</v>
      </c>
      <c r="P913" s="5">
        <v>3</v>
      </c>
    </row>
    <row r="914" spans="1:16" x14ac:dyDescent="0.3">
      <c r="A914" s="4">
        <v>913</v>
      </c>
      <c r="B914" s="4">
        <v>53</v>
      </c>
      <c r="C914" t="s">
        <v>16</v>
      </c>
      <c r="D914" t="s">
        <v>36</v>
      </c>
      <c r="E914" t="s">
        <v>24</v>
      </c>
      <c r="F914" s="4">
        <v>144</v>
      </c>
      <c r="G914" s="4">
        <v>300</v>
      </c>
      <c r="H914" t="s">
        <v>19</v>
      </c>
      <c r="I914" t="s">
        <v>33</v>
      </c>
      <c r="J914" s="4">
        <v>128</v>
      </c>
      <c r="K914" t="s">
        <v>19</v>
      </c>
      <c r="L914" t="s">
        <v>25</v>
      </c>
      <c r="N914" t="s">
        <v>32</v>
      </c>
      <c r="O914" s="4">
        <v>3</v>
      </c>
      <c r="P914" s="5">
        <v>0.5</v>
      </c>
    </row>
    <row r="915" spans="1:16" x14ac:dyDescent="0.3">
      <c r="A915" s="4">
        <v>914</v>
      </c>
      <c r="B915" s="4">
        <v>62</v>
      </c>
      <c r="C915" t="s">
        <v>16</v>
      </c>
      <c r="D915" t="s">
        <v>36</v>
      </c>
      <c r="E915" t="s">
        <v>24</v>
      </c>
      <c r="F915" s="4">
        <v>158</v>
      </c>
      <c r="G915" s="4">
        <v>170</v>
      </c>
      <c r="H915" t="s">
        <v>21</v>
      </c>
      <c r="I915" t="s">
        <v>33</v>
      </c>
      <c r="J915" s="4">
        <v>138</v>
      </c>
      <c r="K915" t="s">
        <v>19</v>
      </c>
      <c r="L915" t="s">
        <v>32</v>
      </c>
      <c r="N915" t="s">
        <v>32</v>
      </c>
      <c r="O915" s="4">
        <v>1</v>
      </c>
      <c r="P915" s="5">
        <v>0</v>
      </c>
    </row>
    <row r="916" spans="1:16" x14ac:dyDescent="0.3">
      <c r="A916" s="4">
        <v>915</v>
      </c>
      <c r="B916" s="4">
        <v>46</v>
      </c>
      <c r="C916" t="s">
        <v>16</v>
      </c>
      <c r="D916" t="s">
        <v>36</v>
      </c>
      <c r="E916" t="s">
        <v>24</v>
      </c>
      <c r="F916" s="4">
        <v>134</v>
      </c>
      <c r="G916" s="4">
        <v>310</v>
      </c>
      <c r="H916" t="s">
        <v>21</v>
      </c>
      <c r="I916" t="s">
        <v>26</v>
      </c>
      <c r="J916" s="4">
        <v>126</v>
      </c>
      <c r="K916" t="s">
        <v>21</v>
      </c>
      <c r="L916" t="s">
        <v>32</v>
      </c>
      <c r="N916" t="s">
        <v>26</v>
      </c>
      <c r="O916" s="4">
        <v>2</v>
      </c>
      <c r="P916" s="5">
        <v>0</v>
      </c>
    </row>
    <row r="917" spans="1:16" x14ac:dyDescent="0.3">
      <c r="A917" s="4">
        <v>916</v>
      </c>
      <c r="B917" s="4">
        <v>54</v>
      </c>
      <c r="C917" t="s">
        <v>29</v>
      </c>
      <c r="D917" t="s">
        <v>36</v>
      </c>
      <c r="E917" t="s">
        <v>24</v>
      </c>
      <c r="F917" s="4">
        <v>127</v>
      </c>
      <c r="G917" s="4">
        <v>333</v>
      </c>
      <c r="H917" t="s">
        <v>19</v>
      </c>
      <c r="I917" t="s">
        <v>33</v>
      </c>
      <c r="J917" s="4">
        <v>154</v>
      </c>
      <c r="K917" t="s">
        <v>21</v>
      </c>
      <c r="L917" t="s">
        <v>32</v>
      </c>
      <c r="N917" t="s">
        <v>32</v>
      </c>
      <c r="O917" s="4">
        <v>1</v>
      </c>
      <c r="P917" s="5">
        <v>0</v>
      </c>
    </row>
    <row r="918" spans="1:16" x14ac:dyDescent="0.3">
      <c r="A918" s="4">
        <v>917</v>
      </c>
      <c r="B918" s="4">
        <v>62</v>
      </c>
      <c r="C918" t="s">
        <v>16</v>
      </c>
      <c r="D918" t="s">
        <v>36</v>
      </c>
      <c r="E918" t="s">
        <v>18</v>
      </c>
      <c r="G918" s="4">
        <v>139</v>
      </c>
      <c r="H918" t="s">
        <v>21</v>
      </c>
      <c r="I918" t="s">
        <v>33</v>
      </c>
      <c r="K918" t="s">
        <v>32</v>
      </c>
      <c r="L918" t="s">
        <v>32</v>
      </c>
      <c r="N918" t="s">
        <v>32</v>
      </c>
      <c r="O918" s="4">
        <v>0</v>
      </c>
    </row>
    <row r="919" spans="1:16" x14ac:dyDescent="0.3">
      <c r="A919" s="4">
        <v>918</v>
      </c>
      <c r="B919" s="4">
        <v>55</v>
      </c>
      <c r="C919" t="s">
        <v>16</v>
      </c>
      <c r="D919" t="s">
        <v>36</v>
      </c>
      <c r="E919" t="s">
        <v>24</v>
      </c>
      <c r="F919" s="4">
        <v>122</v>
      </c>
      <c r="G919" s="4">
        <v>223</v>
      </c>
      <c r="H919" t="s">
        <v>19</v>
      </c>
      <c r="I919" t="s">
        <v>33</v>
      </c>
      <c r="J919" s="4">
        <v>100</v>
      </c>
      <c r="K919" t="s">
        <v>21</v>
      </c>
      <c r="L919" t="s">
        <v>32</v>
      </c>
      <c r="N919" t="s">
        <v>23</v>
      </c>
      <c r="O919" s="4">
        <v>2</v>
      </c>
      <c r="P919" s="5">
        <v>0</v>
      </c>
    </row>
    <row r="920" spans="1:16" x14ac:dyDescent="0.3">
      <c r="A920" s="4">
        <v>919</v>
      </c>
      <c r="B920" s="4">
        <v>58</v>
      </c>
      <c r="C920" t="s">
        <v>16</v>
      </c>
      <c r="D920" t="s">
        <v>36</v>
      </c>
      <c r="E920" t="s">
        <v>24</v>
      </c>
      <c r="G920" s="4">
        <v>385</v>
      </c>
      <c r="H920" t="s">
        <v>19</v>
      </c>
      <c r="I920" t="s">
        <v>20</v>
      </c>
      <c r="K920" t="s">
        <v>32</v>
      </c>
      <c r="L920" t="s">
        <v>32</v>
      </c>
      <c r="N920" t="s">
        <v>32</v>
      </c>
      <c r="O920" s="4">
        <v>0</v>
      </c>
    </row>
    <row r="921" spans="1:16" x14ac:dyDescent="0.3">
      <c r="A921" s="4">
        <v>920</v>
      </c>
      <c r="B921" s="4">
        <v>62</v>
      </c>
      <c r="C921" t="s">
        <v>16</v>
      </c>
      <c r="D921" t="s">
        <v>36</v>
      </c>
      <c r="E921" t="s">
        <v>30</v>
      </c>
      <c r="F921" s="4">
        <v>120</v>
      </c>
      <c r="G921" s="4">
        <v>254</v>
      </c>
      <c r="H921" t="s">
        <v>21</v>
      </c>
      <c r="I921" t="s">
        <v>20</v>
      </c>
      <c r="J921" s="4">
        <v>93</v>
      </c>
      <c r="K921" t="s">
        <v>19</v>
      </c>
      <c r="L921" t="s">
        <v>32</v>
      </c>
      <c r="N921" t="s">
        <v>32</v>
      </c>
      <c r="O921" s="4">
        <v>1</v>
      </c>
      <c r="P921" s="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4CD5-737A-4440-9B24-763808FC42C7}">
  <dimension ref="A1:O749"/>
  <sheetViews>
    <sheetView workbookViewId="0"/>
  </sheetViews>
  <sheetFormatPr defaultRowHeight="14.4" x14ac:dyDescent="0.3"/>
  <cols>
    <col min="1" max="1" width="4.77734375" bestFit="1" customWidth="1"/>
    <col min="2" max="2" width="6.21875" bestFit="1" customWidth="1"/>
    <col min="3" max="3" width="6.88671875" bestFit="1" customWidth="1"/>
    <col min="4" max="4" width="13.21875" bestFit="1" customWidth="1"/>
    <col min="5" max="5" width="10" bestFit="1" customWidth="1"/>
    <col min="6" max="6" width="6.77734375" bestFit="1" customWidth="1"/>
    <col min="7" max="7" width="5.77734375" bestFit="1" customWidth="1"/>
    <col min="8" max="8" width="14.109375" bestFit="1" customWidth="1"/>
    <col min="9" max="9" width="8.44140625" bestFit="1" customWidth="1"/>
    <col min="10" max="10" width="8.21875" bestFit="1" customWidth="1"/>
    <col min="11" max="11" width="11.21875" bestFit="1" customWidth="1"/>
    <col min="12" max="12" width="5.109375" bestFit="1" customWidth="1"/>
    <col min="13" max="13" width="15.21875" bestFit="1" customWidth="1"/>
    <col min="14" max="14" width="7.109375" bestFit="1" customWidth="1"/>
    <col min="15" max="15" width="10" bestFit="1" customWidth="1"/>
  </cols>
  <sheetData>
    <row r="1" spans="1:15" x14ac:dyDescent="0.3">
      <c r="A1" t="s">
        <v>0</v>
      </c>
      <c r="B1" t="s">
        <v>1</v>
      </c>
      <c r="C1" t="s">
        <v>2</v>
      </c>
      <c r="D1" t="s">
        <v>4</v>
      </c>
      <c r="E1" t="s">
        <v>5</v>
      </c>
      <c r="F1" t="s">
        <v>6</v>
      </c>
      <c r="G1" t="s">
        <v>7</v>
      </c>
      <c r="H1" t="s">
        <v>8</v>
      </c>
      <c r="I1" t="s">
        <v>9</v>
      </c>
      <c r="J1" t="s">
        <v>10</v>
      </c>
      <c r="K1" t="s">
        <v>11</v>
      </c>
      <c r="L1" t="s">
        <v>12</v>
      </c>
      <c r="M1" t="s">
        <v>13</v>
      </c>
      <c r="N1" t="s">
        <v>14</v>
      </c>
      <c r="O1" t="s">
        <v>15</v>
      </c>
    </row>
    <row r="2" spans="1:15" x14ac:dyDescent="0.3">
      <c r="A2">
        <v>1</v>
      </c>
      <c r="B2">
        <v>63</v>
      </c>
      <c r="C2" s="25" t="s">
        <v>16</v>
      </c>
      <c r="D2" s="25" t="s">
        <v>18</v>
      </c>
      <c r="E2">
        <v>145</v>
      </c>
      <c r="F2">
        <v>233</v>
      </c>
      <c r="G2" t="b">
        <v>1</v>
      </c>
      <c r="H2" s="25" t="s">
        <v>20</v>
      </c>
      <c r="I2">
        <v>150</v>
      </c>
      <c r="J2" t="b">
        <v>0</v>
      </c>
      <c r="K2" s="25" t="s">
        <v>22</v>
      </c>
      <c r="L2">
        <v>0</v>
      </c>
      <c r="M2" s="25" t="s">
        <v>23</v>
      </c>
      <c r="N2">
        <v>0</v>
      </c>
      <c r="O2">
        <v>0.3</v>
      </c>
    </row>
    <row r="3" spans="1:15" x14ac:dyDescent="0.3">
      <c r="A3">
        <v>2</v>
      </c>
      <c r="B3">
        <v>67</v>
      </c>
      <c r="C3" s="25" t="s">
        <v>16</v>
      </c>
      <c r="D3" s="25" t="s">
        <v>24</v>
      </c>
      <c r="E3">
        <v>160</v>
      </c>
      <c r="F3">
        <v>286</v>
      </c>
      <c r="G3" t="b">
        <v>0</v>
      </c>
      <c r="H3" s="25" t="s">
        <v>20</v>
      </c>
      <c r="I3">
        <v>108</v>
      </c>
      <c r="J3" t="b">
        <v>1</v>
      </c>
      <c r="K3" s="25" t="s">
        <v>25</v>
      </c>
      <c r="L3">
        <v>3</v>
      </c>
      <c r="M3" s="25" t="s">
        <v>26</v>
      </c>
      <c r="N3">
        <v>2</v>
      </c>
      <c r="O3">
        <v>0.5</v>
      </c>
    </row>
    <row r="4" spans="1:15" x14ac:dyDescent="0.3">
      <c r="A4">
        <v>3</v>
      </c>
      <c r="B4">
        <v>67</v>
      </c>
      <c r="C4" s="25" t="s">
        <v>16</v>
      </c>
      <c r="D4" s="25" t="s">
        <v>24</v>
      </c>
      <c r="E4">
        <v>120</v>
      </c>
      <c r="F4">
        <v>229</v>
      </c>
      <c r="G4" t="b">
        <v>0</v>
      </c>
      <c r="H4" s="25" t="s">
        <v>20</v>
      </c>
      <c r="I4">
        <v>129</v>
      </c>
      <c r="J4" t="b">
        <v>1</v>
      </c>
      <c r="K4" s="25" t="s">
        <v>25</v>
      </c>
      <c r="L4">
        <v>2</v>
      </c>
      <c r="M4" s="25" t="s">
        <v>27</v>
      </c>
      <c r="N4">
        <v>1</v>
      </c>
      <c r="O4">
        <v>0.6</v>
      </c>
    </row>
    <row r="5" spans="1:15" x14ac:dyDescent="0.3">
      <c r="A5">
        <v>4</v>
      </c>
      <c r="B5">
        <v>37</v>
      </c>
      <c r="C5" s="25" t="s">
        <v>16</v>
      </c>
      <c r="D5" s="25" t="s">
        <v>28</v>
      </c>
      <c r="E5">
        <v>130</v>
      </c>
      <c r="F5">
        <v>250</v>
      </c>
      <c r="G5" t="b">
        <v>0</v>
      </c>
      <c r="H5" s="25" t="s">
        <v>26</v>
      </c>
      <c r="I5">
        <v>187</v>
      </c>
      <c r="J5" t="b">
        <v>0</v>
      </c>
      <c r="K5" s="25" t="s">
        <v>22</v>
      </c>
      <c r="L5">
        <v>0</v>
      </c>
      <c r="M5" s="25" t="s">
        <v>26</v>
      </c>
      <c r="N5">
        <v>0</v>
      </c>
      <c r="O5">
        <v>0.5</v>
      </c>
    </row>
    <row r="6" spans="1:15" x14ac:dyDescent="0.3">
      <c r="A6">
        <v>5</v>
      </c>
      <c r="B6">
        <v>41</v>
      </c>
      <c r="C6" s="25" t="s">
        <v>29</v>
      </c>
      <c r="D6" s="25" t="s">
        <v>30</v>
      </c>
      <c r="E6">
        <v>130</v>
      </c>
      <c r="F6">
        <v>204</v>
      </c>
      <c r="G6" t="b">
        <v>0</v>
      </c>
      <c r="H6" s="25" t="s">
        <v>20</v>
      </c>
      <c r="I6">
        <v>172</v>
      </c>
      <c r="J6" t="b">
        <v>0</v>
      </c>
      <c r="K6" s="25" t="s">
        <v>31</v>
      </c>
      <c r="L6">
        <v>0</v>
      </c>
      <c r="M6" s="25" t="s">
        <v>26</v>
      </c>
      <c r="N6">
        <v>0</v>
      </c>
      <c r="O6">
        <v>0.4</v>
      </c>
    </row>
    <row r="7" spans="1:15" x14ac:dyDescent="0.3">
      <c r="A7">
        <v>6</v>
      </c>
      <c r="B7">
        <v>56</v>
      </c>
      <c r="C7" s="25" t="s">
        <v>16</v>
      </c>
      <c r="D7" s="25" t="s">
        <v>30</v>
      </c>
      <c r="E7">
        <v>120</v>
      </c>
      <c r="F7">
        <v>236</v>
      </c>
      <c r="G7" t="b">
        <v>0</v>
      </c>
      <c r="H7" s="25" t="s">
        <v>26</v>
      </c>
      <c r="I7">
        <v>178</v>
      </c>
      <c r="J7" t="b">
        <v>0</v>
      </c>
      <c r="K7" s="25" t="s">
        <v>31</v>
      </c>
      <c r="L7">
        <v>0</v>
      </c>
      <c r="M7" s="25" t="s">
        <v>26</v>
      </c>
      <c r="N7">
        <v>0</v>
      </c>
      <c r="O7">
        <v>0.8</v>
      </c>
    </row>
    <row r="8" spans="1:15" x14ac:dyDescent="0.3">
      <c r="A8">
        <v>7</v>
      </c>
      <c r="B8">
        <v>62</v>
      </c>
      <c r="C8" s="25" t="s">
        <v>29</v>
      </c>
      <c r="D8" s="25" t="s">
        <v>24</v>
      </c>
      <c r="E8">
        <v>140</v>
      </c>
      <c r="F8">
        <v>268</v>
      </c>
      <c r="G8" t="b">
        <v>0</v>
      </c>
      <c r="H8" s="25" t="s">
        <v>20</v>
      </c>
      <c r="I8">
        <v>160</v>
      </c>
      <c r="J8" t="b">
        <v>0</v>
      </c>
      <c r="K8" s="25" t="s">
        <v>22</v>
      </c>
      <c r="L8">
        <v>2</v>
      </c>
      <c r="M8" s="25" t="s">
        <v>26</v>
      </c>
      <c r="N8">
        <v>3</v>
      </c>
      <c r="O8">
        <v>0.6</v>
      </c>
    </row>
    <row r="9" spans="1:15" x14ac:dyDescent="0.3">
      <c r="A9">
        <v>8</v>
      </c>
      <c r="B9">
        <v>57</v>
      </c>
      <c r="C9" s="25" t="s">
        <v>29</v>
      </c>
      <c r="D9" s="25" t="s">
        <v>24</v>
      </c>
      <c r="E9">
        <v>120</v>
      </c>
      <c r="F9">
        <v>354</v>
      </c>
      <c r="G9" t="b">
        <v>0</v>
      </c>
      <c r="H9" s="25" t="s">
        <v>26</v>
      </c>
      <c r="I9">
        <v>163</v>
      </c>
      <c r="J9" t="b">
        <v>1</v>
      </c>
      <c r="K9" s="25" t="s">
        <v>31</v>
      </c>
      <c r="L9">
        <v>0</v>
      </c>
      <c r="M9" s="25" t="s">
        <v>26</v>
      </c>
      <c r="N9">
        <v>0</v>
      </c>
      <c r="O9">
        <v>0.6</v>
      </c>
    </row>
    <row r="10" spans="1:15" x14ac:dyDescent="0.3">
      <c r="A10">
        <v>9</v>
      </c>
      <c r="B10">
        <v>63</v>
      </c>
      <c r="C10" s="25" t="s">
        <v>16</v>
      </c>
      <c r="D10" s="25" t="s">
        <v>24</v>
      </c>
      <c r="E10">
        <v>130</v>
      </c>
      <c r="F10">
        <v>254</v>
      </c>
      <c r="G10" t="b">
        <v>0</v>
      </c>
      <c r="H10" s="25" t="s">
        <v>20</v>
      </c>
      <c r="I10">
        <v>147</v>
      </c>
      <c r="J10" t="b">
        <v>0</v>
      </c>
      <c r="K10" s="25" t="s">
        <v>25</v>
      </c>
      <c r="L10">
        <v>1</v>
      </c>
      <c r="M10" s="25" t="s">
        <v>27</v>
      </c>
      <c r="N10">
        <v>2</v>
      </c>
      <c r="O10">
        <v>0.4</v>
      </c>
    </row>
    <row r="11" spans="1:15" x14ac:dyDescent="0.3">
      <c r="A11">
        <v>10</v>
      </c>
      <c r="B11">
        <v>53</v>
      </c>
      <c r="C11" s="25" t="s">
        <v>16</v>
      </c>
      <c r="D11" s="25" t="s">
        <v>24</v>
      </c>
      <c r="E11">
        <v>140</v>
      </c>
      <c r="F11">
        <v>203</v>
      </c>
      <c r="G11" t="b">
        <v>1</v>
      </c>
      <c r="H11" s="25" t="s">
        <v>20</v>
      </c>
      <c r="I11">
        <v>155</v>
      </c>
      <c r="J11" t="b">
        <v>1</v>
      </c>
      <c r="K11" s="25" t="s">
        <v>22</v>
      </c>
      <c r="L11">
        <v>0</v>
      </c>
      <c r="M11" s="25" t="s">
        <v>27</v>
      </c>
      <c r="N11">
        <v>1</v>
      </c>
      <c r="O11">
        <v>0.1</v>
      </c>
    </row>
    <row r="12" spans="1:15" x14ac:dyDescent="0.3">
      <c r="A12">
        <v>11</v>
      </c>
      <c r="B12">
        <v>57</v>
      </c>
      <c r="C12" s="25" t="s">
        <v>16</v>
      </c>
      <c r="D12" s="25" t="s">
        <v>24</v>
      </c>
      <c r="E12">
        <v>140</v>
      </c>
      <c r="F12">
        <v>192</v>
      </c>
      <c r="G12" t="b">
        <v>0</v>
      </c>
      <c r="H12" s="25" t="s">
        <v>26</v>
      </c>
      <c r="I12">
        <v>148</v>
      </c>
      <c r="J12" t="b">
        <v>0</v>
      </c>
      <c r="K12" s="25" t="s">
        <v>25</v>
      </c>
      <c r="L12">
        <v>0</v>
      </c>
      <c r="M12" s="25" t="s">
        <v>23</v>
      </c>
      <c r="N12">
        <v>0</v>
      </c>
      <c r="O12">
        <v>0.4</v>
      </c>
    </row>
    <row r="13" spans="1:15" x14ac:dyDescent="0.3">
      <c r="A13">
        <v>12</v>
      </c>
      <c r="B13">
        <v>56</v>
      </c>
      <c r="C13" s="25" t="s">
        <v>29</v>
      </c>
      <c r="D13" s="25" t="s">
        <v>30</v>
      </c>
      <c r="E13">
        <v>140</v>
      </c>
      <c r="F13">
        <v>294</v>
      </c>
      <c r="G13" t="b">
        <v>0</v>
      </c>
      <c r="H13" s="25" t="s">
        <v>20</v>
      </c>
      <c r="I13">
        <v>153</v>
      </c>
      <c r="J13" t="b">
        <v>0</v>
      </c>
      <c r="K13" s="25" t="s">
        <v>25</v>
      </c>
      <c r="L13">
        <v>0</v>
      </c>
      <c r="M13" s="25" t="s">
        <v>26</v>
      </c>
      <c r="N13">
        <v>0</v>
      </c>
      <c r="O13">
        <v>0.3</v>
      </c>
    </row>
    <row r="14" spans="1:15" x14ac:dyDescent="0.3">
      <c r="A14">
        <v>13</v>
      </c>
      <c r="B14">
        <v>56</v>
      </c>
      <c r="C14" s="25" t="s">
        <v>16</v>
      </c>
      <c r="D14" s="25" t="s">
        <v>28</v>
      </c>
      <c r="E14">
        <v>130</v>
      </c>
      <c r="F14">
        <v>256</v>
      </c>
      <c r="G14" t="b">
        <v>1</v>
      </c>
      <c r="H14" s="25" t="s">
        <v>20</v>
      </c>
      <c r="I14">
        <v>142</v>
      </c>
      <c r="J14" t="b">
        <v>1</v>
      </c>
      <c r="K14" s="25" t="s">
        <v>25</v>
      </c>
      <c r="L14">
        <v>1</v>
      </c>
      <c r="M14" s="25" t="s">
        <v>23</v>
      </c>
      <c r="N14">
        <v>2</v>
      </c>
      <c r="O14">
        <v>0.6</v>
      </c>
    </row>
    <row r="15" spans="1:15" x14ac:dyDescent="0.3">
      <c r="A15">
        <v>14</v>
      </c>
      <c r="B15">
        <v>44</v>
      </c>
      <c r="C15" s="25" t="s">
        <v>16</v>
      </c>
      <c r="D15" s="25" t="s">
        <v>30</v>
      </c>
      <c r="E15">
        <v>120</v>
      </c>
      <c r="F15">
        <v>263</v>
      </c>
      <c r="G15" t="b">
        <v>0</v>
      </c>
      <c r="H15" s="25" t="s">
        <v>26</v>
      </c>
      <c r="I15">
        <v>173</v>
      </c>
      <c r="J15" t="b">
        <v>0</v>
      </c>
      <c r="K15" s="25" t="s">
        <v>31</v>
      </c>
      <c r="L15">
        <v>0</v>
      </c>
      <c r="M15" s="25" t="s">
        <v>27</v>
      </c>
      <c r="N15">
        <v>0</v>
      </c>
      <c r="O15">
        <v>0</v>
      </c>
    </row>
    <row r="16" spans="1:15" x14ac:dyDescent="0.3">
      <c r="A16">
        <v>15</v>
      </c>
      <c r="B16">
        <v>52</v>
      </c>
      <c r="C16" s="25" t="s">
        <v>16</v>
      </c>
      <c r="D16" s="25" t="s">
        <v>28</v>
      </c>
      <c r="E16">
        <v>172</v>
      </c>
      <c r="F16">
        <v>199</v>
      </c>
      <c r="G16" t="b">
        <v>1</v>
      </c>
      <c r="H16" s="25" t="s">
        <v>26</v>
      </c>
      <c r="I16">
        <v>162</v>
      </c>
      <c r="J16" t="b">
        <v>0</v>
      </c>
      <c r="K16" s="25" t="s">
        <v>31</v>
      </c>
      <c r="L16">
        <v>0</v>
      </c>
      <c r="M16" s="25" t="s">
        <v>27</v>
      </c>
      <c r="N16">
        <v>0</v>
      </c>
      <c r="O16">
        <v>0.5</v>
      </c>
    </row>
    <row r="17" spans="1:15" x14ac:dyDescent="0.3">
      <c r="A17">
        <v>16</v>
      </c>
      <c r="B17">
        <v>57</v>
      </c>
      <c r="C17" s="25" t="s">
        <v>16</v>
      </c>
      <c r="D17" s="25" t="s">
        <v>28</v>
      </c>
      <c r="E17">
        <v>150</v>
      </c>
      <c r="F17">
        <v>168</v>
      </c>
      <c r="G17" t="b">
        <v>0</v>
      </c>
      <c r="H17" s="25" t="s">
        <v>26</v>
      </c>
      <c r="I17">
        <v>174</v>
      </c>
      <c r="J17" t="b">
        <v>0</v>
      </c>
      <c r="K17" s="25" t="s">
        <v>31</v>
      </c>
      <c r="L17">
        <v>0</v>
      </c>
      <c r="M17" s="25" t="s">
        <v>26</v>
      </c>
      <c r="N17">
        <v>0</v>
      </c>
      <c r="O17">
        <v>0.6</v>
      </c>
    </row>
    <row r="18" spans="1:15" x14ac:dyDescent="0.3">
      <c r="A18">
        <v>17</v>
      </c>
      <c r="B18">
        <v>48</v>
      </c>
      <c r="C18" s="25" t="s">
        <v>16</v>
      </c>
      <c r="D18" s="25" t="s">
        <v>30</v>
      </c>
      <c r="E18">
        <v>110</v>
      </c>
      <c r="F18">
        <v>229</v>
      </c>
      <c r="G18" t="b">
        <v>0</v>
      </c>
      <c r="H18" s="25" t="s">
        <v>26</v>
      </c>
      <c r="I18">
        <v>168</v>
      </c>
      <c r="J18" t="b">
        <v>0</v>
      </c>
      <c r="K18" s="25" t="s">
        <v>22</v>
      </c>
      <c r="L18">
        <v>0</v>
      </c>
      <c r="M18" s="25" t="s">
        <v>27</v>
      </c>
      <c r="N18">
        <v>1</v>
      </c>
      <c r="O18">
        <v>1</v>
      </c>
    </row>
    <row r="19" spans="1:15" x14ac:dyDescent="0.3">
      <c r="A19">
        <v>18</v>
      </c>
      <c r="B19">
        <v>54</v>
      </c>
      <c r="C19" s="25" t="s">
        <v>16</v>
      </c>
      <c r="D19" s="25" t="s">
        <v>24</v>
      </c>
      <c r="E19">
        <v>140</v>
      </c>
      <c r="F19">
        <v>239</v>
      </c>
      <c r="G19" t="b">
        <v>0</v>
      </c>
      <c r="H19" s="25" t="s">
        <v>26</v>
      </c>
      <c r="I19">
        <v>160</v>
      </c>
      <c r="J19" t="b">
        <v>0</v>
      </c>
      <c r="K19" s="25" t="s">
        <v>31</v>
      </c>
      <c r="L19">
        <v>0</v>
      </c>
      <c r="M19" s="25" t="s">
        <v>26</v>
      </c>
      <c r="N19">
        <v>0</v>
      </c>
      <c r="O19">
        <v>0.2</v>
      </c>
    </row>
    <row r="20" spans="1:15" x14ac:dyDescent="0.3">
      <c r="A20">
        <v>19</v>
      </c>
      <c r="B20">
        <v>48</v>
      </c>
      <c r="C20" s="25" t="s">
        <v>29</v>
      </c>
      <c r="D20" s="25" t="s">
        <v>28</v>
      </c>
      <c r="E20">
        <v>130</v>
      </c>
      <c r="F20">
        <v>275</v>
      </c>
      <c r="G20" t="b">
        <v>0</v>
      </c>
      <c r="H20" s="25" t="s">
        <v>26</v>
      </c>
      <c r="I20">
        <v>139</v>
      </c>
      <c r="J20" t="b">
        <v>0</v>
      </c>
      <c r="K20" s="25" t="s">
        <v>31</v>
      </c>
      <c r="L20">
        <v>0</v>
      </c>
      <c r="M20" s="25" t="s">
        <v>26</v>
      </c>
      <c r="N20">
        <v>0</v>
      </c>
      <c r="O20">
        <v>0.2</v>
      </c>
    </row>
    <row r="21" spans="1:15" x14ac:dyDescent="0.3">
      <c r="A21">
        <v>20</v>
      </c>
      <c r="B21">
        <v>49</v>
      </c>
      <c r="C21" s="25" t="s">
        <v>16</v>
      </c>
      <c r="D21" s="25" t="s">
        <v>30</v>
      </c>
      <c r="E21">
        <v>130</v>
      </c>
      <c r="F21">
        <v>266</v>
      </c>
      <c r="G21" t="b">
        <v>0</v>
      </c>
      <c r="H21" s="25" t="s">
        <v>26</v>
      </c>
      <c r="I21">
        <v>171</v>
      </c>
      <c r="J21" t="b">
        <v>0</v>
      </c>
      <c r="K21" s="25" t="s">
        <v>31</v>
      </c>
      <c r="L21">
        <v>0</v>
      </c>
      <c r="M21" s="25" t="s">
        <v>26</v>
      </c>
      <c r="N21">
        <v>0</v>
      </c>
      <c r="O21">
        <v>0.6</v>
      </c>
    </row>
    <row r="22" spans="1:15" x14ac:dyDescent="0.3">
      <c r="A22">
        <v>21</v>
      </c>
      <c r="B22">
        <v>64</v>
      </c>
      <c r="C22" s="25" t="s">
        <v>16</v>
      </c>
      <c r="D22" s="25" t="s">
        <v>18</v>
      </c>
      <c r="E22">
        <v>110</v>
      </c>
      <c r="F22">
        <v>211</v>
      </c>
      <c r="G22" t="b">
        <v>0</v>
      </c>
      <c r="H22" s="25" t="s">
        <v>20</v>
      </c>
      <c r="I22">
        <v>144</v>
      </c>
      <c r="J22" t="b">
        <v>1</v>
      </c>
      <c r="K22" s="25" t="s">
        <v>25</v>
      </c>
      <c r="L22">
        <v>0</v>
      </c>
      <c r="M22" s="25" t="s">
        <v>26</v>
      </c>
      <c r="N22">
        <v>0</v>
      </c>
      <c r="O22">
        <v>0.8</v>
      </c>
    </row>
    <row r="23" spans="1:15" x14ac:dyDescent="0.3">
      <c r="A23">
        <v>22</v>
      </c>
      <c r="B23">
        <v>58</v>
      </c>
      <c r="C23" s="25" t="s">
        <v>29</v>
      </c>
      <c r="D23" s="25" t="s">
        <v>18</v>
      </c>
      <c r="E23">
        <v>150</v>
      </c>
      <c r="F23">
        <v>283</v>
      </c>
      <c r="G23" t="b">
        <v>1</v>
      </c>
      <c r="H23" s="25" t="s">
        <v>20</v>
      </c>
      <c r="I23">
        <v>162</v>
      </c>
      <c r="J23" t="b">
        <v>0</v>
      </c>
      <c r="K23" s="25" t="s">
        <v>31</v>
      </c>
      <c r="L23">
        <v>0</v>
      </c>
      <c r="M23" s="25" t="s">
        <v>26</v>
      </c>
      <c r="N23">
        <v>0</v>
      </c>
      <c r="O23">
        <v>1</v>
      </c>
    </row>
    <row r="24" spans="1:15" x14ac:dyDescent="0.3">
      <c r="A24">
        <v>23</v>
      </c>
      <c r="B24">
        <v>58</v>
      </c>
      <c r="C24" s="25" t="s">
        <v>16</v>
      </c>
      <c r="D24" s="25" t="s">
        <v>30</v>
      </c>
      <c r="E24">
        <v>120</v>
      </c>
      <c r="F24">
        <v>284</v>
      </c>
      <c r="G24" t="b">
        <v>0</v>
      </c>
      <c r="H24" s="25" t="s">
        <v>20</v>
      </c>
      <c r="I24">
        <v>160</v>
      </c>
      <c r="J24" t="b">
        <v>0</v>
      </c>
      <c r="K24" s="25" t="s">
        <v>25</v>
      </c>
      <c r="L24">
        <v>0</v>
      </c>
      <c r="M24" s="25" t="s">
        <v>26</v>
      </c>
      <c r="N24">
        <v>1</v>
      </c>
      <c r="O24">
        <v>0.8</v>
      </c>
    </row>
    <row r="25" spans="1:15" x14ac:dyDescent="0.3">
      <c r="A25">
        <v>24</v>
      </c>
      <c r="B25">
        <v>58</v>
      </c>
      <c r="C25" s="25" t="s">
        <v>16</v>
      </c>
      <c r="D25" s="25" t="s">
        <v>28</v>
      </c>
      <c r="E25">
        <v>132</v>
      </c>
      <c r="F25">
        <v>224</v>
      </c>
      <c r="G25" t="b">
        <v>0</v>
      </c>
      <c r="H25" s="25" t="s">
        <v>20</v>
      </c>
      <c r="I25">
        <v>173</v>
      </c>
      <c r="J25" t="b">
        <v>0</v>
      </c>
      <c r="K25" s="25" t="s">
        <v>31</v>
      </c>
      <c r="L25">
        <v>2</v>
      </c>
      <c r="M25" s="25" t="s">
        <v>27</v>
      </c>
      <c r="N25">
        <v>3</v>
      </c>
      <c r="O25">
        <v>0.2</v>
      </c>
    </row>
    <row r="26" spans="1:15" x14ac:dyDescent="0.3">
      <c r="A26">
        <v>25</v>
      </c>
      <c r="B26">
        <v>60</v>
      </c>
      <c r="C26" s="25" t="s">
        <v>16</v>
      </c>
      <c r="D26" s="25" t="s">
        <v>24</v>
      </c>
      <c r="E26">
        <v>130</v>
      </c>
      <c r="F26">
        <v>206</v>
      </c>
      <c r="G26" t="b">
        <v>0</v>
      </c>
      <c r="H26" s="25" t="s">
        <v>20</v>
      </c>
      <c r="I26">
        <v>132</v>
      </c>
      <c r="J26" t="b">
        <v>1</v>
      </c>
      <c r="K26" s="25" t="s">
        <v>25</v>
      </c>
      <c r="L26">
        <v>2</v>
      </c>
      <c r="M26" s="25" t="s">
        <v>27</v>
      </c>
      <c r="N26">
        <v>4</v>
      </c>
      <c r="O26">
        <v>0.4</v>
      </c>
    </row>
    <row r="27" spans="1:15" x14ac:dyDescent="0.3">
      <c r="A27">
        <v>26</v>
      </c>
      <c r="B27">
        <v>50</v>
      </c>
      <c r="C27" s="25" t="s">
        <v>29</v>
      </c>
      <c r="D27" s="25" t="s">
        <v>28</v>
      </c>
      <c r="E27">
        <v>120</v>
      </c>
      <c r="F27">
        <v>219</v>
      </c>
      <c r="G27" t="b">
        <v>0</v>
      </c>
      <c r="H27" s="25" t="s">
        <v>26</v>
      </c>
      <c r="I27">
        <v>158</v>
      </c>
      <c r="J27" t="b">
        <v>0</v>
      </c>
      <c r="K27" s="25" t="s">
        <v>25</v>
      </c>
      <c r="L27">
        <v>0</v>
      </c>
      <c r="M27" s="25" t="s">
        <v>26</v>
      </c>
      <c r="N27">
        <v>0</v>
      </c>
      <c r="O27">
        <v>0.6</v>
      </c>
    </row>
    <row r="28" spans="1:15" x14ac:dyDescent="0.3">
      <c r="A28">
        <v>27</v>
      </c>
      <c r="B28">
        <v>58</v>
      </c>
      <c r="C28" s="25" t="s">
        <v>29</v>
      </c>
      <c r="D28" s="25" t="s">
        <v>28</v>
      </c>
      <c r="E28">
        <v>120</v>
      </c>
      <c r="F28">
        <v>340</v>
      </c>
      <c r="G28" t="b">
        <v>0</v>
      </c>
      <c r="H28" s="25" t="s">
        <v>26</v>
      </c>
      <c r="I28">
        <v>172</v>
      </c>
      <c r="J28" t="b">
        <v>0</v>
      </c>
      <c r="K28" s="25" t="s">
        <v>31</v>
      </c>
      <c r="L28">
        <v>0</v>
      </c>
      <c r="M28" s="25" t="s">
        <v>26</v>
      </c>
      <c r="N28">
        <v>0</v>
      </c>
      <c r="O28">
        <v>0</v>
      </c>
    </row>
    <row r="29" spans="1:15" x14ac:dyDescent="0.3">
      <c r="A29">
        <v>28</v>
      </c>
      <c r="B29">
        <v>66</v>
      </c>
      <c r="C29" s="25" t="s">
        <v>29</v>
      </c>
      <c r="D29" s="25" t="s">
        <v>18</v>
      </c>
      <c r="E29">
        <v>150</v>
      </c>
      <c r="F29">
        <v>226</v>
      </c>
      <c r="G29" t="b">
        <v>0</v>
      </c>
      <c r="H29" s="25" t="s">
        <v>26</v>
      </c>
      <c r="I29">
        <v>114</v>
      </c>
      <c r="J29" t="b">
        <v>0</v>
      </c>
      <c r="K29" s="25" t="s">
        <v>22</v>
      </c>
      <c r="L29">
        <v>0</v>
      </c>
      <c r="M29" s="25" t="s">
        <v>26</v>
      </c>
      <c r="N29">
        <v>0</v>
      </c>
      <c r="O29">
        <v>0.6</v>
      </c>
    </row>
    <row r="30" spans="1:15" x14ac:dyDescent="0.3">
      <c r="A30">
        <v>29</v>
      </c>
      <c r="B30">
        <v>43</v>
      </c>
      <c r="C30" s="25" t="s">
        <v>16</v>
      </c>
      <c r="D30" s="25" t="s">
        <v>24</v>
      </c>
      <c r="E30">
        <v>150</v>
      </c>
      <c r="F30">
        <v>247</v>
      </c>
      <c r="G30" t="b">
        <v>0</v>
      </c>
      <c r="H30" s="25" t="s">
        <v>26</v>
      </c>
      <c r="I30">
        <v>171</v>
      </c>
      <c r="J30" t="b">
        <v>0</v>
      </c>
      <c r="K30" s="25" t="s">
        <v>31</v>
      </c>
      <c r="L30">
        <v>0</v>
      </c>
      <c r="M30" s="25" t="s">
        <v>26</v>
      </c>
      <c r="N30">
        <v>0</v>
      </c>
      <c r="O30">
        <v>0.5</v>
      </c>
    </row>
    <row r="31" spans="1:15" x14ac:dyDescent="0.3">
      <c r="A31">
        <v>30</v>
      </c>
      <c r="B31">
        <v>40</v>
      </c>
      <c r="C31" s="25" t="s">
        <v>16</v>
      </c>
      <c r="D31" s="25" t="s">
        <v>24</v>
      </c>
      <c r="E31">
        <v>110</v>
      </c>
      <c r="F31">
        <v>167</v>
      </c>
      <c r="G31" t="b">
        <v>0</v>
      </c>
      <c r="H31" s="25" t="s">
        <v>20</v>
      </c>
      <c r="I31">
        <v>114</v>
      </c>
      <c r="J31" t="b">
        <v>1</v>
      </c>
      <c r="K31" s="25" t="s">
        <v>25</v>
      </c>
      <c r="L31">
        <v>0</v>
      </c>
      <c r="M31" s="25" t="s">
        <v>27</v>
      </c>
      <c r="N31">
        <v>3</v>
      </c>
      <c r="O31">
        <v>2</v>
      </c>
    </row>
    <row r="32" spans="1:15" x14ac:dyDescent="0.3">
      <c r="A32">
        <v>31</v>
      </c>
      <c r="B32">
        <v>69</v>
      </c>
      <c r="C32" s="25" t="s">
        <v>29</v>
      </c>
      <c r="D32" s="25" t="s">
        <v>18</v>
      </c>
      <c r="E32">
        <v>140</v>
      </c>
      <c r="F32">
        <v>239</v>
      </c>
      <c r="G32" t="b">
        <v>0</v>
      </c>
      <c r="H32" s="25" t="s">
        <v>26</v>
      </c>
      <c r="I32">
        <v>151</v>
      </c>
      <c r="J32" t="b">
        <v>0</v>
      </c>
      <c r="K32" s="25" t="s">
        <v>31</v>
      </c>
      <c r="L32">
        <v>2</v>
      </c>
      <c r="M32" s="25" t="s">
        <v>26</v>
      </c>
      <c r="N32">
        <v>0</v>
      </c>
      <c r="O32">
        <v>0.8</v>
      </c>
    </row>
    <row r="33" spans="1:15" x14ac:dyDescent="0.3">
      <c r="A33">
        <v>32</v>
      </c>
      <c r="B33">
        <v>60</v>
      </c>
      <c r="C33" s="25" t="s">
        <v>16</v>
      </c>
      <c r="D33" s="25" t="s">
        <v>24</v>
      </c>
      <c r="E33">
        <v>117</v>
      </c>
      <c r="F33">
        <v>230</v>
      </c>
      <c r="G33" t="b">
        <v>1</v>
      </c>
      <c r="H33" s="25" t="s">
        <v>26</v>
      </c>
      <c r="I33">
        <v>160</v>
      </c>
      <c r="J33" t="b">
        <v>1</v>
      </c>
      <c r="K33" s="25" t="s">
        <v>31</v>
      </c>
      <c r="L33">
        <v>2</v>
      </c>
      <c r="M33" s="25" t="s">
        <v>27</v>
      </c>
      <c r="N33">
        <v>2</v>
      </c>
      <c r="O33">
        <v>0.4</v>
      </c>
    </row>
    <row r="34" spans="1:15" x14ac:dyDescent="0.3">
      <c r="A34">
        <v>33</v>
      </c>
      <c r="B34">
        <v>64</v>
      </c>
      <c r="C34" s="25" t="s">
        <v>16</v>
      </c>
      <c r="D34" s="25" t="s">
        <v>28</v>
      </c>
      <c r="E34">
        <v>140</v>
      </c>
      <c r="F34">
        <v>335</v>
      </c>
      <c r="G34" t="b">
        <v>0</v>
      </c>
      <c r="H34" s="25" t="s">
        <v>26</v>
      </c>
      <c r="I34">
        <v>158</v>
      </c>
      <c r="J34" t="b">
        <v>0</v>
      </c>
      <c r="K34" s="25" t="s">
        <v>31</v>
      </c>
      <c r="L34">
        <v>0</v>
      </c>
      <c r="M34" s="25" t="s">
        <v>26</v>
      </c>
      <c r="N34">
        <v>1</v>
      </c>
      <c r="O34">
        <v>0</v>
      </c>
    </row>
    <row r="35" spans="1:15" x14ac:dyDescent="0.3">
      <c r="A35">
        <v>34</v>
      </c>
      <c r="B35">
        <v>59</v>
      </c>
      <c r="C35" s="25" t="s">
        <v>16</v>
      </c>
      <c r="D35" s="25" t="s">
        <v>24</v>
      </c>
      <c r="E35">
        <v>135</v>
      </c>
      <c r="F35">
        <v>234</v>
      </c>
      <c r="G35" t="b">
        <v>0</v>
      </c>
      <c r="H35" s="25" t="s">
        <v>26</v>
      </c>
      <c r="I35">
        <v>161</v>
      </c>
      <c r="J35" t="b">
        <v>0</v>
      </c>
      <c r="K35" s="25" t="s">
        <v>25</v>
      </c>
      <c r="L35">
        <v>0</v>
      </c>
      <c r="M35" s="25" t="s">
        <v>27</v>
      </c>
      <c r="N35">
        <v>0</v>
      </c>
      <c r="O35">
        <v>0.5</v>
      </c>
    </row>
    <row r="36" spans="1:15" x14ac:dyDescent="0.3">
      <c r="A36">
        <v>35</v>
      </c>
      <c r="B36">
        <v>44</v>
      </c>
      <c r="C36" s="25" t="s">
        <v>16</v>
      </c>
      <c r="D36" s="25" t="s">
        <v>28</v>
      </c>
      <c r="E36">
        <v>130</v>
      </c>
      <c r="F36">
        <v>233</v>
      </c>
      <c r="G36" t="b">
        <v>0</v>
      </c>
      <c r="H36" s="25" t="s">
        <v>26</v>
      </c>
      <c r="I36">
        <v>179</v>
      </c>
      <c r="J36" t="b">
        <v>1</v>
      </c>
      <c r="K36" s="25" t="s">
        <v>31</v>
      </c>
      <c r="L36">
        <v>0</v>
      </c>
      <c r="M36" s="25" t="s">
        <v>26</v>
      </c>
      <c r="N36">
        <v>0</v>
      </c>
      <c r="O36">
        <v>0.4</v>
      </c>
    </row>
    <row r="37" spans="1:15" x14ac:dyDescent="0.3">
      <c r="A37">
        <v>36</v>
      </c>
      <c r="B37">
        <v>42</v>
      </c>
      <c r="C37" s="25" t="s">
        <v>16</v>
      </c>
      <c r="D37" s="25" t="s">
        <v>24</v>
      </c>
      <c r="E37">
        <v>140</v>
      </c>
      <c r="F37">
        <v>226</v>
      </c>
      <c r="G37" t="b">
        <v>0</v>
      </c>
      <c r="H37" s="25" t="s">
        <v>26</v>
      </c>
      <c r="I37">
        <v>178</v>
      </c>
      <c r="J37" t="b">
        <v>0</v>
      </c>
      <c r="K37" s="25" t="s">
        <v>31</v>
      </c>
      <c r="L37">
        <v>0</v>
      </c>
      <c r="M37" s="25" t="s">
        <v>26</v>
      </c>
      <c r="N37">
        <v>0</v>
      </c>
      <c r="O37">
        <v>0</v>
      </c>
    </row>
    <row r="38" spans="1:15" x14ac:dyDescent="0.3">
      <c r="A38">
        <v>37</v>
      </c>
      <c r="B38">
        <v>43</v>
      </c>
      <c r="C38" s="25" t="s">
        <v>16</v>
      </c>
      <c r="D38" s="25" t="s">
        <v>24</v>
      </c>
      <c r="E38">
        <v>120</v>
      </c>
      <c r="F38">
        <v>177</v>
      </c>
      <c r="G38" t="b">
        <v>0</v>
      </c>
      <c r="H38" s="25" t="s">
        <v>20</v>
      </c>
      <c r="I38">
        <v>120</v>
      </c>
      <c r="J38" t="b">
        <v>1</v>
      </c>
      <c r="K38" s="25" t="s">
        <v>25</v>
      </c>
      <c r="L38">
        <v>0</v>
      </c>
      <c r="M38" s="25" t="s">
        <v>27</v>
      </c>
      <c r="N38">
        <v>3</v>
      </c>
      <c r="O38">
        <v>0.5</v>
      </c>
    </row>
    <row r="39" spans="1:15" x14ac:dyDescent="0.3">
      <c r="A39">
        <v>38</v>
      </c>
      <c r="B39">
        <v>57</v>
      </c>
      <c r="C39" s="25" t="s">
        <v>16</v>
      </c>
      <c r="D39" s="25" t="s">
        <v>24</v>
      </c>
      <c r="E39">
        <v>150</v>
      </c>
      <c r="F39">
        <v>276</v>
      </c>
      <c r="G39" t="b">
        <v>0</v>
      </c>
      <c r="H39" s="25" t="s">
        <v>20</v>
      </c>
      <c r="I39">
        <v>112</v>
      </c>
      <c r="J39" t="b">
        <v>1</v>
      </c>
      <c r="K39" s="25" t="s">
        <v>25</v>
      </c>
      <c r="L39">
        <v>1</v>
      </c>
      <c r="M39" s="25" t="s">
        <v>23</v>
      </c>
      <c r="N39">
        <v>1</v>
      </c>
      <c r="O39">
        <v>0.6</v>
      </c>
    </row>
    <row r="40" spans="1:15" x14ac:dyDescent="0.3">
      <c r="A40">
        <v>39</v>
      </c>
      <c r="B40">
        <v>55</v>
      </c>
      <c r="C40" s="25" t="s">
        <v>16</v>
      </c>
      <c r="D40" s="25" t="s">
        <v>24</v>
      </c>
      <c r="E40">
        <v>132</v>
      </c>
      <c r="F40">
        <v>353</v>
      </c>
      <c r="G40" t="b">
        <v>0</v>
      </c>
      <c r="H40" s="25" t="s">
        <v>26</v>
      </c>
      <c r="I40">
        <v>132</v>
      </c>
      <c r="J40" t="b">
        <v>1</v>
      </c>
      <c r="K40" s="25" t="s">
        <v>25</v>
      </c>
      <c r="L40">
        <v>1</v>
      </c>
      <c r="M40" s="25" t="s">
        <v>27</v>
      </c>
      <c r="N40">
        <v>3</v>
      </c>
      <c r="O40">
        <v>0.2</v>
      </c>
    </row>
    <row r="41" spans="1:15" x14ac:dyDescent="0.3">
      <c r="A41">
        <v>40</v>
      </c>
      <c r="B41">
        <v>61</v>
      </c>
      <c r="C41" s="25" t="s">
        <v>16</v>
      </c>
      <c r="D41" s="25" t="s">
        <v>28</v>
      </c>
      <c r="E41">
        <v>150</v>
      </c>
      <c r="F41">
        <v>243</v>
      </c>
      <c r="G41" t="b">
        <v>1</v>
      </c>
      <c r="H41" s="25" t="s">
        <v>26</v>
      </c>
      <c r="I41">
        <v>137</v>
      </c>
      <c r="J41" t="b">
        <v>1</v>
      </c>
      <c r="K41" s="25" t="s">
        <v>25</v>
      </c>
      <c r="L41">
        <v>0</v>
      </c>
      <c r="M41" s="25" t="s">
        <v>26</v>
      </c>
      <c r="N41">
        <v>0</v>
      </c>
      <c r="O41">
        <v>1</v>
      </c>
    </row>
    <row r="42" spans="1:15" x14ac:dyDescent="0.3">
      <c r="A42">
        <v>41</v>
      </c>
      <c r="B42">
        <v>65</v>
      </c>
      <c r="C42" s="25" t="s">
        <v>29</v>
      </c>
      <c r="D42" s="25" t="s">
        <v>24</v>
      </c>
      <c r="E42">
        <v>150</v>
      </c>
      <c r="F42">
        <v>225</v>
      </c>
      <c r="G42" t="b">
        <v>0</v>
      </c>
      <c r="H42" s="25" t="s">
        <v>20</v>
      </c>
      <c r="I42">
        <v>114</v>
      </c>
      <c r="J42" t="b">
        <v>0</v>
      </c>
      <c r="K42" s="25" t="s">
        <v>25</v>
      </c>
      <c r="L42">
        <v>3</v>
      </c>
      <c r="M42" s="25" t="s">
        <v>27</v>
      </c>
      <c r="N42">
        <v>4</v>
      </c>
      <c r="O42">
        <v>1</v>
      </c>
    </row>
    <row r="43" spans="1:15" x14ac:dyDescent="0.3">
      <c r="A43">
        <v>42</v>
      </c>
      <c r="B43">
        <v>40</v>
      </c>
      <c r="C43" s="25" t="s">
        <v>16</v>
      </c>
      <c r="D43" s="25" t="s">
        <v>18</v>
      </c>
      <c r="E43">
        <v>140</v>
      </c>
      <c r="F43">
        <v>199</v>
      </c>
      <c r="G43" t="b">
        <v>0</v>
      </c>
      <c r="H43" s="25" t="s">
        <v>26</v>
      </c>
      <c r="I43">
        <v>178</v>
      </c>
      <c r="J43" t="b">
        <v>1</v>
      </c>
      <c r="K43" s="25" t="s">
        <v>31</v>
      </c>
      <c r="L43">
        <v>0</v>
      </c>
      <c r="M43" s="25" t="s">
        <v>27</v>
      </c>
      <c r="N43">
        <v>0</v>
      </c>
      <c r="O43">
        <v>0.4</v>
      </c>
    </row>
    <row r="44" spans="1:15" x14ac:dyDescent="0.3">
      <c r="A44">
        <v>43</v>
      </c>
      <c r="B44">
        <v>71</v>
      </c>
      <c r="C44" s="25" t="s">
        <v>29</v>
      </c>
      <c r="D44" s="25" t="s">
        <v>30</v>
      </c>
      <c r="E44">
        <v>160</v>
      </c>
      <c r="F44">
        <v>302</v>
      </c>
      <c r="G44" t="b">
        <v>0</v>
      </c>
      <c r="H44" s="25" t="s">
        <v>26</v>
      </c>
      <c r="I44">
        <v>162</v>
      </c>
      <c r="J44" t="b">
        <v>0</v>
      </c>
      <c r="K44" s="25" t="s">
        <v>31</v>
      </c>
      <c r="L44">
        <v>2</v>
      </c>
      <c r="M44" s="25" t="s">
        <v>26</v>
      </c>
      <c r="N44">
        <v>0</v>
      </c>
      <c r="O44">
        <v>0.4</v>
      </c>
    </row>
    <row r="45" spans="1:15" x14ac:dyDescent="0.3">
      <c r="A45">
        <v>44</v>
      </c>
      <c r="B45">
        <v>59</v>
      </c>
      <c r="C45" s="25" t="s">
        <v>16</v>
      </c>
      <c r="D45" s="25" t="s">
        <v>28</v>
      </c>
      <c r="E45">
        <v>150</v>
      </c>
      <c r="F45">
        <v>212</v>
      </c>
      <c r="G45" t="b">
        <v>1</v>
      </c>
      <c r="H45" s="25" t="s">
        <v>26</v>
      </c>
      <c r="I45">
        <v>157</v>
      </c>
      <c r="J45" t="b">
        <v>0</v>
      </c>
      <c r="K45" s="25" t="s">
        <v>31</v>
      </c>
      <c r="L45">
        <v>0</v>
      </c>
      <c r="M45" s="25" t="s">
        <v>26</v>
      </c>
      <c r="N45">
        <v>0</v>
      </c>
      <c r="O45">
        <v>0.6</v>
      </c>
    </row>
    <row r="46" spans="1:15" x14ac:dyDescent="0.3">
      <c r="A46">
        <v>45</v>
      </c>
      <c r="B46">
        <v>61</v>
      </c>
      <c r="C46" s="25" t="s">
        <v>29</v>
      </c>
      <c r="D46" s="25" t="s">
        <v>24</v>
      </c>
      <c r="E46">
        <v>130</v>
      </c>
      <c r="F46">
        <v>330</v>
      </c>
      <c r="G46" t="b">
        <v>0</v>
      </c>
      <c r="H46" s="25" t="s">
        <v>20</v>
      </c>
      <c r="I46">
        <v>169</v>
      </c>
      <c r="J46" t="b">
        <v>0</v>
      </c>
      <c r="K46" s="25" t="s">
        <v>31</v>
      </c>
      <c r="L46">
        <v>0</v>
      </c>
      <c r="M46" s="25" t="s">
        <v>26</v>
      </c>
      <c r="N46">
        <v>1</v>
      </c>
      <c r="O46">
        <v>0</v>
      </c>
    </row>
    <row r="47" spans="1:15" x14ac:dyDescent="0.3">
      <c r="A47">
        <v>46</v>
      </c>
      <c r="B47">
        <v>58</v>
      </c>
      <c r="C47" s="25" t="s">
        <v>16</v>
      </c>
      <c r="D47" s="25" t="s">
        <v>28</v>
      </c>
      <c r="E47">
        <v>112</v>
      </c>
      <c r="F47">
        <v>230</v>
      </c>
      <c r="G47" t="b">
        <v>0</v>
      </c>
      <c r="H47" s="25" t="s">
        <v>20</v>
      </c>
      <c r="I47">
        <v>165</v>
      </c>
      <c r="J47" t="b">
        <v>0</v>
      </c>
      <c r="K47" s="25" t="s">
        <v>25</v>
      </c>
      <c r="L47">
        <v>1</v>
      </c>
      <c r="M47" s="25" t="s">
        <v>27</v>
      </c>
      <c r="N47">
        <v>4</v>
      </c>
      <c r="O47">
        <v>0.5</v>
      </c>
    </row>
    <row r="48" spans="1:15" x14ac:dyDescent="0.3">
      <c r="A48">
        <v>47</v>
      </c>
      <c r="B48">
        <v>51</v>
      </c>
      <c r="C48" s="25" t="s">
        <v>16</v>
      </c>
      <c r="D48" s="25" t="s">
        <v>28</v>
      </c>
      <c r="E48">
        <v>110</v>
      </c>
      <c r="F48">
        <v>175</v>
      </c>
      <c r="G48" t="b">
        <v>0</v>
      </c>
      <c r="H48" s="25" t="s">
        <v>26</v>
      </c>
      <c r="I48">
        <v>123</v>
      </c>
      <c r="J48" t="b">
        <v>0</v>
      </c>
      <c r="K48" s="25" t="s">
        <v>31</v>
      </c>
      <c r="L48">
        <v>0</v>
      </c>
      <c r="M48" s="25" t="s">
        <v>26</v>
      </c>
      <c r="N48">
        <v>0</v>
      </c>
      <c r="O48">
        <v>0.6</v>
      </c>
    </row>
    <row r="49" spans="1:15" x14ac:dyDescent="0.3">
      <c r="A49">
        <v>48</v>
      </c>
      <c r="B49">
        <v>50</v>
      </c>
      <c r="C49" s="25" t="s">
        <v>16</v>
      </c>
      <c r="D49" s="25" t="s">
        <v>24</v>
      </c>
      <c r="E49">
        <v>150</v>
      </c>
      <c r="F49">
        <v>243</v>
      </c>
      <c r="G49" t="b">
        <v>0</v>
      </c>
      <c r="H49" s="25" t="s">
        <v>20</v>
      </c>
      <c r="I49">
        <v>128</v>
      </c>
      <c r="J49" t="b">
        <v>0</v>
      </c>
      <c r="K49" s="25" t="s">
        <v>25</v>
      </c>
      <c r="L49">
        <v>0</v>
      </c>
      <c r="M49" s="25" t="s">
        <v>27</v>
      </c>
      <c r="N49">
        <v>4</v>
      </c>
      <c r="O49">
        <v>0.6</v>
      </c>
    </row>
    <row r="50" spans="1:15" x14ac:dyDescent="0.3">
      <c r="A50">
        <v>49</v>
      </c>
      <c r="B50">
        <v>65</v>
      </c>
      <c r="C50" s="25" t="s">
        <v>29</v>
      </c>
      <c r="D50" s="25" t="s">
        <v>28</v>
      </c>
      <c r="E50">
        <v>140</v>
      </c>
      <c r="F50">
        <v>417</v>
      </c>
      <c r="G50" t="b">
        <v>1</v>
      </c>
      <c r="H50" s="25" t="s">
        <v>20</v>
      </c>
      <c r="I50">
        <v>157</v>
      </c>
      <c r="J50" t="b">
        <v>0</v>
      </c>
      <c r="K50" s="25" t="s">
        <v>31</v>
      </c>
      <c r="L50">
        <v>1</v>
      </c>
      <c r="M50" s="25" t="s">
        <v>26</v>
      </c>
      <c r="N50">
        <v>0</v>
      </c>
      <c r="O50">
        <v>0.8</v>
      </c>
    </row>
    <row r="51" spans="1:15" x14ac:dyDescent="0.3">
      <c r="A51">
        <v>50</v>
      </c>
      <c r="B51">
        <v>53</v>
      </c>
      <c r="C51" s="25" t="s">
        <v>16</v>
      </c>
      <c r="D51" s="25" t="s">
        <v>28</v>
      </c>
      <c r="E51">
        <v>130</v>
      </c>
      <c r="F51">
        <v>197</v>
      </c>
      <c r="G51" t="b">
        <v>1</v>
      </c>
      <c r="H51" s="25" t="s">
        <v>20</v>
      </c>
      <c r="I51">
        <v>152</v>
      </c>
      <c r="J51" t="b">
        <v>0</v>
      </c>
      <c r="K51" s="25" t="s">
        <v>22</v>
      </c>
      <c r="L51">
        <v>0</v>
      </c>
      <c r="M51" s="25" t="s">
        <v>26</v>
      </c>
      <c r="N51">
        <v>0</v>
      </c>
      <c r="O51">
        <v>0.2</v>
      </c>
    </row>
    <row r="52" spans="1:15" x14ac:dyDescent="0.3">
      <c r="A52">
        <v>51</v>
      </c>
      <c r="B52">
        <v>41</v>
      </c>
      <c r="C52" s="25" t="s">
        <v>29</v>
      </c>
      <c r="D52" s="25" t="s">
        <v>30</v>
      </c>
      <c r="E52">
        <v>105</v>
      </c>
      <c r="F52">
        <v>198</v>
      </c>
      <c r="G52" t="b">
        <v>0</v>
      </c>
      <c r="H52" s="25" t="s">
        <v>26</v>
      </c>
      <c r="I52">
        <v>168</v>
      </c>
      <c r="J52" t="b">
        <v>0</v>
      </c>
      <c r="K52" s="25" t="s">
        <v>31</v>
      </c>
      <c r="L52">
        <v>1</v>
      </c>
      <c r="M52" s="25" t="s">
        <v>26</v>
      </c>
      <c r="N52">
        <v>0</v>
      </c>
      <c r="O52">
        <v>0</v>
      </c>
    </row>
    <row r="53" spans="1:15" x14ac:dyDescent="0.3">
      <c r="A53">
        <v>52</v>
      </c>
      <c r="B53">
        <v>65</v>
      </c>
      <c r="C53" s="25" t="s">
        <v>16</v>
      </c>
      <c r="D53" s="25" t="s">
        <v>24</v>
      </c>
      <c r="E53">
        <v>120</v>
      </c>
      <c r="F53">
        <v>177</v>
      </c>
      <c r="G53" t="b">
        <v>0</v>
      </c>
      <c r="H53" s="25" t="s">
        <v>26</v>
      </c>
      <c r="I53">
        <v>140</v>
      </c>
      <c r="J53" t="b">
        <v>0</v>
      </c>
      <c r="K53" s="25" t="s">
        <v>31</v>
      </c>
      <c r="L53">
        <v>0</v>
      </c>
      <c r="M53" s="25" t="s">
        <v>27</v>
      </c>
      <c r="N53">
        <v>0</v>
      </c>
      <c r="O53">
        <v>0.4</v>
      </c>
    </row>
    <row r="54" spans="1:15" x14ac:dyDescent="0.3">
      <c r="A54">
        <v>53</v>
      </c>
      <c r="B54">
        <v>44</v>
      </c>
      <c r="C54" s="25" t="s">
        <v>16</v>
      </c>
      <c r="D54" s="25" t="s">
        <v>24</v>
      </c>
      <c r="E54">
        <v>112</v>
      </c>
      <c r="F54">
        <v>290</v>
      </c>
      <c r="G54" t="b">
        <v>0</v>
      </c>
      <c r="H54" s="25" t="s">
        <v>20</v>
      </c>
      <c r="I54">
        <v>153</v>
      </c>
      <c r="J54" t="b">
        <v>0</v>
      </c>
      <c r="K54" s="25" t="s">
        <v>31</v>
      </c>
      <c r="L54">
        <v>1</v>
      </c>
      <c r="M54" s="25" t="s">
        <v>26</v>
      </c>
      <c r="N54">
        <v>2</v>
      </c>
      <c r="O54">
        <v>0</v>
      </c>
    </row>
    <row r="55" spans="1:15" x14ac:dyDescent="0.3">
      <c r="A55">
        <v>54</v>
      </c>
      <c r="B55">
        <v>44</v>
      </c>
      <c r="C55" s="25" t="s">
        <v>16</v>
      </c>
      <c r="D55" s="25" t="s">
        <v>30</v>
      </c>
      <c r="E55">
        <v>130</v>
      </c>
      <c r="F55">
        <v>219</v>
      </c>
      <c r="G55" t="b">
        <v>0</v>
      </c>
      <c r="H55" s="25" t="s">
        <v>20</v>
      </c>
      <c r="I55">
        <v>188</v>
      </c>
      <c r="J55" t="b">
        <v>0</v>
      </c>
      <c r="K55" s="25" t="s">
        <v>31</v>
      </c>
      <c r="L55">
        <v>0</v>
      </c>
      <c r="M55" s="25" t="s">
        <v>26</v>
      </c>
      <c r="N55">
        <v>0</v>
      </c>
      <c r="O55">
        <v>0</v>
      </c>
    </row>
    <row r="56" spans="1:15" x14ac:dyDescent="0.3">
      <c r="A56">
        <v>55</v>
      </c>
      <c r="B56">
        <v>60</v>
      </c>
      <c r="C56" s="25" t="s">
        <v>16</v>
      </c>
      <c r="D56" s="25" t="s">
        <v>24</v>
      </c>
      <c r="E56">
        <v>130</v>
      </c>
      <c r="F56">
        <v>253</v>
      </c>
      <c r="G56" t="b">
        <v>0</v>
      </c>
      <c r="H56" s="25" t="s">
        <v>26</v>
      </c>
      <c r="I56">
        <v>144</v>
      </c>
      <c r="J56" t="b">
        <v>1</v>
      </c>
      <c r="K56" s="25" t="s">
        <v>31</v>
      </c>
      <c r="L56">
        <v>1</v>
      </c>
      <c r="M56" s="25" t="s">
        <v>27</v>
      </c>
      <c r="N56">
        <v>1</v>
      </c>
      <c r="O56">
        <v>0.4</v>
      </c>
    </row>
    <row r="57" spans="1:15" x14ac:dyDescent="0.3">
      <c r="A57">
        <v>56</v>
      </c>
      <c r="B57">
        <v>54</v>
      </c>
      <c r="C57" s="25" t="s">
        <v>16</v>
      </c>
      <c r="D57" s="25" t="s">
        <v>24</v>
      </c>
      <c r="E57">
        <v>124</v>
      </c>
      <c r="F57">
        <v>266</v>
      </c>
      <c r="G57" t="b">
        <v>0</v>
      </c>
      <c r="H57" s="25" t="s">
        <v>20</v>
      </c>
      <c r="I57">
        <v>109</v>
      </c>
      <c r="J57" t="b">
        <v>1</v>
      </c>
      <c r="K57" s="25" t="s">
        <v>25</v>
      </c>
      <c r="L57">
        <v>1</v>
      </c>
      <c r="M57" s="25" t="s">
        <v>27</v>
      </c>
      <c r="N57">
        <v>1</v>
      </c>
      <c r="O57">
        <v>0.2</v>
      </c>
    </row>
    <row r="58" spans="1:15" x14ac:dyDescent="0.3">
      <c r="A58">
        <v>57</v>
      </c>
      <c r="B58">
        <v>50</v>
      </c>
      <c r="C58" s="25" t="s">
        <v>16</v>
      </c>
      <c r="D58" s="25" t="s">
        <v>28</v>
      </c>
      <c r="E58">
        <v>140</v>
      </c>
      <c r="F58">
        <v>233</v>
      </c>
      <c r="G58" t="b">
        <v>0</v>
      </c>
      <c r="H58" s="25" t="s">
        <v>26</v>
      </c>
      <c r="I58">
        <v>163</v>
      </c>
      <c r="J58" t="b">
        <v>0</v>
      </c>
      <c r="K58" s="25" t="s">
        <v>25</v>
      </c>
      <c r="L58">
        <v>1</v>
      </c>
      <c r="M58" s="25" t="s">
        <v>27</v>
      </c>
      <c r="N58">
        <v>1</v>
      </c>
      <c r="O58">
        <v>0.6</v>
      </c>
    </row>
    <row r="59" spans="1:15" x14ac:dyDescent="0.3">
      <c r="A59">
        <v>58</v>
      </c>
      <c r="B59">
        <v>41</v>
      </c>
      <c r="C59" s="25" t="s">
        <v>16</v>
      </c>
      <c r="D59" s="25" t="s">
        <v>24</v>
      </c>
      <c r="E59">
        <v>110</v>
      </c>
      <c r="F59">
        <v>172</v>
      </c>
      <c r="G59" t="b">
        <v>0</v>
      </c>
      <c r="H59" s="25" t="s">
        <v>20</v>
      </c>
      <c r="I59">
        <v>158</v>
      </c>
      <c r="J59" t="b">
        <v>0</v>
      </c>
      <c r="K59" s="25" t="s">
        <v>31</v>
      </c>
      <c r="L59">
        <v>0</v>
      </c>
      <c r="M59" s="25" t="s">
        <v>27</v>
      </c>
      <c r="N59">
        <v>1</v>
      </c>
      <c r="O59">
        <v>0</v>
      </c>
    </row>
    <row r="60" spans="1:15" x14ac:dyDescent="0.3">
      <c r="A60">
        <v>59</v>
      </c>
      <c r="B60">
        <v>54</v>
      </c>
      <c r="C60" s="25" t="s">
        <v>16</v>
      </c>
      <c r="D60" s="25" t="s">
        <v>28</v>
      </c>
      <c r="E60">
        <v>125</v>
      </c>
      <c r="F60">
        <v>273</v>
      </c>
      <c r="G60" t="b">
        <v>0</v>
      </c>
      <c r="H60" s="25" t="s">
        <v>20</v>
      </c>
      <c r="I60">
        <v>152</v>
      </c>
      <c r="J60" t="b">
        <v>0</v>
      </c>
      <c r="K60" s="25" t="s">
        <v>22</v>
      </c>
      <c r="L60">
        <v>1</v>
      </c>
      <c r="M60" s="25" t="s">
        <v>26</v>
      </c>
      <c r="N60">
        <v>0</v>
      </c>
      <c r="O60">
        <v>0.5</v>
      </c>
    </row>
    <row r="61" spans="1:15" x14ac:dyDescent="0.3">
      <c r="A61">
        <v>60</v>
      </c>
      <c r="B61">
        <v>51</v>
      </c>
      <c r="C61" s="25" t="s">
        <v>16</v>
      </c>
      <c r="D61" s="25" t="s">
        <v>18</v>
      </c>
      <c r="E61">
        <v>125</v>
      </c>
      <c r="F61">
        <v>213</v>
      </c>
      <c r="G61" t="b">
        <v>0</v>
      </c>
      <c r="H61" s="25" t="s">
        <v>20</v>
      </c>
      <c r="I61">
        <v>125</v>
      </c>
      <c r="J61" t="b">
        <v>1</v>
      </c>
      <c r="K61" s="25" t="s">
        <v>31</v>
      </c>
      <c r="L61">
        <v>1</v>
      </c>
      <c r="M61" s="25" t="s">
        <v>26</v>
      </c>
      <c r="N61">
        <v>0</v>
      </c>
      <c r="O61">
        <v>0.4</v>
      </c>
    </row>
    <row r="62" spans="1:15" x14ac:dyDescent="0.3">
      <c r="A62">
        <v>61</v>
      </c>
      <c r="B62">
        <v>51</v>
      </c>
      <c r="C62" s="25" t="s">
        <v>29</v>
      </c>
      <c r="D62" s="25" t="s">
        <v>24</v>
      </c>
      <c r="E62">
        <v>130</v>
      </c>
      <c r="F62">
        <v>305</v>
      </c>
      <c r="G62" t="b">
        <v>0</v>
      </c>
      <c r="H62" s="25" t="s">
        <v>26</v>
      </c>
      <c r="I62">
        <v>142</v>
      </c>
      <c r="J62" t="b">
        <v>1</v>
      </c>
      <c r="K62" s="25" t="s">
        <v>25</v>
      </c>
      <c r="L62">
        <v>0</v>
      </c>
      <c r="M62" s="25" t="s">
        <v>27</v>
      </c>
      <c r="N62">
        <v>2</v>
      </c>
      <c r="O62">
        <v>0.2</v>
      </c>
    </row>
    <row r="63" spans="1:15" x14ac:dyDescent="0.3">
      <c r="A63">
        <v>62</v>
      </c>
      <c r="B63">
        <v>46</v>
      </c>
      <c r="C63" s="25" t="s">
        <v>29</v>
      </c>
      <c r="D63" s="25" t="s">
        <v>28</v>
      </c>
      <c r="E63">
        <v>142</v>
      </c>
      <c r="F63">
        <v>177</v>
      </c>
      <c r="G63" t="b">
        <v>0</v>
      </c>
      <c r="H63" s="25" t="s">
        <v>20</v>
      </c>
      <c r="I63">
        <v>160</v>
      </c>
      <c r="J63" t="b">
        <v>1</v>
      </c>
      <c r="K63" s="25" t="s">
        <v>22</v>
      </c>
      <c r="L63">
        <v>0</v>
      </c>
      <c r="M63" s="25" t="s">
        <v>26</v>
      </c>
      <c r="N63">
        <v>0</v>
      </c>
      <c r="O63">
        <v>0.4</v>
      </c>
    </row>
    <row r="64" spans="1:15" x14ac:dyDescent="0.3">
      <c r="A64">
        <v>63</v>
      </c>
      <c r="B64">
        <v>58</v>
      </c>
      <c r="C64" s="25" t="s">
        <v>16</v>
      </c>
      <c r="D64" s="25" t="s">
        <v>24</v>
      </c>
      <c r="E64">
        <v>128</v>
      </c>
      <c r="F64">
        <v>216</v>
      </c>
      <c r="G64" t="b">
        <v>0</v>
      </c>
      <c r="H64" s="25" t="s">
        <v>20</v>
      </c>
      <c r="I64">
        <v>131</v>
      </c>
      <c r="J64" t="b">
        <v>1</v>
      </c>
      <c r="K64" s="25" t="s">
        <v>25</v>
      </c>
      <c r="L64">
        <v>3</v>
      </c>
      <c r="M64" s="25" t="s">
        <v>27</v>
      </c>
      <c r="N64">
        <v>1</v>
      </c>
      <c r="O64">
        <v>0.2</v>
      </c>
    </row>
    <row r="65" spans="1:15" x14ac:dyDescent="0.3">
      <c r="A65">
        <v>64</v>
      </c>
      <c r="B65">
        <v>54</v>
      </c>
      <c r="C65" s="25" t="s">
        <v>29</v>
      </c>
      <c r="D65" s="25" t="s">
        <v>28</v>
      </c>
      <c r="E65">
        <v>135</v>
      </c>
      <c r="F65">
        <v>304</v>
      </c>
      <c r="G65" t="b">
        <v>1</v>
      </c>
      <c r="H65" s="25" t="s">
        <v>26</v>
      </c>
      <c r="I65">
        <v>170</v>
      </c>
      <c r="J65" t="b">
        <v>0</v>
      </c>
      <c r="K65" s="25" t="s">
        <v>31</v>
      </c>
      <c r="L65">
        <v>0</v>
      </c>
      <c r="M65" s="25" t="s">
        <v>26</v>
      </c>
      <c r="N65">
        <v>0</v>
      </c>
      <c r="O65">
        <v>0</v>
      </c>
    </row>
    <row r="66" spans="1:15" x14ac:dyDescent="0.3">
      <c r="A66">
        <v>65</v>
      </c>
      <c r="B66">
        <v>54</v>
      </c>
      <c r="C66" s="25" t="s">
        <v>16</v>
      </c>
      <c r="D66" s="25" t="s">
        <v>24</v>
      </c>
      <c r="E66">
        <v>120</v>
      </c>
      <c r="F66">
        <v>188</v>
      </c>
      <c r="G66" t="b">
        <v>0</v>
      </c>
      <c r="H66" s="25" t="s">
        <v>26</v>
      </c>
      <c r="I66">
        <v>113</v>
      </c>
      <c r="J66" t="b">
        <v>0</v>
      </c>
      <c r="K66" s="25" t="s">
        <v>25</v>
      </c>
      <c r="L66">
        <v>1</v>
      </c>
      <c r="M66" s="25" t="s">
        <v>27</v>
      </c>
      <c r="N66">
        <v>2</v>
      </c>
      <c r="O66">
        <v>0.4</v>
      </c>
    </row>
    <row r="67" spans="1:15" x14ac:dyDescent="0.3">
      <c r="A67">
        <v>66</v>
      </c>
      <c r="B67">
        <v>60</v>
      </c>
      <c r="C67" s="25" t="s">
        <v>16</v>
      </c>
      <c r="D67" s="25" t="s">
        <v>24</v>
      </c>
      <c r="E67">
        <v>145</v>
      </c>
      <c r="F67">
        <v>282</v>
      </c>
      <c r="G67" t="b">
        <v>0</v>
      </c>
      <c r="H67" s="25" t="s">
        <v>20</v>
      </c>
      <c r="I67">
        <v>142</v>
      </c>
      <c r="J67" t="b">
        <v>1</v>
      </c>
      <c r="K67" s="25" t="s">
        <v>25</v>
      </c>
      <c r="L67">
        <v>2</v>
      </c>
      <c r="M67" s="25" t="s">
        <v>27</v>
      </c>
      <c r="N67">
        <v>2</v>
      </c>
      <c r="O67">
        <v>0.8</v>
      </c>
    </row>
    <row r="68" spans="1:15" x14ac:dyDescent="0.3">
      <c r="A68">
        <v>67</v>
      </c>
      <c r="B68">
        <v>60</v>
      </c>
      <c r="C68" s="25" t="s">
        <v>16</v>
      </c>
      <c r="D68" s="25" t="s">
        <v>28</v>
      </c>
      <c r="E68">
        <v>140</v>
      </c>
      <c r="F68">
        <v>185</v>
      </c>
      <c r="G68" t="b">
        <v>0</v>
      </c>
      <c r="H68" s="25" t="s">
        <v>20</v>
      </c>
      <c r="I68">
        <v>155</v>
      </c>
      <c r="J68" t="b">
        <v>0</v>
      </c>
      <c r="K68" s="25" t="s">
        <v>25</v>
      </c>
      <c r="L68">
        <v>0</v>
      </c>
      <c r="M68" s="25" t="s">
        <v>26</v>
      </c>
      <c r="N68">
        <v>1</v>
      </c>
      <c r="O68">
        <v>3</v>
      </c>
    </row>
    <row r="69" spans="1:15" x14ac:dyDescent="0.3">
      <c r="A69">
        <v>68</v>
      </c>
      <c r="B69">
        <v>54</v>
      </c>
      <c r="C69" s="25" t="s">
        <v>16</v>
      </c>
      <c r="D69" s="25" t="s">
        <v>28</v>
      </c>
      <c r="E69">
        <v>150</v>
      </c>
      <c r="F69">
        <v>232</v>
      </c>
      <c r="G69" t="b">
        <v>0</v>
      </c>
      <c r="H69" s="25" t="s">
        <v>20</v>
      </c>
      <c r="I69">
        <v>165</v>
      </c>
      <c r="J69" t="b">
        <v>0</v>
      </c>
      <c r="K69" s="25" t="s">
        <v>31</v>
      </c>
      <c r="L69">
        <v>0</v>
      </c>
      <c r="M69" s="25" t="s">
        <v>27</v>
      </c>
      <c r="N69">
        <v>0</v>
      </c>
      <c r="O69">
        <v>0.6</v>
      </c>
    </row>
    <row r="70" spans="1:15" x14ac:dyDescent="0.3">
      <c r="A70">
        <v>69</v>
      </c>
      <c r="B70">
        <v>59</v>
      </c>
      <c r="C70" s="25" t="s">
        <v>16</v>
      </c>
      <c r="D70" s="25" t="s">
        <v>24</v>
      </c>
      <c r="E70">
        <v>170</v>
      </c>
      <c r="F70">
        <v>326</v>
      </c>
      <c r="G70" t="b">
        <v>0</v>
      </c>
      <c r="H70" s="25" t="s">
        <v>20</v>
      </c>
      <c r="I70">
        <v>140</v>
      </c>
      <c r="J70" t="b">
        <v>1</v>
      </c>
      <c r="K70" s="25" t="s">
        <v>22</v>
      </c>
      <c r="L70">
        <v>0</v>
      </c>
      <c r="M70" s="25" t="s">
        <v>27</v>
      </c>
      <c r="N70">
        <v>2</v>
      </c>
      <c r="O70">
        <v>0.4</v>
      </c>
    </row>
    <row r="71" spans="1:15" x14ac:dyDescent="0.3">
      <c r="A71">
        <v>70</v>
      </c>
      <c r="B71">
        <v>46</v>
      </c>
      <c r="C71" s="25" t="s">
        <v>16</v>
      </c>
      <c r="D71" s="25" t="s">
        <v>28</v>
      </c>
      <c r="E71">
        <v>150</v>
      </c>
      <c r="F71">
        <v>231</v>
      </c>
      <c r="G71" t="b">
        <v>0</v>
      </c>
      <c r="H71" s="25" t="s">
        <v>26</v>
      </c>
      <c r="I71">
        <v>147</v>
      </c>
      <c r="J71" t="b">
        <v>0</v>
      </c>
      <c r="K71" s="25" t="s">
        <v>25</v>
      </c>
      <c r="L71">
        <v>0</v>
      </c>
      <c r="M71" s="25" t="s">
        <v>26</v>
      </c>
      <c r="N71">
        <v>1</v>
      </c>
      <c r="O71">
        <v>0.6</v>
      </c>
    </row>
    <row r="72" spans="1:15" x14ac:dyDescent="0.3">
      <c r="A72">
        <v>71</v>
      </c>
      <c r="B72">
        <v>65</v>
      </c>
      <c r="C72" s="25" t="s">
        <v>29</v>
      </c>
      <c r="D72" s="25" t="s">
        <v>28</v>
      </c>
      <c r="E72">
        <v>155</v>
      </c>
      <c r="F72">
        <v>269</v>
      </c>
      <c r="G72" t="b">
        <v>0</v>
      </c>
      <c r="H72" s="25" t="s">
        <v>26</v>
      </c>
      <c r="I72">
        <v>148</v>
      </c>
      <c r="J72" t="b">
        <v>0</v>
      </c>
      <c r="K72" s="25" t="s">
        <v>31</v>
      </c>
      <c r="L72">
        <v>0</v>
      </c>
      <c r="M72" s="25" t="s">
        <v>26</v>
      </c>
      <c r="N72">
        <v>0</v>
      </c>
      <c r="O72">
        <v>0.8</v>
      </c>
    </row>
    <row r="73" spans="1:15" x14ac:dyDescent="0.3">
      <c r="A73">
        <v>72</v>
      </c>
      <c r="B73">
        <v>67</v>
      </c>
      <c r="C73" s="25" t="s">
        <v>16</v>
      </c>
      <c r="D73" s="25" t="s">
        <v>24</v>
      </c>
      <c r="E73">
        <v>125</v>
      </c>
      <c r="F73">
        <v>254</v>
      </c>
      <c r="G73" t="b">
        <v>1</v>
      </c>
      <c r="H73" s="25" t="s">
        <v>26</v>
      </c>
      <c r="I73">
        <v>163</v>
      </c>
      <c r="J73" t="b">
        <v>0</v>
      </c>
      <c r="K73" s="25" t="s">
        <v>25</v>
      </c>
      <c r="L73">
        <v>2</v>
      </c>
      <c r="M73" s="25" t="s">
        <v>27</v>
      </c>
      <c r="N73">
        <v>3</v>
      </c>
      <c r="O73">
        <v>0.2</v>
      </c>
    </row>
    <row r="74" spans="1:15" x14ac:dyDescent="0.3">
      <c r="A74">
        <v>73</v>
      </c>
      <c r="B74">
        <v>62</v>
      </c>
      <c r="C74" s="25" t="s">
        <v>16</v>
      </c>
      <c r="D74" s="25" t="s">
        <v>24</v>
      </c>
      <c r="E74">
        <v>120</v>
      </c>
      <c r="F74">
        <v>267</v>
      </c>
      <c r="G74" t="b">
        <v>0</v>
      </c>
      <c r="H74" s="25" t="s">
        <v>26</v>
      </c>
      <c r="I74">
        <v>99</v>
      </c>
      <c r="J74" t="b">
        <v>1</v>
      </c>
      <c r="K74" s="25" t="s">
        <v>25</v>
      </c>
      <c r="L74">
        <v>2</v>
      </c>
      <c r="M74" s="25" t="s">
        <v>27</v>
      </c>
      <c r="N74">
        <v>1</v>
      </c>
      <c r="O74">
        <v>0.8</v>
      </c>
    </row>
    <row r="75" spans="1:15" x14ac:dyDescent="0.3">
      <c r="A75">
        <v>74</v>
      </c>
      <c r="B75">
        <v>65</v>
      </c>
      <c r="C75" s="25" t="s">
        <v>16</v>
      </c>
      <c r="D75" s="25" t="s">
        <v>24</v>
      </c>
      <c r="E75">
        <v>110</v>
      </c>
      <c r="F75">
        <v>248</v>
      </c>
      <c r="G75" t="b">
        <v>0</v>
      </c>
      <c r="H75" s="25" t="s">
        <v>20</v>
      </c>
      <c r="I75">
        <v>158</v>
      </c>
      <c r="J75" t="b">
        <v>0</v>
      </c>
      <c r="K75" s="25" t="s">
        <v>31</v>
      </c>
      <c r="L75">
        <v>2</v>
      </c>
      <c r="M75" s="25" t="s">
        <v>23</v>
      </c>
      <c r="N75">
        <v>1</v>
      </c>
      <c r="O75">
        <v>0.6</v>
      </c>
    </row>
    <row r="76" spans="1:15" x14ac:dyDescent="0.3">
      <c r="A76">
        <v>75</v>
      </c>
      <c r="B76">
        <v>44</v>
      </c>
      <c r="C76" s="25" t="s">
        <v>16</v>
      </c>
      <c r="D76" s="25" t="s">
        <v>24</v>
      </c>
      <c r="E76">
        <v>110</v>
      </c>
      <c r="F76">
        <v>197</v>
      </c>
      <c r="G76" t="b">
        <v>0</v>
      </c>
      <c r="H76" s="25" t="s">
        <v>20</v>
      </c>
      <c r="I76">
        <v>177</v>
      </c>
      <c r="J76" t="b">
        <v>0</v>
      </c>
      <c r="K76" s="25" t="s">
        <v>31</v>
      </c>
      <c r="L76">
        <v>1</v>
      </c>
      <c r="M76" s="25" t="s">
        <v>26</v>
      </c>
      <c r="N76">
        <v>1</v>
      </c>
      <c r="O76">
        <v>0</v>
      </c>
    </row>
    <row r="77" spans="1:15" x14ac:dyDescent="0.3">
      <c r="A77">
        <v>76</v>
      </c>
      <c r="B77">
        <v>65</v>
      </c>
      <c r="C77" s="25" t="s">
        <v>29</v>
      </c>
      <c r="D77" s="25" t="s">
        <v>28</v>
      </c>
      <c r="E77">
        <v>160</v>
      </c>
      <c r="F77">
        <v>360</v>
      </c>
      <c r="G77" t="b">
        <v>0</v>
      </c>
      <c r="H77" s="25" t="s">
        <v>20</v>
      </c>
      <c r="I77">
        <v>151</v>
      </c>
      <c r="J77" t="b">
        <v>0</v>
      </c>
      <c r="K77" s="25" t="s">
        <v>31</v>
      </c>
      <c r="L77">
        <v>0</v>
      </c>
      <c r="M77" s="25" t="s">
        <v>26</v>
      </c>
      <c r="N77">
        <v>0</v>
      </c>
      <c r="O77">
        <v>0.8</v>
      </c>
    </row>
    <row r="78" spans="1:15" x14ac:dyDescent="0.3">
      <c r="A78">
        <v>77</v>
      </c>
      <c r="B78">
        <v>60</v>
      </c>
      <c r="C78" s="25" t="s">
        <v>16</v>
      </c>
      <c r="D78" s="25" t="s">
        <v>24</v>
      </c>
      <c r="E78">
        <v>125</v>
      </c>
      <c r="F78">
        <v>258</v>
      </c>
      <c r="G78" t="b">
        <v>0</v>
      </c>
      <c r="H78" s="25" t="s">
        <v>20</v>
      </c>
      <c r="I78">
        <v>141</v>
      </c>
      <c r="J78" t="b">
        <v>1</v>
      </c>
      <c r="K78" s="25" t="s">
        <v>25</v>
      </c>
      <c r="L78">
        <v>1</v>
      </c>
      <c r="M78" s="25" t="s">
        <v>27</v>
      </c>
      <c r="N78">
        <v>1</v>
      </c>
      <c r="O78">
        <v>0.8</v>
      </c>
    </row>
    <row r="79" spans="1:15" x14ac:dyDescent="0.3">
      <c r="A79">
        <v>78</v>
      </c>
      <c r="B79">
        <v>51</v>
      </c>
      <c r="C79" s="25" t="s">
        <v>29</v>
      </c>
      <c r="D79" s="25" t="s">
        <v>28</v>
      </c>
      <c r="E79">
        <v>140</v>
      </c>
      <c r="F79">
        <v>308</v>
      </c>
      <c r="G79" t="b">
        <v>0</v>
      </c>
      <c r="H79" s="25" t="s">
        <v>20</v>
      </c>
      <c r="I79">
        <v>142</v>
      </c>
      <c r="J79" t="b">
        <v>0</v>
      </c>
      <c r="K79" s="25" t="s">
        <v>31</v>
      </c>
      <c r="L79">
        <v>1</v>
      </c>
      <c r="M79" s="25" t="s">
        <v>26</v>
      </c>
      <c r="N79">
        <v>0</v>
      </c>
      <c r="O79">
        <v>0.5</v>
      </c>
    </row>
    <row r="80" spans="1:15" x14ac:dyDescent="0.3">
      <c r="A80">
        <v>79</v>
      </c>
      <c r="B80">
        <v>48</v>
      </c>
      <c r="C80" s="25" t="s">
        <v>16</v>
      </c>
      <c r="D80" s="25" t="s">
        <v>30</v>
      </c>
      <c r="E80">
        <v>130</v>
      </c>
      <c r="F80">
        <v>245</v>
      </c>
      <c r="G80" t="b">
        <v>0</v>
      </c>
      <c r="H80" s="25" t="s">
        <v>20</v>
      </c>
      <c r="I80">
        <v>180</v>
      </c>
      <c r="J80" t="b">
        <v>0</v>
      </c>
      <c r="K80" s="25" t="s">
        <v>25</v>
      </c>
      <c r="L80">
        <v>0</v>
      </c>
      <c r="M80" s="25" t="s">
        <v>26</v>
      </c>
      <c r="N80">
        <v>0</v>
      </c>
      <c r="O80">
        <v>0.2</v>
      </c>
    </row>
    <row r="81" spans="1:15" x14ac:dyDescent="0.3">
      <c r="A81">
        <v>80</v>
      </c>
      <c r="B81">
        <v>58</v>
      </c>
      <c r="C81" s="25" t="s">
        <v>16</v>
      </c>
      <c r="D81" s="25" t="s">
        <v>24</v>
      </c>
      <c r="E81">
        <v>150</v>
      </c>
      <c r="F81">
        <v>270</v>
      </c>
      <c r="G81" t="b">
        <v>0</v>
      </c>
      <c r="H81" s="25" t="s">
        <v>20</v>
      </c>
      <c r="I81">
        <v>111</v>
      </c>
      <c r="J81" t="b">
        <v>1</v>
      </c>
      <c r="K81" s="25" t="s">
        <v>31</v>
      </c>
      <c r="L81">
        <v>0</v>
      </c>
      <c r="M81" s="25" t="s">
        <v>27</v>
      </c>
      <c r="N81">
        <v>3</v>
      </c>
      <c r="O81">
        <v>0.8</v>
      </c>
    </row>
    <row r="82" spans="1:15" x14ac:dyDescent="0.3">
      <c r="A82">
        <v>81</v>
      </c>
      <c r="B82">
        <v>45</v>
      </c>
      <c r="C82" s="25" t="s">
        <v>16</v>
      </c>
      <c r="D82" s="25" t="s">
        <v>24</v>
      </c>
      <c r="E82">
        <v>104</v>
      </c>
      <c r="F82">
        <v>208</v>
      </c>
      <c r="G82" t="b">
        <v>0</v>
      </c>
      <c r="H82" s="25" t="s">
        <v>20</v>
      </c>
      <c r="I82">
        <v>148</v>
      </c>
      <c r="J82" t="b">
        <v>1</v>
      </c>
      <c r="K82" s="25" t="s">
        <v>25</v>
      </c>
      <c r="L82">
        <v>0</v>
      </c>
      <c r="M82" s="25" t="s">
        <v>26</v>
      </c>
      <c r="N82">
        <v>0</v>
      </c>
      <c r="O82">
        <v>3</v>
      </c>
    </row>
    <row r="83" spans="1:15" x14ac:dyDescent="0.3">
      <c r="A83">
        <v>82</v>
      </c>
      <c r="B83">
        <v>53</v>
      </c>
      <c r="C83" s="25" t="s">
        <v>29</v>
      </c>
      <c r="D83" s="25" t="s">
        <v>24</v>
      </c>
      <c r="E83">
        <v>130</v>
      </c>
      <c r="F83">
        <v>264</v>
      </c>
      <c r="G83" t="b">
        <v>0</v>
      </c>
      <c r="H83" s="25" t="s">
        <v>20</v>
      </c>
      <c r="I83">
        <v>143</v>
      </c>
      <c r="J83" t="b">
        <v>0</v>
      </c>
      <c r="K83" s="25" t="s">
        <v>25</v>
      </c>
      <c r="L83">
        <v>0</v>
      </c>
      <c r="M83" s="25" t="s">
        <v>26</v>
      </c>
      <c r="N83">
        <v>0</v>
      </c>
      <c r="O83">
        <v>0.4</v>
      </c>
    </row>
    <row r="84" spans="1:15" x14ac:dyDescent="0.3">
      <c r="A84">
        <v>83</v>
      </c>
      <c r="B84">
        <v>39</v>
      </c>
      <c r="C84" s="25" t="s">
        <v>16</v>
      </c>
      <c r="D84" s="25" t="s">
        <v>28</v>
      </c>
      <c r="E84">
        <v>140</v>
      </c>
      <c r="F84">
        <v>321</v>
      </c>
      <c r="G84" t="b">
        <v>0</v>
      </c>
      <c r="H84" s="25" t="s">
        <v>20</v>
      </c>
      <c r="I84">
        <v>182</v>
      </c>
      <c r="J84" t="b">
        <v>0</v>
      </c>
      <c r="K84" s="25" t="s">
        <v>31</v>
      </c>
      <c r="L84">
        <v>0</v>
      </c>
      <c r="M84" s="25" t="s">
        <v>26</v>
      </c>
      <c r="N84">
        <v>0</v>
      </c>
      <c r="O84">
        <v>0</v>
      </c>
    </row>
    <row r="85" spans="1:15" x14ac:dyDescent="0.3">
      <c r="A85">
        <v>84</v>
      </c>
      <c r="B85">
        <v>68</v>
      </c>
      <c r="C85" s="25" t="s">
        <v>16</v>
      </c>
      <c r="D85" s="25" t="s">
        <v>28</v>
      </c>
      <c r="E85">
        <v>180</v>
      </c>
      <c r="F85">
        <v>274</v>
      </c>
      <c r="G85" t="b">
        <v>1</v>
      </c>
      <c r="H85" s="25" t="s">
        <v>20</v>
      </c>
      <c r="I85">
        <v>150</v>
      </c>
      <c r="J85" t="b">
        <v>1</v>
      </c>
      <c r="K85" s="25" t="s">
        <v>25</v>
      </c>
      <c r="L85">
        <v>0</v>
      </c>
      <c r="M85" s="25" t="s">
        <v>27</v>
      </c>
      <c r="N85">
        <v>3</v>
      </c>
      <c r="O85">
        <v>0.6</v>
      </c>
    </row>
    <row r="86" spans="1:15" x14ac:dyDescent="0.3">
      <c r="A86">
        <v>85</v>
      </c>
      <c r="B86">
        <v>52</v>
      </c>
      <c r="C86" s="25" t="s">
        <v>16</v>
      </c>
      <c r="D86" s="25" t="s">
        <v>30</v>
      </c>
      <c r="E86">
        <v>120</v>
      </c>
      <c r="F86">
        <v>325</v>
      </c>
      <c r="G86" t="b">
        <v>0</v>
      </c>
      <c r="H86" s="25" t="s">
        <v>26</v>
      </c>
      <c r="I86">
        <v>172</v>
      </c>
      <c r="J86" t="b">
        <v>0</v>
      </c>
      <c r="K86" s="25" t="s">
        <v>31</v>
      </c>
      <c r="L86">
        <v>0</v>
      </c>
      <c r="M86" s="25" t="s">
        <v>26</v>
      </c>
      <c r="N86">
        <v>0</v>
      </c>
      <c r="O86">
        <v>0.2</v>
      </c>
    </row>
    <row r="87" spans="1:15" x14ac:dyDescent="0.3">
      <c r="A87">
        <v>86</v>
      </c>
      <c r="B87">
        <v>44</v>
      </c>
      <c r="C87" s="25" t="s">
        <v>16</v>
      </c>
      <c r="D87" s="25" t="s">
        <v>28</v>
      </c>
      <c r="E87">
        <v>140</v>
      </c>
      <c r="F87">
        <v>235</v>
      </c>
      <c r="G87" t="b">
        <v>0</v>
      </c>
      <c r="H87" s="25" t="s">
        <v>20</v>
      </c>
      <c r="I87">
        <v>180</v>
      </c>
      <c r="J87" t="b">
        <v>0</v>
      </c>
      <c r="K87" s="25" t="s">
        <v>31</v>
      </c>
      <c r="L87">
        <v>0</v>
      </c>
      <c r="M87" s="25" t="s">
        <v>26</v>
      </c>
      <c r="N87">
        <v>0</v>
      </c>
      <c r="O87">
        <v>0</v>
      </c>
    </row>
    <row r="88" spans="1:15" x14ac:dyDescent="0.3">
      <c r="A88">
        <v>87</v>
      </c>
      <c r="B88">
        <v>47</v>
      </c>
      <c r="C88" s="25" t="s">
        <v>16</v>
      </c>
      <c r="D88" s="25" t="s">
        <v>28</v>
      </c>
      <c r="E88">
        <v>138</v>
      </c>
      <c r="F88">
        <v>257</v>
      </c>
      <c r="G88" t="b">
        <v>0</v>
      </c>
      <c r="H88" s="25" t="s">
        <v>20</v>
      </c>
      <c r="I88">
        <v>156</v>
      </c>
      <c r="J88" t="b">
        <v>0</v>
      </c>
      <c r="K88" s="25" t="s">
        <v>31</v>
      </c>
      <c r="L88">
        <v>0</v>
      </c>
      <c r="M88" s="25" t="s">
        <v>26</v>
      </c>
      <c r="N88">
        <v>0</v>
      </c>
      <c r="O88">
        <v>0</v>
      </c>
    </row>
    <row r="89" spans="1:15" x14ac:dyDescent="0.3">
      <c r="A89">
        <v>88</v>
      </c>
      <c r="B89">
        <v>53</v>
      </c>
      <c r="C89" s="25" t="s">
        <v>29</v>
      </c>
      <c r="D89" s="25" t="s">
        <v>28</v>
      </c>
      <c r="E89">
        <v>128</v>
      </c>
      <c r="F89">
        <v>216</v>
      </c>
      <c r="G89" t="b">
        <v>0</v>
      </c>
      <c r="H89" s="25" t="s">
        <v>20</v>
      </c>
      <c r="I89">
        <v>115</v>
      </c>
      <c r="J89" t="b">
        <v>0</v>
      </c>
      <c r="K89" s="25" t="s">
        <v>31</v>
      </c>
      <c r="L89">
        <v>0</v>
      </c>
      <c r="M89" s="25" t="s">
        <v>32</v>
      </c>
      <c r="N89">
        <v>0</v>
      </c>
      <c r="O89">
        <v>0</v>
      </c>
    </row>
    <row r="90" spans="1:15" x14ac:dyDescent="0.3">
      <c r="A90">
        <v>89</v>
      </c>
      <c r="B90">
        <v>53</v>
      </c>
      <c r="C90" s="25" t="s">
        <v>29</v>
      </c>
      <c r="D90" s="25" t="s">
        <v>24</v>
      </c>
      <c r="E90">
        <v>138</v>
      </c>
      <c r="F90">
        <v>234</v>
      </c>
      <c r="G90" t="b">
        <v>0</v>
      </c>
      <c r="H90" s="25" t="s">
        <v>20</v>
      </c>
      <c r="I90">
        <v>160</v>
      </c>
      <c r="J90" t="b">
        <v>0</v>
      </c>
      <c r="K90" s="25" t="s">
        <v>31</v>
      </c>
      <c r="L90">
        <v>0</v>
      </c>
      <c r="M90" s="25" t="s">
        <v>26</v>
      </c>
      <c r="N90">
        <v>0</v>
      </c>
      <c r="O90">
        <v>0</v>
      </c>
    </row>
    <row r="91" spans="1:15" x14ac:dyDescent="0.3">
      <c r="A91">
        <v>90</v>
      </c>
      <c r="B91">
        <v>51</v>
      </c>
      <c r="C91" s="25" t="s">
        <v>29</v>
      </c>
      <c r="D91" s="25" t="s">
        <v>28</v>
      </c>
      <c r="E91">
        <v>130</v>
      </c>
      <c r="F91">
        <v>256</v>
      </c>
      <c r="G91" t="b">
        <v>0</v>
      </c>
      <c r="H91" s="25" t="s">
        <v>20</v>
      </c>
      <c r="I91">
        <v>149</v>
      </c>
      <c r="J91" t="b">
        <v>0</v>
      </c>
      <c r="K91" s="25" t="s">
        <v>31</v>
      </c>
      <c r="L91">
        <v>0</v>
      </c>
      <c r="M91" s="25" t="s">
        <v>26</v>
      </c>
      <c r="N91">
        <v>0</v>
      </c>
      <c r="O91">
        <v>0.5</v>
      </c>
    </row>
    <row r="92" spans="1:15" x14ac:dyDescent="0.3">
      <c r="A92">
        <v>91</v>
      </c>
      <c r="B92">
        <v>66</v>
      </c>
      <c r="C92" s="25" t="s">
        <v>16</v>
      </c>
      <c r="D92" s="25" t="s">
        <v>24</v>
      </c>
      <c r="E92">
        <v>120</v>
      </c>
      <c r="F92">
        <v>302</v>
      </c>
      <c r="G92" t="b">
        <v>0</v>
      </c>
      <c r="H92" s="25" t="s">
        <v>20</v>
      </c>
      <c r="I92">
        <v>151</v>
      </c>
      <c r="J92" t="b">
        <v>0</v>
      </c>
      <c r="K92" s="25" t="s">
        <v>25</v>
      </c>
      <c r="L92">
        <v>0</v>
      </c>
      <c r="M92" s="25" t="s">
        <v>26</v>
      </c>
      <c r="N92">
        <v>0</v>
      </c>
      <c r="O92">
        <v>0.4</v>
      </c>
    </row>
    <row r="93" spans="1:15" x14ac:dyDescent="0.3">
      <c r="A93">
        <v>92</v>
      </c>
      <c r="B93">
        <v>62</v>
      </c>
      <c r="C93" s="25" t="s">
        <v>29</v>
      </c>
      <c r="D93" s="25" t="s">
        <v>24</v>
      </c>
      <c r="E93">
        <v>160</v>
      </c>
      <c r="F93">
        <v>164</v>
      </c>
      <c r="G93" t="b">
        <v>0</v>
      </c>
      <c r="H93" s="25" t="s">
        <v>20</v>
      </c>
      <c r="I93">
        <v>145</v>
      </c>
      <c r="J93" t="b">
        <v>0</v>
      </c>
      <c r="K93" s="25" t="s">
        <v>22</v>
      </c>
      <c r="L93">
        <v>3</v>
      </c>
      <c r="M93" s="25" t="s">
        <v>27</v>
      </c>
      <c r="N93">
        <v>3</v>
      </c>
      <c r="O93">
        <v>0.2</v>
      </c>
    </row>
    <row r="94" spans="1:15" x14ac:dyDescent="0.3">
      <c r="A94">
        <v>93</v>
      </c>
      <c r="B94">
        <v>62</v>
      </c>
      <c r="C94" s="25" t="s">
        <v>16</v>
      </c>
      <c r="D94" s="25" t="s">
        <v>28</v>
      </c>
      <c r="E94">
        <v>130</v>
      </c>
      <c r="F94">
        <v>231</v>
      </c>
      <c r="G94" t="b">
        <v>0</v>
      </c>
      <c r="H94" s="25" t="s">
        <v>26</v>
      </c>
      <c r="I94">
        <v>146</v>
      </c>
      <c r="J94" t="b">
        <v>0</v>
      </c>
      <c r="K94" s="25" t="s">
        <v>25</v>
      </c>
      <c r="L94">
        <v>3</v>
      </c>
      <c r="M94" s="25" t="s">
        <v>27</v>
      </c>
      <c r="N94">
        <v>0</v>
      </c>
      <c r="O94">
        <v>0.8</v>
      </c>
    </row>
    <row r="95" spans="1:15" x14ac:dyDescent="0.3">
      <c r="A95">
        <v>94</v>
      </c>
      <c r="B95">
        <v>44</v>
      </c>
      <c r="C95" s="25" t="s">
        <v>29</v>
      </c>
      <c r="D95" s="25" t="s">
        <v>28</v>
      </c>
      <c r="E95">
        <v>108</v>
      </c>
      <c r="F95">
        <v>141</v>
      </c>
      <c r="G95" t="b">
        <v>0</v>
      </c>
      <c r="H95" s="25" t="s">
        <v>26</v>
      </c>
      <c r="I95">
        <v>175</v>
      </c>
      <c r="J95" t="b">
        <v>0</v>
      </c>
      <c r="K95" s="25" t="s">
        <v>25</v>
      </c>
      <c r="L95">
        <v>0</v>
      </c>
      <c r="M95" s="25" t="s">
        <v>26</v>
      </c>
      <c r="N95">
        <v>0</v>
      </c>
      <c r="O95">
        <v>0.6</v>
      </c>
    </row>
    <row r="96" spans="1:15" x14ac:dyDescent="0.3">
      <c r="A96">
        <v>95</v>
      </c>
      <c r="B96">
        <v>63</v>
      </c>
      <c r="C96" s="25" t="s">
        <v>29</v>
      </c>
      <c r="D96" s="25" t="s">
        <v>28</v>
      </c>
      <c r="E96">
        <v>135</v>
      </c>
      <c r="F96">
        <v>252</v>
      </c>
      <c r="G96" t="b">
        <v>0</v>
      </c>
      <c r="H96" s="25" t="s">
        <v>20</v>
      </c>
      <c r="I96">
        <v>172</v>
      </c>
      <c r="J96" t="b">
        <v>0</v>
      </c>
      <c r="K96" s="25" t="s">
        <v>31</v>
      </c>
      <c r="L96">
        <v>0</v>
      </c>
      <c r="M96" s="25" t="s">
        <v>26</v>
      </c>
      <c r="N96">
        <v>0</v>
      </c>
      <c r="O96">
        <v>0</v>
      </c>
    </row>
    <row r="97" spans="1:15" x14ac:dyDescent="0.3">
      <c r="A97">
        <v>96</v>
      </c>
      <c r="B97">
        <v>52</v>
      </c>
      <c r="C97" s="25" t="s">
        <v>16</v>
      </c>
      <c r="D97" s="25" t="s">
        <v>24</v>
      </c>
      <c r="E97">
        <v>128</v>
      </c>
      <c r="F97">
        <v>255</v>
      </c>
      <c r="G97" t="b">
        <v>0</v>
      </c>
      <c r="H97" s="25" t="s">
        <v>26</v>
      </c>
      <c r="I97">
        <v>161</v>
      </c>
      <c r="J97" t="b">
        <v>1</v>
      </c>
      <c r="K97" s="25" t="s">
        <v>31</v>
      </c>
      <c r="L97">
        <v>1</v>
      </c>
      <c r="M97" s="25" t="s">
        <v>27</v>
      </c>
      <c r="N97">
        <v>1</v>
      </c>
      <c r="O97">
        <v>0</v>
      </c>
    </row>
    <row r="98" spans="1:15" x14ac:dyDescent="0.3">
      <c r="A98">
        <v>97</v>
      </c>
      <c r="B98">
        <v>59</v>
      </c>
      <c r="C98" s="25" t="s">
        <v>16</v>
      </c>
      <c r="D98" s="25" t="s">
        <v>24</v>
      </c>
      <c r="E98">
        <v>110</v>
      </c>
      <c r="F98">
        <v>239</v>
      </c>
      <c r="G98" t="b">
        <v>0</v>
      </c>
      <c r="H98" s="25" t="s">
        <v>20</v>
      </c>
      <c r="I98">
        <v>142</v>
      </c>
      <c r="J98" t="b">
        <v>1</v>
      </c>
      <c r="K98" s="25" t="s">
        <v>25</v>
      </c>
      <c r="L98">
        <v>1</v>
      </c>
      <c r="M98" s="25" t="s">
        <v>27</v>
      </c>
      <c r="N98">
        <v>2</v>
      </c>
      <c r="O98">
        <v>0.2</v>
      </c>
    </row>
    <row r="99" spans="1:15" x14ac:dyDescent="0.3">
      <c r="A99">
        <v>98</v>
      </c>
      <c r="B99">
        <v>60</v>
      </c>
      <c r="C99" s="25" t="s">
        <v>29</v>
      </c>
      <c r="D99" s="25" t="s">
        <v>24</v>
      </c>
      <c r="E99">
        <v>150</v>
      </c>
      <c r="F99">
        <v>258</v>
      </c>
      <c r="G99" t="b">
        <v>0</v>
      </c>
      <c r="H99" s="25" t="s">
        <v>20</v>
      </c>
      <c r="I99">
        <v>157</v>
      </c>
      <c r="J99" t="b">
        <v>0</v>
      </c>
      <c r="K99" s="25" t="s">
        <v>25</v>
      </c>
      <c r="L99">
        <v>2</v>
      </c>
      <c r="M99" s="25" t="s">
        <v>27</v>
      </c>
      <c r="N99">
        <v>3</v>
      </c>
      <c r="O99">
        <v>0.6</v>
      </c>
    </row>
    <row r="100" spans="1:15" x14ac:dyDescent="0.3">
      <c r="A100">
        <v>99</v>
      </c>
      <c r="B100">
        <v>52</v>
      </c>
      <c r="C100" s="25" t="s">
        <v>16</v>
      </c>
      <c r="D100" s="25" t="s">
        <v>30</v>
      </c>
      <c r="E100">
        <v>134</v>
      </c>
      <c r="F100">
        <v>201</v>
      </c>
      <c r="G100" t="b">
        <v>0</v>
      </c>
      <c r="H100" s="25" t="s">
        <v>26</v>
      </c>
      <c r="I100">
        <v>158</v>
      </c>
      <c r="J100" t="b">
        <v>0</v>
      </c>
      <c r="K100" s="25" t="s">
        <v>31</v>
      </c>
      <c r="L100">
        <v>1</v>
      </c>
      <c r="M100" s="25" t="s">
        <v>26</v>
      </c>
      <c r="N100">
        <v>0</v>
      </c>
      <c r="O100">
        <v>0.8</v>
      </c>
    </row>
    <row r="101" spans="1:15" x14ac:dyDescent="0.3">
      <c r="A101">
        <v>100</v>
      </c>
      <c r="B101">
        <v>48</v>
      </c>
      <c r="C101" s="25" t="s">
        <v>16</v>
      </c>
      <c r="D101" s="25" t="s">
        <v>24</v>
      </c>
      <c r="E101">
        <v>122</v>
      </c>
      <c r="F101">
        <v>222</v>
      </c>
      <c r="G101" t="b">
        <v>0</v>
      </c>
      <c r="H101" s="25" t="s">
        <v>20</v>
      </c>
      <c r="I101">
        <v>186</v>
      </c>
      <c r="J101" t="b">
        <v>0</v>
      </c>
      <c r="K101" s="25" t="s">
        <v>31</v>
      </c>
      <c r="L101">
        <v>0</v>
      </c>
      <c r="M101" s="25" t="s">
        <v>26</v>
      </c>
      <c r="N101">
        <v>0</v>
      </c>
      <c r="O101">
        <v>0</v>
      </c>
    </row>
    <row r="102" spans="1:15" x14ac:dyDescent="0.3">
      <c r="A102">
        <v>101</v>
      </c>
      <c r="B102">
        <v>45</v>
      </c>
      <c r="C102" s="25" t="s">
        <v>16</v>
      </c>
      <c r="D102" s="25" t="s">
        <v>24</v>
      </c>
      <c r="E102">
        <v>115</v>
      </c>
      <c r="F102">
        <v>260</v>
      </c>
      <c r="G102" t="b">
        <v>0</v>
      </c>
      <c r="H102" s="25" t="s">
        <v>20</v>
      </c>
      <c r="I102">
        <v>185</v>
      </c>
      <c r="J102" t="b">
        <v>0</v>
      </c>
      <c r="K102" s="25" t="s">
        <v>31</v>
      </c>
      <c r="L102">
        <v>0</v>
      </c>
      <c r="M102" s="25" t="s">
        <v>26</v>
      </c>
      <c r="N102">
        <v>0</v>
      </c>
      <c r="O102">
        <v>0</v>
      </c>
    </row>
    <row r="103" spans="1:15" x14ac:dyDescent="0.3">
      <c r="A103">
        <v>102</v>
      </c>
      <c r="B103">
        <v>34</v>
      </c>
      <c r="C103" s="25" t="s">
        <v>16</v>
      </c>
      <c r="D103" s="25" t="s">
        <v>18</v>
      </c>
      <c r="E103">
        <v>118</v>
      </c>
      <c r="F103">
        <v>182</v>
      </c>
      <c r="G103" t="b">
        <v>0</v>
      </c>
      <c r="H103" s="25" t="s">
        <v>20</v>
      </c>
      <c r="I103">
        <v>174</v>
      </c>
      <c r="J103" t="b">
        <v>0</v>
      </c>
      <c r="K103" s="25" t="s">
        <v>31</v>
      </c>
      <c r="L103">
        <v>0</v>
      </c>
      <c r="M103" s="25" t="s">
        <v>26</v>
      </c>
      <c r="N103">
        <v>0</v>
      </c>
      <c r="O103">
        <v>0</v>
      </c>
    </row>
    <row r="104" spans="1:15" x14ac:dyDescent="0.3">
      <c r="A104">
        <v>103</v>
      </c>
      <c r="B104">
        <v>57</v>
      </c>
      <c r="C104" s="25" t="s">
        <v>29</v>
      </c>
      <c r="D104" s="25" t="s">
        <v>24</v>
      </c>
      <c r="E104">
        <v>128</v>
      </c>
      <c r="F104">
        <v>303</v>
      </c>
      <c r="G104" t="b">
        <v>0</v>
      </c>
      <c r="H104" s="25" t="s">
        <v>20</v>
      </c>
      <c r="I104">
        <v>159</v>
      </c>
      <c r="J104" t="b">
        <v>0</v>
      </c>
      <c r="K104" s="25" t="s">
        <v>31</v>
      </c>
      <c r="L104">
        <v>1</v>
      </c>
      <c r="M104" s="25" t="s">
        <v>26</v>
      </c>
      <c r="N104">
        <v>0</v>
      </c>
      <c r="O104">
        <v>0</v>
      </c>
    </row>
    <row r="105" spans="1:15" x14ac:dyDescent="0.3">
      <c r="A105">
        <v>104</v>
      </c>
      <c r="B105">
        <v>71</v>
      </c>
      <c r="C105" s="25" t="s">
        <v>29</v>
      </c>
      <c r="D105" s="25" t="s">
        <v>28</v>
      </c>
      <c r="E105">
        <v>110</v>
      </c>
      <c r="F105">
        <v>265</v>
      </c>
      <c r="G105" t="b">
        <v>1</v>
      </c>
      <c r="H105" s="25" t="s">
        <v>20</v>
      </c>
      <c r="I105">
        <v>130</v>
      </c>
      <c r="J105" t="b">
        <v>0</v>
      </c>
      <c r="K105" s="25" t="s">
        <v>31</v>
      </c>
      <c r="L105">
        <v>1</v>
      </c>
      <c r="M105" s="25" t="s">
        <v>26</v>
      </c>
      <c r="N105">
        <v>0</v>
      </c>
      <c r="O105">
        <v>0</v>
      </c>
    </row>
    <row r="106" spans="1:15" x14ac:dyDescent="0.3">
      <c r="A106">
        <v>105</v>
      </c>
      <c r="B106">
        <v>49</v>
      </c>
      <c r="C106" s="25" t="s">
        <v>16</v>
      </c>
      <c r="D106" s="25" t="s">
        <v>28</v>
      </c>
      <c r="E106">
        <v>120</v>
      </c>
      <c r="F106">
        <v>188</v>
      </c>
      <c r="G106" t="b">
        <v>0</v>
      </c>
      <c r="H106" s="25" t="s">
        <v>26</v>
      </c>
      <c r="I106">
        <v>139</v>
      </c>
      <c r="J106" t="b">
        <v>0</v>
      </c>
      <c r="K106" s="25" t="s">
        <v>25</v>
      </c>
      <c r="L106">
        <v>3</v>
      </c>
      <c r="M106" s="25" t="s">
        <v>27</v>
      </c>
      <c r="N106">
        <v>3</v>
      </c>
      <c r="O106">
        <v>2</v>
      </c>
    </row>
    <row r="107" spans="1:15" x14ac:dyDescent="0.3">
      <c r="A107">
        <v>106</v>
      </c>
      <c r="B107">
        <v>54</v>
      </c>
      <c r="C107" s="25" t="s">
        <v>16</v>
      </c>
      <c r="D107" s="25" t="s">
        <v>30</v>
      </c>
      <c r="E107">
        <v>108</v>
      </c>
      <c r="F107">
        <v>309</v>
      </c>
      <c r="G107" t="b">
        <v>0</v>
      </c>
      <c r="H107" s="25" t="s">
        <v>26</v>
      </c>
      <c r="I107">
        <v>156</v>
      </c>
      <c r="J107" t="b">
        <v>0</v>
      </c>
      <c r="K107" s="25" t="s">
        <v>31</v>
      </c>
      <c r="L107">
        <v>0</v>
      </c>
      <c r="M107" s="25" t="s">
        <v>27</v>
      </c>
      <c r="N107">
        <v>0</v>
      </c>
      <c r="O107">
        <v>0</v>
      </c>
    </row>
    <row r="108" spans="1:15" x14ac:dyDescent="0.3">
      <c r="A108">
        <v>107</v>
      </c>
      <c r="B108">
        <v>59</v>
      </c>
      <c r="C108" s="25" t="s">
        <v>16</v>
      </c>
      <c r="D108" s="25" t="s">
        <v>24</v>
      </c>
      <c r="E108">
        <v>140</v>
      </c>
      <c r="F108">
        <v>177</v>
      </c>
      <c r="G108" t="b">
        <v>0</v>
      </c>
      <c r="H108" s="25" t="s">
        <v>26</v>
      </c>
      <c r="I108">
        <v>162</v>
      </c>
      <c r="J108" t="b">
        <v>1</v>
      </c>
      <c r="K108" s="25" t="s">
        <v>31</v>
      </c>
      <c r="L108">
        <v>1</v>
      </c>
      <c r="M108" s="25" t="s">
        <v>27</v>
      </c>
      <c r="N108">
        <v>2</v>
      </c>
      <c r="O108">
        <v>0</v>
      </c>
    </row>
    <row r="109" spans="1:15" x14ac:dyDescent="0.3">
      <c r="A109">
        <v>108</v>
      </c>
      <c r="B109">
        <v>57</v>
      </c>
      <c r="C109" s="25" t="s">
        <v>16</v>
      </c>
      <c r="D109" s="25" t="s">
        <v>28</v>
      </c>
      <c r="E109">
        <v>128</v>
      </c>
      <c r="F109">
        <v>229</v>
      </c>
      <c r="G109" t="b">
        <v>0</v>
      </c>
      <c r="H109" s="25" t="s">
        <v>20</v>
      </c>
      <c r="I109">
        <v>150</v>
      </c>
      <c r="J109" t="b">
        <v>0</v>
      </c>
      <c r="K109" s="25" t="s">
        <v>25</v>
      </c>
      <c r="L109">
        <v>1</v>
      </c>
      <c r="M109" s="25" t="s">
        <v>27</v>
      </c>
      <c r="N109">
        <v>1</v>
      </c>
      <c r="O109">
        <v>0.4</v>
      </c>
    </row>
    <row r="110" spans="1:15" x14ac:dyDescent="0.3">
      <c r="A110">
        <v>109</v>
      </c>
      <c r="B110">
        <v>61</v>
      </c>
      <c r="C110" s="25" t="s">
        <v>16</v>
      </c>
      <c r="D110" s="25" t="s">
        <v>24</v>
      </c>
      <c r="E110">
        <v>120</v>
      </c>
      <c r="F110">
        <v>260</v>
      </c>
      <c r="G110" t="b">
        <v>0</v>
      </c>
      <c r="H110" s="25" t="s">
        <v>26</v>
      </c>
      <c r="I110">
        <v>140</v>
      </c>
      <c r="J110" t="b">
        <v>1</v>
      </c>
      <c r="K110" s="25" t="s">
        <v>25</v>
      </c>
      <c r="L110">
        <v>1</v>
      </c>
      <c r="M110" s="25" t="s">
        <v>27</v>
      </c>
      <c r="N110">
        <v>2</v>
      </c>
      <c r="O110">
        <v>0.6</v>
      </c>
    </row>
    <row r="111" spans="1:15" x14ac:dyDescent="0.3">
      <c r="A111">
        <v>110</v>
      </c>
      <c r="B111">
        <v>39</v>
      </c>
      <c r="C111" s="25" t="s">
        <v>16</v>
      </c>
      <c r="D111" s="25" t="s">
        <v>24</v>
      </c>
      <c r="E111">
        <v>118</v>
      </c>
      <c r="F111">
        <v>219</v>
      </c>
      <c r="G111" t="b">
        <v>0</v>
      </c>
      <c r="H111" s="25" t="s">
        <v>26</v>
      </c>
      <c r="I111">
        <v>140</v>
      </c>
      <c r="J111" t="b">
        <v>0</v>
      </c>
      <c r="K111" s="25" t="s">
        <v>25</v>
      </c>
      <c r="L111">
        <v>0</v>
      </c>
      <c r="M111" s="25" t="s">
        <v>27</v>
      </c>
      <c r="N111">
        <v>3</v>
      </c>
      <c r="O111">
        <v>0.2</v>
      </c>
    </row>
    <row r="112" spans="1:15" x14ac:dyDescent="0.3">
      <c r="A112">
        <v>111</v>
      </c>
      <c r="B112">
        <v>61</v>
      </c>
      <c r="C112" s="25" t="s">
        <v>29</v>
      </c>
      <c r="D112" s="25" t="s">
        <v>24</v>
      </c>
      <c r="E112">
        <v>145</v>
      </c>
      <c r="F112">
        <v>307</v>
      </c>
      <c r="G112" t="b">
        <v>0</v>
      </c>
      <c r="H112" s="25" t="s">
        <v>20</v>
      </c>
      <c r="I112">
        <v>146</v>
      </c>
      <c r="J112" t="b">
        <v>1</v>
      </c>
      <c r="K112" s="25" t="s">
        <v>25</v>
      </c>
      <c r="L112">
        <v>0</v>
      </c>
      <c r="M112" s="25" t="s">
        <v>27</v>
      </c>
      <c r="N112">
        <v>1</v>
      </c>
      <c r="O112">
        <v>1</v>
      </c>
    </row>
    <row r="113" spans="1:15" x14ac:dyDescent="0.3">
      <c r="A113">
        <v>112</v>
      </c>
      <c r="B113">
        <v>56</v>
      </c>
      <c r="C113" s="25" t="s">
        <v>16</v>
      </c>
      <c r="D113" s="25" t="s">
        <v>24</v>
      </c>
      <c r="E113">
        <v>125</v>
      </c>
      <c r="F113">
        <v>249</v>
      </c>
      <c r="G113" t="b">
        <v>1</v>
      </c>
      <c r="H113" s="25" t="s">
        <v>20</v>
      </c>
      <c r="I113">
        <v>144</v>
      </c>
      <c r="J113" t="b">
        <v>1</v>
      </c>
      <c r="K113" s="25" t="s">
        <v>25</v>
      </c>
      <c r="L113">
        <v>1</v>
      </c>
      <c r="M113" s="25" t="s">
        <v>26</v>
      </c>
      <c r="N113">
        <v>1</v>
      </c>
      <c r="O113">
        <v>0.2</v>
      </c>
    </row>
    <row r="114" spans="1:15" x14ac:dyDescent="0.3">
      <c r="A114">
        <v>113</v>
      </c>
      <c r="B114">
        <v>52</v>
      </c>
      <c r="C114" s="25" t="s">
        <v>16</v>
      </c>
      <c r="D114" s="25" t="s">
        <v>18</v>
      </c>
      <c r="E114">
        <v>118</v>
      </c>
      <c r="F114">
        <v>186</v>
      </c>
      <c r="G114" t="b">
        <v>0</v>
      </c>
      <c r="H114" s="25" t="s">
        <v>20</v>
      </c>
      <c r="I114">
        <v>190</v>
      </c>
      <c r="J114" t="b">
        <v>0</v>
      </c>
      <c r="K114" s="25" t="s">
        <v>25</v>
      </c>
      <c r="L114">
        <v>0</v>
      </c>
      <c r="M114" s="25" t="s">
        <v>23</v>
      </c>
      <c r="N114">
        <v>0</v>
      </c>
      <c r="O114">
        <v>0</v>
      </c>
    </row>
    <row r="115" spans="1:15" x14ac:dyDescent="0.3">
      <c r="A115">
        <v>114</v>
      </c>
      <c r="B115">
        <v>43</v>
      </c>
      <c r="C115" s="25" t="s">
        <v>29</v>
      </c>
      <c r="D115" s="25" t="s">
        <v>24</v>
      </c>
      <c r="E115">
        <v>132</v>
      </c>
      <c r="F115">
        <v>341</v>
      </c>
      <c r="G115" t="b">
        <v>1</v>
      </c>
      <c r="H115" s="25" t="s">
        <v>20</v>
      </c>
      <c r="I115">
        <v>136</v>
      </c>
      <c r="J115" t="b">
        <v>1</v>
      </c>
      <c r="K115" s="25" t="s">
        <v>25</v>
      </c>
      <c r="L115">
        <v>0</v>
      </c>
      <c r="M115" s="25" t="s">
        <v>27</v>
      </c>
      <c r="N115">
        <v>2</v>
      </c>
      <c r="O115">
        <v>3</v>
      </c>
    </row>
    <row r="116" spans="1:15" x14ac:dyDescent="0.3">
      <c r="A116">
        <v>115</v>
      </c>
      <c r="B116">
        <v>62</v>
      </c>
      <c r="C116" s="25" t="s">
        <v>29</v>
      </c>
      <c r="D116" s="25" t="s">
        <v>28</v>
      </c>
      <c r="E116">
        <v>130</v>
      </c>
      <c r="F116">
        <v>263</v>
      </c>
      <c r="G116" t="b">
        <v>0</v>
      </c>
      <c r="H116" s="25" t="s">
        <v>26</v>
      </c>
      <c r="I116">
        <v>97</v>
      </c>
      <c r="J116" t="b">
        <v>0</v>
      </c>
      <c r="K116" s="25" t="s">
        <v>25</v>
      </c>
      <c r="L116">
        <v>1</v>
      </c>
      <c r="M116" s="25" t="s">
        <v>27</v>
      </c>
      <c r="N116">
        <v>2</v>
      </c>
      <c r="O116">
        <v>0.2</v>
      </c>
    </row>
    <row r="117" spans="1:15" x14ac:dyDescent="0.3">
      <c r="A117">
        <v>116</v>
      </c>
      <c r="B117">
        <v>41</v>
      </c>
      <c r="C117" s="25" t="s">
        <v>16</v>
      </c>
      <c r="D117" s="25" t="s">
        <v>30</v>
      </c>
      <c r="E117">
        <v>135</v>
      </c>
      <c r="F117">
        <v>203</v>
      </c>
      <c r="G117" t="b">
        <v>0</v>
      </c>
      <c r="H117" s="25" t="s">
        <v>26</v>
      </c>
      <c r="I117">
        <v>132</v>
      </c>
      <c r="J117" t="b">
        <v>0</v>
      </c>
      <c r="K117" s="25" t="s">
        <v>25</v>
      </c>
      <c r="L117">
        <v>0</v>
      </c>
      <c r="M117" s="25" t="s">
        <v>23</v>
      </c>
      <c r="N117">
        <v>0</v>
      </c>
      <c r="O117">
        <v>0</v>
      </c>
    </row>
    <row r="118" spans="1:15" x14ac:dyDescent="0.3">
      <c r="A118">
        <v>117</v>
      </c>
      <c r="B118">
        <v>58</v>
      </c>
      <c r="C118" s="25" t="s">
        <v>16</v>
      </c>
      <c r="D118" s="25" t="s">
        <v>28</v>
      </c>
      <c r="E118">
        <v>140</v>
      </c>
      <c r="F118">
        <v>211</v>
      </c>
      <c r="G118" t="b">
        <v>1</v>
      </c>
      <c r="H118" s="25" t="s">
        <v>20</v>
      </c>
      <c r="I118">
        <v>165</v>
      </c>
      <c r="J118" t="b">
        <v>0</v>
      </c>
      <c r="K118" s="25" t="s">
        <v>31</v>
      </c>
      <c r="L118">
        <v>0</v>
      </c>
      <c r="M118" s="25" t="s">
        <v>26</v>
      </c>
      <c r="N118">
        <v>0</v>
      </c>
      <c r="O118">
        <v>0</v>
      </c>
    </row>
    <row r="119" spans="1:15" x14ac:dyDescent="0.3">
      <c r="A119">
        <v>118</v>
      </c>
      <c r="B119">
        <v>35</v>
      </c>
      <c r="C119" s="25" t="s">
        <v>29</v>
      </c>
      <c r="D119" s="25" t="s">
        <v>24</v>
      </c>
      <c r="E119">
        <v>138</v>
      </c>
      <c r="F119">
        <v>183</v>
      </c>
      <c r="G119" t="b">
        <v>0</v>
      </c>
      <c r="H119" s="25" t="s">
        <v>26</v>
      </c>
      <c r="I119">
        <v>182</v>
      </c>
      <c r="J119" t="b">
        <v>0</v>
      </c>
      <c r="K119" s="25" t="s">
        <v>31</v>
      </c>
      <c r="L119">
        <v>0</v>
      </c>
      <c r="M119" s="25" t="s">
        <v>26</v>
      </c>
      <c r="N119">
        <v>0</v>
      </c>
      <c r="O119">
        <v>0.4</v>
      </c>
    </row>
    <row r="120" spans="1:15" x14ac:dyDescent="0.3">
      <c r="A120">
        <v>119</v>
      </c>
      <c r="B120">
        <v>63</v>
      </c>
      <c r="C120" s="25" t="s">
        <v>16</v>
      </c>
      <c r="D120" s="25" t="s">
        <v>24</v>
      </c>
      <c r="E120">
        <v>130</v>
      </c>
      <c r="F120">
        <v>330</v>
      </c>
      <c r="G120" t="b">
        <v>1</v>
      </c>
      <c r="H120" s="25" t="s">
        <v>20</v>
      </c>
      <c r="I120">
        <v>132</v>
      </c>
      <c r="J120" t="b">
        <v>1</v>
      </c>
      <c r="K120" s="25" t="s">
        <v>31</v>
      </c>
      <c r="L120">
        <v>3</v>
      </c>
      <c r="M120" s="25" t="s">
        <v>27</v>
      </c>
      <c r="N120">
        <v>3</v>
      </c>
      <c r="O120">
        <v>0.8</v>
      </c>
    </row>
    <row r="121" spans="1:15" x14ac:dyDescent="0.3">
      <c r="A121">
        <v>120</v>
      </c>
      <c r="B121">
        <v>65</v>
      </c>
      <c r="C121" s="25" t="s">
        <v>16</v>
      </c>
      <c r="D121" s="25" t="s">
        <v>24</v>
      </c>
      <c r="E121">
        <v>135</v>
      </c>
      <c r="F121">
        <v>254</v>
      </c>
      <c r="G121" t="b">
        <v>0</v>
      </c>
      <c r="H121" s="25" t="s">
        <v>20</v>
      </c>
      <c r="I121">
        <v>127</v>
      </c>
      <c r="J121" t="b">
        <v>0</v>
      </c>
      <c r="K121" s="25" t="s">
        <v>25</v>
      </c>
      <c r="L121">
        <v>1</v>
      </c>
      <c r="M121" s="25" t="s">
        <v>27</v>
      </c>
      <c r="N121">
        <v>2</v>
      </c>
      <c r="O121">
        <v>0.8</v>
      </c>
    </row>
    <row r="122" spans="1:15" x14ac:dyDescent="0.3">
      <c r="A122">
        <v>121</v>
      </c>
      <c r="B122">
        <v>48</v>
      </c>
      <c r="C122" s="25" t="s">
        <v>16</v>
      </c>
      <c r="D122" s="25" t="s">
        <v>24</v>
      </c>
      <c r="E122">
        <v>130</v>
      </c>
      <c r="F122">
        <v>256</v>
      </c>
      <c r="G122" t="b">
        <v>1</v>
      </c>
      <c r="H122" s="25" t="s">
        <v>20</v>
      </c>
      <c r="I122">
        <v>150</v>
      </c>
      <c r="J122" t="b">
        <v>1</v>
      </c>
      <c r="K122" s="25" t="s">
        <v>31</v>
      </c>
      <c r="L122">
        <v>2</v>
      </c>
      <c r="M122" s="25" t="s">
        <v>27</v>
      </c>
      <c r="N122">
        <v>3</v>
      </c>
      <c r="O122">
        <v>0</v>
      </c>
    </row>
    <row r="123" spans="1:15" x14ac:dyDescent="0.3">
      <c r="A123">
        <v>122</v>
      </c>
      <c r="B123">
        <v>63</v>
      </c>
      <c r="C123" s="25" t="s">
        <v>29</v>
      </c>
      <c r="D123" s="25" t="s">
        <v>24</v>
      </c>
      <c r="E123">
        <v>150</v>
      </c>
      <c r="F123">
        <v>407</v>
      </c>
      <c r="G123" t="b">
        <v>0</v>
      </c>
      <c r="H123" s="25" t="s">
        <v>20</v>
      </c>
      <c r="I123">
        <v>154</v>
      </c>
      <c r="J123" t="b">
        <v>0</v>
      </c>
      <c r="K123" s="25" t="s">
        <v>25</v>
      </c>
      <c r="L123">
        <v>3</v>
      </c>
      <c r="M123" s="25" t="s">
        <v>27</v>
      </c>
      <c r="N123">
        <v>4</v>
      </c>
      <c r="O123">
        <v>4</v>
      </c>
    </row>
    <row r="124" spans="1:15" x14ac:dyDescent="0.3">
      <c r="A124">
        <v>123</v>
      </c>
      <c r="B124">
        <v>51</v>
      </c>
      <c r="C124" s="25" t="s">
        <v>16</v>
      </c>
      <c r="D124" s="25" t="s">
        <v>28</v>
      </c>
      <c r="E124">
        <v>100</v>
      </c>
      <c r="F124">
        <v>222</v>
      </c>
      <c r="G124" t="b">
        <v>0</v>
      </c>
      <c r="H124" s="25" t="s">
        <v>26</v>
      </c>
      <c r="I124">
        <v>143</v>
      </c>
      <c r="J124" t="b">
        <v>1</v>
      </c>
      <c r="K124" s="25" t="s">
        <v>25</v>
      </c>
      <c r="L124">
        <v>0</v>
      </c>
      <c r="M124" s="25" t="s">
        <v>26</v>
      </c>
      <c r="N124">
        <v>0</v>
      </c>
      <c r="O124">
        <v>0.2</v>
      </c>
    </row>
    <row r="125" spans="1:15" x14ac:dyDescent="0.3">
      <c r="A125">
        <v>124</v>
      </c>
      <c r="B125">
        <v>55</v>
      </c>
      <c r="C125" s="25" t="s">
        <v>16</v>
      </c>
      <c r="D125" s="25" t="s">
        <v>24</v>
      </c>
      <c r="E125">
        <v>140</v>
      </c>
      <c r="F125">
        <v>217</v>
      </c>
      <c r="G125" t="b">
        <v>0</v>
      </c>
      <c r="H125" s="25" t="s">
        <v>26</v>
      </c>
      <c r="I125">
        <v>111</v>
      </c>
      <c r="J125" t="b">
        <v>1</v>
      </c>
      <c r="K125" s="25" t="s">
        <v>22</v>
      </c>
      <c r="L125">
        <v>0</v>
      </c>
      <c r="M125" s="25" t="s">
        <v>27</v>
      </c>
      <c r="N125">
        <v>3</v>
      </c>
      <c r="O125">
        <v>0.6</v>
      </c>
    </row>
    <row r="126" spans="1:15" x14ac:dyDescent="0.3">
      <c r="A126">
        <v>125</v>
      </c>
      <c r="B126">
        <v>65</v>
      </c>
      <c r="C126" s="25" t="s">
        <v>16</v>
      </c>
      <c r="D126" s="25" t="s">
        <v>18</v>
      </c>
      <c r="E126">
        <v>138</v>
      </c>
      <c r="F126">
        <v>282</v>
      </c>
      <c r="G126" t="b">
        <v>1</v>
      </c>
      <c r="H126" s="25" t="s">
        <v>20</v>
      </c>
      <c r="I126">
        <v>174</v>
      </c>
      <c r="J126" t="b">
        <v>0</v>
      </c>
      <c r="K126" s="25" t="s">
        <v>25</v>
      </c>
      <c r="L126">
        <v>1</v>
      </c>
      <c r="M126" s="25" t="s">
        <v>26</v>
      </c>
      <c r="N126">
        <v>1</v>
      </c>
      <c r="O126">
        <v>0.4</v>
      </c>
    </row>
    <row r="127" spans="1:15" x14ac:dyDescent="0.3">
      <c r="A127">
        <v>126</v>
      </c>
      <c r="B127">
        <v>45</v>
      </c>
      <c r="C127" s="25" t="s">
        <v>29</v>
      </c>
      <c r="D127" s="25" t="s">
        <v>30</v>
      </c>
      <c r="E127">
        <v>130</v>
      </c>
      <c r="F127">
        <v>234</v>
      </c>
      <c r="G127" t="b">
        <v>0</v>
      </c>
      <c r="H127" s="25" t="s">
        <v>20</v>
      </c>
      <c r="I127">
        <v>175</v>
      </c>
      <c r="J127" t="b">
        <v>0</v>
      </c>
      <c r="K127" s="25" t="s">
        <v>25</v>
      </c>
      <c r="L127">
        <v>0</v>
      </c>
      <c r="M127" s="25" t="s">
        <v>26</v>
      </c>
      <c r="N127">
        <v>0</v>
      </c>
      <c r="O127">
        <v>0.6</v>
      </c>
    </row>
    <row r="128" spans="1:15" x14ac:dyDescent="0.3">
      <c r="A128">
        <v>127</v>
      </c>
      <c r="B128">
        <v>56</v>
      </c>
      <c r="C128" s="25" t="s">
        <v>29</v>
      </c>
      <c r="D128" s="25" t="s">
        <v>24</v>
      </c>
      <c r="E128">
        <v>200</v>
      </c>
      <c r="F128">
        <v>288</v>
      </c>
      <c r="G128" t="b">
        <v>1</v>
      </c>
      <c r="H128" s="25" t="s">
        <v>20</v>
      </c>
      <c r="I128">
        <v>133</v>
      </c>
      <c r="J128" t="b">
        <v>1</v>
      </c>
      <c r="K128" s="25" t="s">
        <v>22</v>
      </c>
      <c r="L128">
        <v>2</v>
      </c>
      <c r="M128" s="25" t="s">
        <v>27</v>
      </c>
      <c r="N128">
        <v>3</v>
      </c>
      <c r="O128">
        <v>4</v>
      </c>
    </row>
    <row r="129" spans="1:15" x14ac:dyDescent="0.3">
      <c r="A129">
        <v>128</v>
      </c>
      <c r="B129">
        <v>54</v>
      </c>
      <c r="C129" s="25" t="s">
        <v>16</v>
      </c>
      <c r="D129" s="25" t="s">
        <v>24</v>
      </c>
      <c r="E129">
        <v>110</v>
      </c>
      <c r="F129">
        <v>239</v>
      </c>
      <c r="G129" t="b">
        <v>0</v>
      </c>
      <c r="H129" s="25" t="s">
        <v>26</v>
      </c>
      <c r="I129">
        <v>126</v>
      </c>
      <c r="J129" t="b">
        <v>1</v>
      </c>
      <c r="K129" s="25" t="s">
        <v>25</v>
      </c>
      <c r="L129">
        <v>1</v>
      </c>
      <c r="M129" s="25" t="s">
        <v>27</v>
      </c>
      <c r="N129">
        <v>3</v>
      </c>
      <c r="O129">
        <v>0.8</v>
      </c>
    </row>
    <row r="130" spans="1:15" x14ac:dyDescent="0.3">
      <c r="A130">
        <v>129</v>
      </c>
      <c r="B130">
        <v>44</v>
      </c>
      <c r="C130" s="25" t="s">
        <v>16</v>
      </c>
      <c r="D130" s="25" t="s">
        <v>30</v>
      </c>
      <c r="E130">
        <v>120</v>
      </c>
      <c r="F130">
        <v>220</v>
      </c>
      <c r="G130" t="b">
        <v>0</v>
      </c>
      <c r="H130" s="25" t="s">
        <v>26</v>
      </c>
      <c r="I130">
        <v>170</v>
      </c>
      <c r="J130" t="b">
        <v>0</v>
      </c>
      <c r="K130" s="25" t="s">
        <v>31</v>
      </c>
      <c r="L130">
        <v>0</v>
      </c>
      <c r="M130" s="25" t="s">
        <v>26</v>
      </c>
      <c r="N130">
        <v>0</v>
      </c>
      <c r="O130">
        <v>0</v>
      </c>
    </row>
    <row r="131" spans="1:15" x14ac:dyDescent="0.3">
      <c r="A131">
        <v>130</v>
      </c>
      <c r="B131">
        <v>62</v>
      </c>
      <c r="C131" s="25" t="s">
        <v>29</v>
      </c>
      <c r="D131" s="25" t="s">
        <v>24</v>
      </c>
      <c r="E131">
        <v>124</v>
      </c>
      <c r="F131">
        <v>209</v>
      </c>
      <c r="G131" t="b">
        <v>0</v>
      </c>
      <c r="H131" s="25" t="s">
        <v>26</v>
      </c>
      <c r="I131">
        <v>163</v>
      </c>
      <c r="J131" t="b">
        <v>0</v>
      </c>
      <c r="K131" s="25" t="s">
        <v>31</v>
      </c>
      <c r="L131">
        <v>0</v>
      </c>
      <c r="M131" s="25" t="s">
        <v>26</v>
      </c>
      <c r="N131">
        <v>0</v>
      </c>
      <c r="O131">
        <v>0</v>
      </c>
    </row>
    <row r="132" spans="1:15" x14ac:dyDescent="0.3">
      <c r="A132">
        <v>131</v>
      </c>
      <c r="B132">
        <v>54</v>
      </c>
      <c r="C132" s="25" t="s">
        <v>16</v>
      </c>
      <c r="D132" s="25" t="s">
        <v>28</v>
      </c>
      <c r="E132">
        <v>120</v>
      </c>
      <c r="F132">
        <v>258</v>
      </c>
      <c r="G132" t="b">
        <v>0</v>
      </c>
      <c r="H132" s="25" t="s">
        <v>20</v>
      </c>
      <c r="I132">
        <v>147</v>
      </c>
      <c r="J132" t="b">
        <v>0</v>
      </c>
      <c r="K132" s="25" t="s">
        <v>25</v>
      </c>
      <c r="L132">
        <v>0</v>
      </c>
      <c r="M132" s="25" t="s">
        <v>27</v>
      </c>
      <c r="N132">
        <v>0</v>
      </c>
      <c r="O132">
        <v>0.4</v>
      </c>
    </row>
    <row r="133" spans="1:15" x14ac:dyDescent="0.3">
      <c r="A133">
        <v>132</v>
      </c>
      <c r="B133">
        <v>51</v>
      </c>
      <c r="C133" s="25" t="s">
        <v>16</v>
      </c>
      <c r="D133" s="25" t="s">
        <v>28</v>
      </c>
      <c r="E133">
        <v>94</v>
      </c>
      <c r="F133">
        <v>227</v>
      </c>
      <c r="G133" t="b">
        <v>0</v>
      </c>
      <c r="H133" s="25" t="s">
        <v>26</v>
      </c>
      <c r="I133">
        <v>154</v>
      </c>
      <c r="J133" t="b">
        <v>1</v>
      </c>
      <c r="K133" s="25" t="s">
        <v>31</v>
      </c>
      <c r="L133">
        <v>1</v>
      </c>
      <c r="M133" s="25" t="s">
        <v>27</v>
      </c>
      <c r="N133">
        <v>0</v>
      </c>
      <c r="O133">
        <v>0</v>
      </c>
    </row>
    <row r="134" spans="1:15" x14ac:dyDescent="0.3">
      <c r="A134">
        <v>133</v>
      </c>
      <c r="B134">
        <v>29</v>
      </c>
      <c r="C134" s="25" t="s">
        <v>16</v>
      </c>
      <c r="D134" s="25" t="s">
        <v>30</v>
      </c>
      <c r="E134">
        <v>130</v>
      </c>
      <c r="F134">
        <v>204</v>
      </c>
      <c r="G134" t="b">
        <v>0</v>
      </c>
      <c r="H134" s="25" t="s">
        <v>20</v>
      </c>
      <c r="I134">
        <v>202</v>
      </c>
      <c r="J134" t="b">
        <v>0</v>
      </c>
      <c r="K134" s="25" t="s">
        <v>31</v>
      </c>
      <c r="L134">
        <v>0</v>
      </c>
      <c r="M134" s="25" t="s">
        <v>26</v>
      </c>
      <c r="N134">
        <v>0</v>
      </c>
      <c r="O134">
        <v>0</v>
      </c>
    </row>
    <row r="135" spans="1:15" x14ac:dyDescent="0.3">
      <c r="A135">
        <v>134</v>
      </c>
      <c r="B135">
        <v>51</v>
      </c>
      <c r="C135" s="25" t="s">
        <v>16</v>
      </c>
      <c r="D135" s="25" t="s">
        <v>24</v>
      </c>
      <c r="E135">
        <v>140</v>
      </c>
      <c r="F135">
        <v>261</v>
      </c>
      <c r="G135" t="b">
        <v>0</v>
      </c>
      <c r="H135" s="25" t="s">
        <v>20</v>
      </c>
      <c r="I135">
        <v>186</v>
      </c>
      <c r="J135" t="b">
        <v>1</v>
      </c>
      <c r="K135" s="25" t="s">
        <v>31</v>
      </c>
      <c r="L135">
        <v>0</v>
      </c>
      <c r="M135" s="25" t="s">
        <v>26</v>
      </c>
      <c r="N135">
        <v>0</v>
      </c>
      <c r="O135">
        <v>0</v>
      </c>
    </row>
    <row r="136" spans="1:15" x14ac:dyDescent="0.3">
      <c r="A136">
        <v>135</v>
      </c>
      <c r="B136">
        <v>43</v>
      </c>
      <c r="C136" s="25" t="s">
        <v>29</v>
      </c>
      <c r="D136" s="25" t="s">
        <v>28</v>
      </c>
      <c r="E136">
        <v>122</v>
      </c>
      <c r="F136">
        <v>213</v>
      </c>
      <c r="G136" t="b">
        <v>0</v>
      </c>
      <c r="H136" s="25" t="s">
        <v>26</v>
      </c>
      <c r="I136">
        <v>165</v>
      </c>
      <c r="J136" t="b">
        <v>0</v>
      </c>
      <c r="K136" s="25" t="s">
        <v>25</v>
      </c>
      <c r="L136">
        <v>0</v>
      </c>
      <c r="M136" s="25" t="s">
        <v>26</v>
      </c>
      <c r="N136">
        <v>0</v>
      </c>
      <c r="O136">
        <v>0.2</v>
      </c>
    </row>
    <row r="137" spans="1:15" x14ac:dyDescent="0.3">
      <c r="A137">
        <v>136</v>
      </c>
      <c r="B137">
        <v>55</v>
      </c>
      <c r="C137" s="25" t="s">
        <v>29</v>
      </c>
      <c r="D137" s="25" t="s">
        <v>30</v>
      </c>
      <c r="E137">
        <v>135</v>
      </c>
      <c r="F137">
        <v>250</v>
      </c>
      <c r="G137" t="b">
        <v>0</v>
      </c>
      <c r="H137" s="25" t="s">
        <v>20</v>
      </c>
      <c r="I137">
        <v>161</v>
      </c>
      <c r="J137" t="b">
        <v>0</v>
      </c>
      <c r="K137" s="25" t="s">
        <v>25</v>
      </c>
      <c r="L137">
        <v>0</v>
      </c>
      <c r="M137" s="25" t="s">
        <v>26</v>
      </c>
      <c r="N137">
        <v>0</v>
      </c>
      <c r="O137">
        <v>0.4</v>
      </c>
    </row>
    <row r="138" spans="1:15" x14ac:dyDescent="0.3">
      <c r="A138">
        <v>137</v>
      </c>
      <c r="B138">
        <v>70</v>
      </c>
      <c r="C138" s="25" t="s">
        <v>16</v>
      </c>
      <c r="D138" s="25" t="s">
        <v>24</v>
      </c>
      <c r="E138">
        <v>145</v>
      </c>
      <c r="F138">
        <v>174</v>
      </c>
      <c r="G138" t="b">
        <v>0</v>
      </c>
      <c r="H138" s="25" t="s">
        <v>26</v>
      </c>
      <c r="I138">
        <v>125</v>
      </c>
      <c r="J138" t="b">
        <v>1</v>
      </c>
      <c r="K138" s="25" t="s">
        <v>22</v>
      </c>
      <c r="L138">
        <v>0</v>
      </c>
      <c r="M138" s="25" t="s">
        <v>27</v>
      </c>
      <c r="N138">
        <v>4</v>
      </c>
      <c r="O138">
        <v>0.6</v>
      </c>
    </row>
    <row r="139" spans="1:15" x14ac:dyDescent="0.3">
      <c r="A139">
        <v>138</v>
      </c>
      <c r="B139">
        <v>62</v>
      </c>
      <c r="C139" s="25" t="s">
        <v>16</v>
      </c>
      <c r="D139" s="25" t="s">
        <v>30</v>
      </c>
      <c r="E139">
        <v>120</v>
      </c>
      <c r="F139">
        <v>281</v>
      </c>
      <c r="G139" t="b">
        <v>0</v>
      </c>
      <c r="H139" s="25" t="s">
        <v>20</v>
      </c>
      <c r="I139">
        <v>103</v>
      </c>
      <c r="J139" t="b">
        <v>0</v>
      </c>
      <c r="K139" s="25" t="s">
        <v>25</v>
      </c>
      <c r="L139">
        <v>1</v>
      </c>
      <c r="M139" s="25" t="s">
        <v>27</v>
      </c>
      <c r="N139">
        <v>3</v>
      </c>
      <c r="O139">
        <v>0.4</v>
      </c>
    </row>
    <row r="140" spans="1:15" x14ac:dyDescent="0.3">
      <c r="A140">
        <v>139</v>
      </c>
      <c r="B140">
        <v>35</v>
      </c>
      <c r="C140" s="25" t="s">
        <v>16</v>
      </c>
      <c r="D140" s="25" t="s">
        <v>24</v>
      </c>
      <c r="E140">
        <v>120</v>
      </c>
      <c r="F140">
        <v>198</v>
      </c>
      <c r="G140" t="b">
        <v>0</v>
      </c>
      <c r="H140" s="25" t="s">
        <v>26</v>
      </c>
      <c r="I140">
        <v>130</v>
      </c>
      <c r="J140" t="b">
        <v>1</v>
      </c>
      <c r="K140" s="25" t="s">
        <v>25</v>
      </c>
      <c r="L140">
        <v>0</v>
      </c>
      <c r="M140" s="25" t="s">
        <v>27</v>
      </c>
      <c r="N140">
        <v>1</v>
      </c>
      <c r="O140">
        <v>0.6</v>
      </c>
    </row>
    <row r="141" spans="1:15" x14ac:dyDescent="0.3">
      <c r="A141">
        <v>140</v>
      </c>
      <c r="B141">
        <v>51</v>
      </c>
      <c r="C141" s="25" t="s">
        <v>16</v>
      </c>
      <c r="D141" s="25" t="s">
        <v>28</v>
      </c>
      <c r="E141">
        <v>125</v>
      </c>
      <c r="F141">
        <v>245</v>
      </c>
      <c r="G141" t="b">
        <v>1</v>
      </c>
      <c r="H141" s="25" t="s">
        <v>20</v>
      </c>
      <c r="I141">
        <v>166</v>
      </c>
      <c r="J141" t="b">
        <v>0</v>
      </c>
      <c r="K141" s="25" t="s">
        <v>25</v>
      </c>
      <c r="L141">
        <v>0</v>
      </c>
      <c r="M141" s="25" t="s">
        <v>26</v>
      </c>
      <c r="N141">
        <v>0</v>
      </c>
      <c r="O141">
        <v>0.4</v>
      </c>
    </row>
    <row r="142" spans="1:15" x14ac:dyDescent="0.3">
      <c r="A142">
        <v>141</v>
      </c>
      <c r="B142">
        <v>59</v>
      </c>
      <c r="C142" s="25" t="s">
        <v>16</v>
      </c>
      <c r="D142" s="25" t="s">
        <v>30</v>
      </c>
      <c r="E142">
        <v>140</v>
      </c>
      <c r="F142">
        <v>221</v>
      </c>
      <c r="G142" t="b">
        <v>0</v>
      </c>
      <c r="H142" s="25" t="s">
        <v>26</v>
      </c>
      <c r="I142">
        <v>164</v>
      </c>
      <c r="J142" t="b">
        <v>1</v>
      </c>
      <c r="K142" s="25" t="s">
        <v>31</v>
      </c>
      <c r="L142">
        <v>0</v>
      </c>
      <c r="M142" s="25" t="s">
        <v>26</v>
      </c>
      <c r="N142">
        <v>0</v>
      </c>
      <c r="O142">
        <v>0</v>
      </c>
    </row>
    <row r="143" spans="1:15" x14ac:dyDescent="0.3">
      <c r="A143">
        <v>142</v>
      </c>
      <c r="B143">
        <v>59</v>
      </c>
      <c r="C143" s="25" t="s">
        <v>16</v>
      </c>
      <c r="D143" s="25" t="s">
        <v>18</v>
      </c>
      <c r="E143">
        <v>170</v>
      </c>
      <c r="F143">
        <v>288</v>
      </c>
      <c r="G143" t="b">
        <v>0</v>
      </c>
      <c r="H143" s="25" t="s">
        <v>20</v>
      </c>
      <c r="I143">
        <v>159</v>
      </c>
      <c r="J143" t="b">
        <v>0</v>
      </c>
      <c r="K143" s="25" t="s">
        <v>25</v>
      </c>
      <c r="L143">
        <v>0</v>
      </c>
      <c r="M143" s="25" t="s">
        <v>27</v>
      </c>
      <c r="N143">
        <v>1</v>
      </c>
      <c r="O143">
        <v>0.2</v>
      </c>
    </row>
    <row r="144" spans="1:15" x14ac:dyDescent="0.3">
      <c r="A144">
        <v>143</v>
      </c>
      <c r="B144">
        <v>52</v>
      </c>
      <c r="C144" s="25" t="s">
        <v>16</v>
      </c>
      <c r="D144" s="25" t="s">
        <v>30</v>
      </c>
      <c r="E144">
        <v>128</v>
      </c>
      <c r="F144">
        <v>205</v>
      </c>
      <c r="G144" t="b">
        <v>1</v>
      </c>
      <c r="H144" s="25" t="s">
        <v>26</v>
      </c>
      <c r="I144">
        <v>184</v>
      </c>
      <c r="J144" t="b">
        <v>0</v>
      </c>
      <c r="K144" s="25" t="s">
        <v>31</v>
      </c>
      <c r="L144">
        <v>0</v>
      </c>
      <c r="M144" s="25" t="s">
        <v>26</v>
      </c>
      <c r="N144">
        <v>0</v>
      </c>
      <c r="O144">
        <v>0</v>
      </c>
    </row>
    <row r="145" spans="1:15" x14ac:dyDescent="0.3">
      <c r="A145">
        <v>144</v>
      </c>
      <c r="B145">
        <v>64</v>
      </c>
      <c r="C145" s="25" t="s">
        <v>16</v>
      </c>
      <c r="D145" s="25" t="s">
        <v>28</v>
      </c>
      <c r="E145">
        <v>125</v>
      </c>
      <c r="F145">
        <v>309</v>
      </c>
      <c r="G145" t="b">
        <v>0</v>
      </c>
      <c r="H145" s="25" t="s">
        <v>26</v>
      </c>
      <c r="I145">
        <v>131</v>
      </c>
      <c r="J145" t="b">
        <v>1</v>
      </c>
      <c r="K145" s="25" t="s">
        <v>25</v>
      </c>
      <c r="L145">
        <v>0</v>
      </c>
      <c r="M145" s="25" t="s">
        <v>27</v>
      </c>
      <c r="N145">
        <v>1</v>
      </c>
      <c r="O145">
        <v>0.8</v>
      </c>
    </row>
    <row r="146" spans="1:15" x14ac:dyDescent="0.3">
      <c r="A146">
        <v>145</v>
      </c>
      <c r="B146">
        <v>58</v>
      </c>
      <c r="C146" s="25" t="s">
        <v>16</v>
      </c>
      <c r="D146" s="25" t="s">
        <v>28</v>
      </c>
      <c r="E146">
        <v>105</v>
      </c>
      <c r="F146">
        <v>240</v>
      </c>
      <c r="G146" t="b">
        <v>0</v>
      </c>
      <c r="H146" s="25" t="s">
        <v>20</v>
      </c>
      <c r="I146">
        <v>154</v>
      </c>
      <c r="J146" t="b">
        <v>1</v>
      </c>
      <c r="K146" s="25" t="s">
        <v>25</v>
      </c>
      <c r="L146">
        <v>0</v>
      </c>
      <c r="M146" s="25" t="s">
        <v>27</v>
      </c>
      <c r="N146">
        <v>0</v>
      </c>
      <c r="O146">
        <v>0.6</v>
      </c>
    </row>
    <row r="147" spans="1:15" x14ac:dyDescent="0.3">
      <c r="A147">
        <v>146</v>
      </c>
      <c r="B147">
        <v>47</v>
      </c>
      <c r="C147" s="25" t="s">
        <v>16</v>
      </c>
      <c r="D147" s="25" t="s">
        <v>28</v>
      </c>
      <c r="E147">
        <v>108</v>
      </c>
      <c r="F147">
        <v>243</v>
      </c>
      <c r="G147" t="b">
        <v>0</v>
      </c>
      <c r="H147" s="25" t="s">
        <v>26</v>
      </c>
      <c r="I147">
        <v>152</v>
      </c>
      <c r="J147" t="b">
        <v>0</v>
      </c>
      <c r="K147" s="25" t="s">
        <v>31</v>
      </c>
      <c r="L147">
        <v>0</v>
      </c>
      <c r="M147" s="25" t="s">
        <v>26</v>
      </c>
      <c r="N147">
        <v>1</v>
      </c>
      <c r="O147">
        <v>0</v>
      </c>
    </row>
    <row r="148" spans="1:15" x14ac:dyDescent="0.3">
      <c r="A148">
        <v>147</v>
      </c>
      <c r="B148">
        <v>57</v>
      </c>
      <c r="C148" s="25" t="s">
        <v>16</v>
      </c>
      <c r="D148" s="25" t="s">
        <v>24</v>
      </c>
      <c r="E148">
        <v>165</v>
      </c>
      <c r="F148">
        <v>289</v>
      </c>
      <c r="G148" t="b">
        <v>1</v>
      </c>
      <c r="H148" s="25" t="s">
        <v>20</v>
      </c>
      <c r="I148">
        <v>124</v>
      </c>
      <c r="J148" t="b">
        <v>0</v>
      </c>
      <c r="K148" s="25" t="s">
        <v>25</v>
      </c>
      <c r="L148">
        <v>3</v>
      </c>
      <c r="M148" s="25" t="s">
        <v>27</v>
      </c>
      <c r="N148">
        <v>4</v>
      </c>
      <c r="O148">
        <v>1</v>
      </c>
    </row>
    <row r="149" spans="1:15" x14ac:dyDescent="0.3">
      <c r="A149">
        <v>148</v>
      </c>
      <c r="B149">
        <v>41</v>
      </c>
      <c r="C149" s="25" t="s">
        <v>16</v>
      </c>
      <c r="D149" s="25" t="s">
        <v>28</v>
      </c>
      <c r="E149">
        <v>112</v>
      </c>
      <c r="F149">
        <v>250</v>
      </c>
      <c r="G149" t="b">
        <v>0</v>
      </c>
      <c r="H149" s="25" t="s">
        <v>26</v>
      </c>
      <c r="I149">
        <v>179</v>
      </c>
      <c r="J149" t="b">
        <v>0</v>
      </c>
      <c r="K149" s="25" t="s">
        <v>31</v>
      </c>
      <c r="L149">
        <v>0</v>
      </c>
      <c r="M149" s="25" t="s">
        <v>26</v>
      </c>
      <c r="N149">
        <v>0</v>
      </c>
      <c r="O149">
        <v>0</v>
      </c>
    </row>
    <row r="150" spans="1:15" x14ac:dyDescent="0.3">
      <c r="A150">
        <v>149</v>
      </c>
      <c r="B150">
        <v>45</v>
      </c>
      <c r="C150" s="25" t="s">
        <v>16</v>
      </c>
      <c r="D150" s="25" t="s">
        <v>30</v>
      </c>
      <c r="E150">
        <v>128</v>
      </c>
      <c r="F150">
        <v>308</v>
      </c>
      <c r="G150" t="b">
        <v>0</v>
      </c>
      <c r="H150" s="25" t="s">
        <v>20</v>
      </c>
      <c r="I150">
        <v>170</v>
      </c>
      <c r="J150" t="b">
        <v>0</v>
      </c>
      <c r="K150" s="25" t="s">
        <v>31</v>
      </c>
      <c r="L150">
        <v>0</v>
      </c>
      <c r="M150" s="25" t="s">
        <v>26</v>
      </c>
      <c r="N150">
        <v>0</v>
      </c>
      <c r="O150">
        <v>0</v>
      </c>
    </row>
    <row r="151" spans="1:15" x14ac:dyDescent="0.3">
      <c r="A151">
        <v>150</v>
      </c>
      <c r="B151">
        <v>60</v>
      </c>
      <c r="C151" s="25" t="s">
        <v>29</v>
      </c>
      <c r="D151" s="25" t="s">
        <v>28</v>
      </c>
      <c r="E151">
        <v>102</v>
      </c>
      <c r="F151">
        <v>318</v>
      </c>
      <c r="G151" t="b">
        <v>0</v>
      </c>
      <c r="H151" s="25" t="s">
        <v>26</v>
      </c>
      <c r="I151">
        <v>160</v>
      </c>
      <c r="J151" t="b">
        <v>0</v>
      </c>
      <c r="K151" s="25" t="s">
        <v>31</v>
      </c>
      <c r="L151">
        <v>1</v>
      </c>
      <c r="M151" s="25" t="s">
        <v>26</v>
      </c>
      <c r="N151">
        <v>0</v>
      </c>
      <c r="O151">
        <v>0</v>
      </c>
    </row>
    <row r="152" spans="1:15" x14ac:dyDescent="0.3">
      <c r="A152">
        <v>151</v>
      </c>
      <c r="B152">
        <v>52</v>
      </c>
      <c r="C152" s="25" t="s">
        <v>16</v>
      </c>
      <c r="D152" s="25" t="s">
        <v>18</v>
      </c>
      <c r="E152">
        <v>152</v>
      </c>
      <c r="F152">
        <v>298</v>
      </c>
      <c r="G152" t="b">
        <v>1</v>
      </c>
      <c r="H152" s="25" t="s">
        <v>26</v>
      </c>
      <c r="I152">
        <v>178</v>
      </c>
      <c r="J152" t="b">
        <v>0</v>
      </c>
      <c r="K152" s="25" t="s">
        <v>25</v>
      </c>
      <c r="L152">
        <v>0</v>
      </c>
      <c r="M152" s="25" t="s">
        <v>27</v>
      </c>
      <c r="N152">
        <v>0</v>
      </c>
      <c r="O152">
        <v>0.2</v>
      </c>
    </row>
    <row r="153" spans="1:15" x14ac:dyDescent="0.3">
      <c r="A153">
        <v>152</v>
      </c>
      <c r="B153">
        <v>42</v>
      </c>
      <c r="C153" s="25" t="s">
        <v>29</v>
      </c>
      <c r="D153" s="25" t="s">
        <v>24</v>
      </c>
      <c r="E153">
        <v>102</v>
      </c>
      <c r="F153">
        <v>265</v>
      </c>
      <c r="G153" t="b">
        <v>0</v>
      </c>
      <c r="H153" s="25" t="s">
        <v>20</v>
      </c>
      <c r="I153">
        <v>122</v>
      </c>
      <c r="J153" t="b">
        <v>0</v>
      </c>
      <c r="K153" s="25" t="s">
        <v>25</v>
      </c>
      <c r="L153">
        <v>0</v>
      </c>
      <c r="M153" s="25" t="s">
        <v>26</v>
      </c>
      <c r="N153">
        <v>0</v>
      </c>
      <c r="O153">
        <v>0.6</v>
      </c>
    </row>
    <row r="154" spans="1:15" x14ac:dyDescent="0.3">
      <c r="A154">
        <v>153</v>
      </c>
      <c r="B154">
        <v>67</v>
      </c>
      <c r="C154" s="25" t="s">
        <v>29</v>
      </c>
      <c r="D154" s="25" t="s">
        <v>28</v>
      </c>
      <c r="E154">
        <v>115</v>
      </c>
      <c r="F154">
        <v>564</v>
      </c>
      <c r="G154" t="b">
        <v>0</v>
      </c>
      <c r="H154" s="25" t="s">
        <v>20</v>
      </c>
      <c r="I154">
        <v>160</v>
      </c>
      <c r="J154" t="b">
        <v>0</v>
      </c>
      <c r="K154" s="25" t="s">
        <v>25</v>
      </c>
      <c r="L154">
        <v>0</v>
      </c>
      <c r="M154" s="25" t="s">
        <v>27</v>
      </c>
      <c r="N154">
        <v>0</v>
      </c>
      <c r="O154">
        <v>0.6</v>
      </c>
    </row>
    <row r="155" spans="1:15" x14ac:dyDescent="0.3">
      <c r="A155">
        <v>154</v>
      </c>
      <c r="B155">
        <v>55</v>
      </c>
      <c r="C155" s="25" t="s">
        <v>16</v>
      </c>
      <c r="D155" s="25" t="s">
        <v>24</v>
      </c>
      <c r="E155">
        <v>160</v>
      </c>
      <c r="F155">
        <v>289</v>
      </c>
      <c r="G155" t="b">
        <v>0</v>
      </c>
      <c r="H155" s="25" t="s">
        <v>20</v>
      </c>
      <c r="I155">
        <v>145</v>
      </c>
      <c r="J155" t="b">
        <v>1</v>
      </c>
      <c r="K155" s="25" t="s">
        <v>25</v>
      </c>
      <c r="L155">
        <v>1</v>
      </c>
      <c r="M155" s="25" t="s">
        <v>27</v>
      </c>
      <c r="N155">
        <v>4</v>
      </c>
      <c r="O155">
        <v>0.8</v>
      </c>
    </row>
    <row r="156" spans="1:15" x14ac:dyDescent="0.3">
      <c r="A156">
        <v>155</v>
      </c>
      <c r="B156">
        <v>64</v>
      </c>
      <c r="C156" s="25" t="s">
        <v>16</v>
      </c>
      <c r="D156" s="25" t="s">
        <v>24</v>
      </c>
      <c r="E156">
        <v>120</v>
      </c>
      <c r="F156">
        <v>246</v>
      </c>
      <c r="G156" t="b">
        <v>0</v>
      </c>
      <c r="H156" s="25" t="s">
        <v>20</v>
      </c>
      <c r="I156">
        <v>96</v>
      </c>
      <c r="J156" t="b">
        <v>1</v>
      </c>
      <c r="K156" s="25" t="s">
        <v>22</v>
      </c>
      <c r="L156">
        <v>1</v>
      </c>
      <c r="M156" s="25" t="s">
        <v>26</v>
      </c>
      <c r="N156">
        <v>3</v>
      </c>
      <c r="O156">
        <v>0.2</v>
      </c>
    </row>
    <row r="157" spans="1:15" x14ac:dyDescent="0.3">
      <c r="A157">
        <v>156</v>
      </c>
      <c r="B157">
        <v>70</v>
      </c>
      <c r="C157" s="25" t="s">
        <v>16</v>
      </c>
      <c r="D157" s="25" t="s">
        <v>24</v>
      </c>
      <c r="E157">
        <v>130</v>
      </c>
      <c r="F157">
        <v>322</v>
      </c>
      <c r="G157" t="b">
        <v>0</v>
      </c>
      <c r="H157" s="25" t="s">
        <v>20</v>
      </c>
      <c r="I157">
        <v>109</v>
      </c>
      <c r="J157" t="b">
        <v>0</v>
      </c>
      <c r="K157" s="25" t="s">
        <v>25</v>
      </c>
      <c r="L157">
        <v>3</v>
      </c>
      <c r="M157" s="25" t="s">
        <v>26</v>
      </c>
      <c r="N157">
        <v>1</v>
      </c>
      <c r="O157">
        <v>0.4</v>
      </c>
    </row>
    <row r="158" spans="1:15" x14ac:dyDescent="0.3">
      <c r="A158">
        <v>157</v>
      </c>
      <c r="B158">
        <v>51</v>
      </c>
      <c r="C158" s="25" t="s">
        <v>16</v>
      </c>
      <c r="D158" s="25" t="s">
        <v>24</v>
      </c>
      <c r="E158">
        <v>140</v>
      </c>
      <c r="F158">
        <v>299</v>
      </c>
      <c r="G158" t="b">
        <v>0</v>
      </c>
      <c r="H158" s="25" t="s">
        <v>26</v>
      </c>
      <c r="I158">
        <v>173</v>
      </c>
      <c r="J158" t="b">
        <v>1</v>
      </c>
      <c r="K158" s="25" t="s">
        <v>31</v>
      </c>
      <c r="L158">
        <v>0</v>
      </c>
      <c r="M158" s="25" t="s">
        <v>27</v>
      </c>
      <c r="N158">
        <v>1</v>
      </c>
      <c r="O158">
        <v>0.6</v>
      </c>
    </row>
    <row r="159" spans="1:15" x14ac:dyDescent="0.3">
      <c r="A159">
        <v>158</v>
      </c>
      <c r="B159">
        <v>58</v>
      </c>
      <c r="C159" s="25" t="s">
        <v>16</v>
      </c>
      <c r="D159" s="25" t="s">
        <v>24</v>
      </c>
      <c r="E159">
        <v>125</v>
      </c>
      <c r="F159">
        <v>300</v>
      </c>
      <c r="G159" t="b">
        <v>0</v>
      </c>
      <c r="H159" s="25" t="s">
        <v>20</v>
      </c>
      <c r="I159">
        <v>171</v>
      </c>
      <c r="J159" t="b">
        <v>0</v>
      </c>
      <c r="K159" s="25" t="s">
        <v>31</v>
      </c>
      <c r="L159">
        <v>2</v>
      </c>
      <c r="M159" s="25" t="s">
        <v>27</v>
      </c>
      <c r="N159">
        <v>1</v>
      </c>
      <c r="O159">
        <v>0</v>
      </c>
    </row>
    <row r="160" spans="1:15" x14ac:dyDescent="0.3">
      <c r="A160">
        <v>159</v>
      </c>
      <c r="B160">
        <v>60</v>
      </c>
      <c r="C160" s="25" t="s">
        <v>16</v>
      </c>
      <c r="D160" s="25" t="s">
        <v>24</v>
      </c>
      <c r="E160">
        <v>140</v>
      </c>
      <c r="F160">
        <v>293</v>
      </c>
      <c r="G160" t="b">
        <v>0</v>
      </c>
      <c r="H160" s="25" t="s">
        <v>20</v>
      </c>
      <c r="I160">
        <v>170</v>
      </c>
      <c r="J160" t="b">
        <v>0</v>
      </c>
      <c r="K160" s="25" t="s">
        <v>25</v>
      </c>
      <c r="L160">
        <v>2</v>
      </c>
      <c r="M160" s="25" t="s">
        <v>27</v>
      </c>
      <c r="N160">
        <v>2</v>
      </c>
      <c r="O160">
        <v>0.2</v>
      </c>
    </row>
    <row r="161" spans="1:15" x14ac:dyDescent="0.3">
      <c r="A161">
        <v>160</v>
      </c>
      <c r="B161">
        <v>68</v>
      </c>
      <c r="C161" s="25" t="s">
        <v>16</v>
      </c>
      <c r="D161" s="25" t="s">
        <v>28</v>
      </c>
      <c r="E161">
        <v>118</v>
      </c>
      <c r="F161">
        <v>277</v>
      </c>
      <c r="G161" t="b">
        <v>0</v>
      </c>
      <c r="H161" s="25" t="s">
        <v>26</v>
      </c>
      <c r="I161">
        <v>151</v>
      </c>
      <c r="J161" t="b">
        <v>0</v>
      </c>
      <c r="K161" s="25" t="s">
        <v>31</v>
      </c>
      <c r="L161">
        <v>1</v>
      </c>
      <c r="M161" s="25" t="s">
        <v>27</v>
      </c>
      <c r="N161">
        <v>0</v>
      </c>
      <c r="O161">
        <v>1</v>
      </c>
    </row>
    <row r="162" spans="1:15" x14ac:dyDescent="0.3">
      <c r="A162">
        <v>161</v>
      </c>
      <c r="B162">
        <v>46</v>
      </c>
      <c r="C162" s="25" t="s">
        <v>16</v>
      </c>
      <c r="D162" s="25" t="s">
        <v>30</v>
      </c>
      <c r="E162">
        <v>101</v>
      </c>
      <c r="F162">
        <v>197</v>
      </c>
      <c r="G162" t="b">
        <v>1</v>
      </c>
      <c r="H162" s="25" t="s">
        <v>26</v>
      </c>
      <c r="I162">
        <v>156</v>
      </c>
      <c r="J162" t="b">
        <v>0</v>
      </c>
      <c r="K162" s="25" t="s">
        <v>31</v>
      </c>
      <c r="L162">
        <v>0</v>
      </c>
      <c r="M162" s="25" t="s">
        <v>27</v>
      </c>
      <c r="N162">
        <v>0</v>
      </c>
      <c r="O162">
        <v>0</v>
      </c>
    </row>
    <row r="163" spans="1:15" x14ac:dyDescent="0.3">
      <c r="A163">
        <v>162</v>
      </c>
      <c r="B163">
        <v>77</v>
      </c>
      <c r="C163" s="25" t="s">
        <v>16</v>
      </c>
      <c r="D163" s="25" t="s">
        <v>24</v>
      </c>
      <c r="E163">
        <v>125</v>
      </c>
      <c r="F163">
        <v>304</v>
      </c>
      <c r="G163" t="b">
        <v>0</v>
      </c>
      <c r="H163" s="25" t="s">
        <v>20</v>
      </c>
      <c r="I163">
        <v>162</v>
      </c>
      <c r="J163" t="b">
        <v>1</v>
      </c>
      <c r="K163" s="25" t="s">
        <v>31</v>
      </c>
      <c r="L163">
        <v>3</v>
      </c>
      <c r="M163" s="25" t="s">
        <v>26</v>
      </c>
      <c r="N163">
        <v>4</v>
      </c>
      <c r="O163">
        <v>0</v>
      </c>
    </row>
    <row r="164" spans="1:15" x14ac:dyDescent="0.3">
      <c r="A164">
        <v>163</v>
      </c>
      <c r="B164">
        <v>54</v>
      </c>
      <c r="C164" s="25" t="s">
        <v>29</v>
      </c>
      <c r="D164" s="25" t="s">
        <v>28</v>
      </c>
      <c r="E164">
        <v>110</v>
      </c>
      <c r="F164">
        <v>214</v>
      </c>
      <c r="G164" t="b">
        <v>0</v>
      </c>
      <c r="H164" s="25" t="s">
        <v>26</v>
      </c>
      <c r="I164">
        <v>158</v>
      </c>
      <c r="J164" t="b">
        <v>0</v>
      </c>
      <c r="K164" s="25" t="s">
        <v>25</v>
      </c>
      <c r="L164">
        <v>0</v>
      </c>
      <c r="M164" s="25" t="s">
        <v>26</v>
      </c>
      <c r="N164">
        <v>0</v>
      </c>
      <c r="O164">
        <v>0.6</v>
      </c>
    </row>
    <row r="165" spans="1:15" x14ac:dyDescent="0.3">
      <c r="A165">
        <v>164</v>
      </c>
      <c r="B165">
        <v>58</v>
      </c>
      <c r="C165" s="25" t="s">
        <v>29</v>
      </c>
      <c r="D165" s="25" t="s">
        <v>24</v>
      </c>
      <c r="E165">
        <v>100</v>
      </c>
      <c r="F165">
        <v>248</v>
      </c>
      <c r="G165" t="b">
        <v>0</v>
      </c>
      <c r="H165" s="25" t="s">
        <v>20</v>
      </c>
      <c r="I165">
        <v>122</v>
      </c>
      <c r="J165" t="b">
        <v>0</v>
      </c>
      <c r="K165" s="25" t="s">
        <v>25</v>
      </c>
      <c r="L165">
        <v>0</v>
      </c>
      <c r="M165" s="25" t="s">
        <v>26</v>
      </c>
      <c r="N165">
        <v>0</v>
      </c>
      <c r="O165">
        <v>1</v>
      </c>
    </row>
    <row r="166" spans="1:15" x14ac:dyDescent="0.3">
      <c r="A166">
        <v>165</v>
      </c>
      <c r="B166">
        <v>48</v>
      </c>
      <c r="C166" s="25" t="s">
        <v>16</v>
      </c>
      <c r="D166" s="25" t="s">
        <v>28</v>
      </c>
      <c r="E166">
        <v>124</v>
      </c>
      <c r="F166">
        <v>255</v>
      </c>
      <c r="G166" t="b">
        <v>1</v>
      </c>
      <c r="H166" s="25" t="s">
        <v>26</v>
      </c>
      <c r="I166">
        <v>175</v>
      </c>
      <c r="J166" t="b">
        <v>0</v>
      </c>
      <c r="K166" s="25" t="s">
        <v>31</v>
      </c>
      <c r="L166">
        <v>2</v>
      </c>
      <c r="M166" s="25" t="s">
        <v>26</v>
      </c>
      <c r="N166">
        <v>0</v>
      </c>
      <c r="O166">
        <v>0</v>
      </c>
    </row>
    <row r="167" spans="1:15" x14ac:dyDescent="0.3">
      <c r="A167">
        <v>166</v>
      </c>
      <c r="B167">
        <v>57</v>
      </c>
      <c r="C167" s="25" t="s">
        <v>16</v>
      </c>
      <c r="D167" s="25" t="s">
        <v>24</v>
      </c>
      <c r="E167">
        <v>132</v>
      </c>
      <c r="F167">
        <v>207</v>
      </c>
      <c r="G167" t="b">
        <v>0</v>
      </c>
      <c r="H167" s="25" t="s">
        <v>26</v>
      </c>
      <c r="I167">
        <v>168</v>
      </c>
      <c r="J167" t="b">
        <v>1</v>
      </c>
      <c r="K167" s="25" t="s">
        <v>31</v>
      </c>
      <c r="L167">
        <v>0</v>
      </c>
      <c r="M167" s="25" t="s">
        <v>27</v>
      </c>
      <c r="N167">
        <v>0</v>
      </c>
      <c r="O167">
        <v>0</v>
      </c>
    </row>
    <row r="168" spans="1:15" x14ac:dyDescent="0.3">
      <c r="A168">
        <v>167</v>
      </c>
      <c r="B168">
        <v>52</v>
      </c>
      <c r="C168" s="25" t="s">
        <v>16</v>
      </c>
      <c r="D168" s="25" t="s">
        <v>28</v>
      </c>
      <c r="E168">
        <v>138</v>
      </c>
      <c r="F168">
        <v>223</v>
      </c>
      <c r="G168" t="b">
        <v>0</v>
      </c>
      <c r="H168" s="25" t="s">
        <v>26</v>
      </c>
      <c r="I168">
        <v>169</v>
      </c>
      <c r="J168" t="b">
        <v>0</v>
      </c>
      <c r="K168" s="25" t="s">
        <v>31</v>
      </c>
      <c r="M168" s="25" t="s">
        <v>26</v>
      </c>
      <c r="N168">
        <v>0</v>
      </c>
      <c r="O168">
        <v>0</v>
      </c>
    </row>
    <row r="169" spans="1:15" x14ac:dyDescent="0.3">
      <c r="A169">
        <v>168</v>
      </c>
      <c r="B169">
        <v>54</v>
      </c>
      <c r="C169" s="25" t="s">
        <v>29</v>
      </c>
      <c r="D169" s="25" t="s">
        <v>30</v>
      </c>
      <c r="E169">
        <v>132</v>
      </c>
      <c r="F169">
        <v>288</v>
      </c>
      <c r="G169" t="b">
        <v>1</v>
      </c>
      <c r="H169" s="25" t="s">
        <v>20</v>
      </c>
      <c r="I169">
        <v>159</v>
      </c>
      <c r="J169" t="b">
        <v>1</v>
      </c>
      <c r="K169" s="25" t="s">
        <v>31</v>
      </c>
      <c r="L169">
        <v>1</v>
      </c>
      <c r="M169" s="25" t="s">
        <v>26</v>
      </c>
      <c r="N169">
        <v>0</v>
      </c>
      <c r="O169">
        <v>0</v>
      </c>
    </row>
    <row r="170" spans="1:15" x14ac:dyDescent="0.3">
      <c r="A170">
        <v>169</v>
      </c>
      <c r="B170">
        <v>35</v>
      </c>
      <c r="C170" s="25" t="s">
        <v>16</v>
      </c>
      <c r="D170" s="25" t="s">
        <v>24</v>
      </c>
      <c r="E170">
        <v>126</v>
      </c>
      <c r="F170">
        <v>282</v>
      </c>
      <c r="G170" t="b">
        <v>0</v>
      </c>
      <c r="H170" s="25" t="s">
        <v>20</v>
      </c>
      <c r="I170">
        <v>156</v>
      </c>
      <c r="J170" t="b">
        <v>1</v>
      </c>
      <c r="K170" s="25" t="s">
        <v>31</v>
      </c>
      <c r="L170">
        <v>0</v>
      </c>
      <c r="M170" s="25" t="s">
        <v>27</v>
      </c>
      <c r="N170">
        <v>1</v>
      </c>
      <c r="O170">
        <v>0</v>
      </c>
    </row>
    <row r="171" spans="1:15" x14ac:dyDescent="0.3">
      <c r="A171">
        <v>170</v>
      </c>
      <c r="B171">
        <v>45</v>
      </c>
      <c r="C171" s="25" t="s">
        <v>29</v>
      </c>
      <c r="D171" s="25" t="s">
        <v>30</v>
      </c>
      <c r="E171">
        <v>112</v>
      </c>
      <c r="F171">
        <v>160</v>
      </c>
      <c r="G171" t="b">
        <v>0</v>
      </c>
      <c r="H171" s="25" t="s">
        <v>26</v>
      </c>
      <c r="I171">
        <v>138</v>
      </c>
      <c r="J171" t="b">
        <v>0</v>
      </c>
      <c r="K171" s="25" t="s">
        <v>25</v>
      </c>
      <c r="L171">
        <v>0</v>
      </c>
      <c r="M171" s="25" t="s">
        <v>26</v>
      </c>
      <c r="N171">
        <v>0</v>
      </c>
      <c r="O171">
        <v>0</v>
      </c>
    </row>
    <row r="172" spans="1:15" x14ac:dyDescent="0.3">
      <c r="A172">
        <v>171</v>
      </c>
      <c r="B172">
        <v>70</v>
      </c>
      <c r="C172" s="25" t="s">
        <v>16</v>
      </c>
      <c r="D172" s="25" t="s">
        <v>28</v>
      </c>
      <c r="E172">
        <v>160</v>
      </c>
      <c r="F172">
        <v>269</v>
      </c>
      <c r="G172" t="b">
        <v>0</v>
      </c>
      <c r="H172" s="25" t="s">
        <v>26</v>
      </c>
      <c r="I172">
        <v>112</v>
      </c>
      <c r="J172" t="b">
        <v>1</v>
      </c>
      <c r="K172" s="25" t="s">
        <v>25</v>
      </c>
      <c r="L172">
        <v>1</v>
      </c>
      <c r="M172" s="25" t="s">
        <v>27</v>
      </c>
      <c r="N172">
        <v>3</v>
      </c>
      <c r="O172">
        <v>0.9</v>
      </c>
    </row>
    <row r="173" spans="1:15" x14ac:dyDescent="0.3">
      <c r="A173">
        <v>172</v>
      </c>
      <c r="B173">
        <v>53</v>
      </c>
      <c r="C173" s="25" t="s">
        <v>16</v>
      </c>
      <c r="D173" s="25" t="s">
        <v>24</v>
      </c>
      <c r="E173">
        <v>142</v>
      </c>
      <c r="F173">
        <v>226</v>
      </c>
      <c r="G173" t="b">
        <v>0</v>
      </c>
      <c r="H173" s="25" t="s">
        <v>20</v>
      </c>
      <c r="I173">
        <v>111</v>
      </c>
      <c r="J173" t="b">
        <v>1</v>
      </c>
      <c r="K173" s="25" t="s">
        <v>31</v>
      </c>
      <c r="L173">
        <v>0</v>
      </c>
      <c r="M173" s="25" t="s">
        <v>27</v>
      </c>
      <c r="N173">
        <v>0</v>
      </c>
      <c r="O173">
        <v>0</v>
      </c>
    </row>
    <row r="174" spans="1:15" x14ac:dyDescent="0.3">
      <c r="A174">
        <v>173</v>
      </c>
      <c r="B174">
        <v>59</v>
      </c>
      <c r="C174" s="25" t="s">
        <v>29</v>
      </c>
      <c r="D174" s="25" t="s">
        <v>24</v>
      </c>
      <c r="E174">
        <v>174</v>
      </c>
      <c r="F174">
        <v>249</v>
      </c>
      <c r="G174" t="b">
        <v>0</v>
      </c>
      <c r="H174" s="25" t="s">
        <v>26</v>
      </c>
      <c r="I174">
        <v>143</v>
      </c>
      <c r="J174" t="b">
        <v>1</v>
      </c>
      <c r="K174" s="25" t="s">
        <v>25</v>
      </c>
      <c r="L174">
        <v>0</v>
      </c>
      <c r="M174" s="25" t="s">
        <v>26</v>
      </c>
      <c r="N174">
        <v>1</v>
      </c>
      <c r="O174">
        <v>0</v>
      </c>
    </row>
    <row r="175" spans="1:15" x14ac:dyDescent="0.3">
      <c r="A175">
        <v>174</v>
      </c>
      <c r="B175">
        <v>62</v>
      </c>
      <c r="C175" s="25" t="s">
        <v>29</v>
      </c>
      <c r="D175" s="25" t="s">
        <v>24</v>
      </c>
      <c r="E175">
        <v>140</v>
      </c>
      <c r="F175">
        <v>394</v>
      </c>
      <c r="G175" t="b">
        <v>0</v>
      </c>
      <c r="H175" s="25" t="s">
        <v>20</v>
      </c>
      <c r="I175">
        <v>157</v>
      </c>
      <c r="J175" t="b">
        <v>0</v>
      </c>
      <c r="K175" s="25" t="s">
        <v>25</v>
      </c>
      <c r="L175">
        <v>0</v>
      </c>
      <c r="M175" s="25" t="s">
        <v>26</v>
      </c>
      <c r="N175">
        <v>0</v>
      </c>
      <c r="O175">
        <v>0.2</v>
      </c>
    </row>
    <row r="176" spans="1:15" x14ac:dyDescent="0.3">
      <c r="A176">
        <v>175</v>
      </c>
      <c r="B176">
        <v>64</v>
      </c>
      <c r="C176" s="25" t="s">
        <v>16</v>
      </c>
      <c r="D176" s="25" t="s">
        <v>24</v>
      </c>
      <c r="E176">
        <v>145</v>
      </c>
      <c r="F176">
        <v>212</v>
      </c>
      <c r="G176" t="b">
        <v>0</v>
      </c>
      <c r="H176" s="25" t="s">
        <v>20</v>
      </c>
      <c r="I176">
        <v>132</v>
      </c>
      <c r="J176" t="b">
        <v>0</v>
      </c>
      <c r="K176" s="25" t="s">
        <v>25</v>
      </c>
      <c r="L176">
        <v>2</v>
      </c>
      <c r="M176" s="25" t="s">
        <v>23</v>
      </c>
      <c r="N176">
        <v>4</v>
      </c>
      <c r="O176">
        <v>2</v>
      </c>
    </row>
    <row r="177" spans="1:15" x14ac:dyDescent="0.3">
      <c r="A177">
        <v>176</v>
      </c>
      <c r="B177">
        <v>57</v>
      </c>
      <c r="C177" s="25" t="s">
        <v>16</v>
      </c>
      <c r="D177" s="25" t="s">
        <v>24</v>
      </c>
      <c r="E177">
        <v>152</v>
      </c>
      <c r="F177">
        <v>274</v>
      </c>
      <c r="G177" t="b">
        <v>0</v>
      </c>
      <c r="H177" s="25" t="s">
        <v>26</v>
      </c>
      <c r="I177">
        <v>88</v>
      </c>
      <c r="J177" t="b">
        <v>1</v>
      </c>
      <c r="K177" s="25" t="s">
        <v>25</v>
      </c>
      <c r="L177">
        <v>1</v>
      </c>
      <c r="M177" s="25" t="s">
        <v>27</v>
      </c>
      <c r="N177">
        <v>1</v>
      </c>
      <c r="O177">
        <v>0.2</v>
      </c>
    </row>
    <row r="178" spans="1:15" x14ac:dyDescent="0.3">
      <c r="A178">
        <v>177</v>
      </c>
      <c r="B178">
        <v>52</v>
      </c>
      <c r="C178" s="25" t="s">
        <v>16</v>
      </c>
      <c r="D178" s="25" t="s">
        <v>24</v>
      </c>
      <c r="E178">
        <v>108</v>
      </c>
      <c r="F178">
        <v>233</v>
      </c>
      <c r="G178" t="b">
        <v>1</v>
      </c>
      <c r="H178" s="25" t="s">
        <v>26</v>
      </c>
      <c r="I178">
        <v>147</v>
      </c>
      <c r="J178" t="b">
        <v>0</v>
      </c>
      <c r="K178" s="25" t="s">
        <v>31</v>
      </c>
      <c r="L178">
        <v>3</v>
      </c>
      <c r="M178" s="25" t="s">
        <v>27</v>
      </c>
      <c r="N178">
        <v>0</v>
      </c>
      <c r="O178">
        <v>0.1</v>
      </c>
    </row>
    <row r="179" spans="1:15" x14ac:dyDescent="0.3">
      <c r="A179">
        <v>178</v>
      </c>
      <c r="B179">
        <v>56</v>
      </c>
      <c r="C179" s="25" t="s">
        <v>16</v>
      </c>
      <c r="D179" s="25" t="s">
        <v>24</v>
      </c>
      <c r="E179">
        <v>132</v>
      </c>
      <c r="F179">
        <v>184</v>
      </c>
      <c r="G179" t="b">
        <v>0</v>
      </c>
      <c r="H179" s="25" t="s">
        <v>20</v>
      </c>
      <c r="I179">
        <v>105</v>
      </c>
      <c r="J179" t="b">
        <v>1</v>
      </c>
      <c r="K179" s="25" t="s">
        <v>25</v>
      </c>
      <c r="L179">
        <v>1</v>
      </c>
      <c r="M179" s="25" t="s">
        <v>23</v>
      </c>
      <c r="N179">
        <v>1</v>
      </c>
      <c r="O179">
        <v>0.1</v>
      </c>
    </row>
    <row r="180" spans="1:15" x14ac:dyDescent="0.3">
      <c r="A180">
        <v>179</v>
      </c>
      <c r="B180">
        <v>43</v>
      </c>
      <c r="C180" s="25" t="s">
        <v>16</v>
      </c>
      <c r="D180" s="25" t="s">
        <v>28</v>
      </c>
      <c r="E180">
        <v>130</v>
      </c>
      <c r="F180">
        <v>315</v>
      </c>
      <c r="G180" t="b">
        <v>0</v>
      </c>
      <c r="H180" s="25" t="s">
        <v>26</v>
      </c>
      <c r="I180">
        <v>162</v>
      </c>
      <c r="J180" t="b">
        <v>0</v>
      </c>
      <c r="K180" s="25" t="s">
        <v>31</v>
      </c>
      <c r="L180">
        <v>1</v>
      </c>
      <c r="M180" s="25" t="s">
        <v>26</v>
      </c>
      <c r="N180">
        <v>0</v>
      </c>
      <c r="O180">
        <v>0.9</v>
      </c>
    </row>
    <row r="181" spans="1:15" x14ac:dyDescent="0.3">
      <c r="A181">
        <v>180</v>
      </c>
      <c r="B181">
        <v>53</v>
      </c>
      <c r="C181" s="25" t="s">
        <v>16</v>
      </c>
      <c r="D181" s="25" t="s">
        <v>28</v>
      </c>
      <c r="E181">
        <v>130</v>
      </c>
      <c r="F181">
        <v>246</v>
      </c>
      <c r="G181" t="b">
        <v>1</v>
      </c>
      <c r="H181" s="25" t="s">
        <v>20</v>
      </c>
      <c r="I181">
        <v>173</v>
      </c>
      <c r="J181" t="b">
        <v>0</v>
      </c>
      <c r="K181" s="25" t="s">
        <v>31</v>
      </c>
      <c r="L181">
        <v>3</v>
      </c>
      <c r="M181" s="25" t="s">
        <v>26</v>
      </c>
      <c r="N181">
        <v>0</v>
      </c>
      <c r="O181">
        <v>0</v>
      </c>
    </row>
    <row r="182" spans="1:15" x14ac:dyDescent="0.3">
      <c r="A182">
        <v>181</v>
      </c>
      <c r="B182">
        <v>48</v>
      </c>
      <c r="C182" s="25" t="s">
        <v>16</v>
      </c>
      <c r="D182" s="25" t="s">
        <v>24</v>
      </c>
      <c r="E182">
        <v>124</v>
      </c>
      <c r="F182">
        <v>274</v>
      </c>
      <c r="G182" t="b">
        <v>0</v>
      </c>
      <c r="H182" s="25" t="s">
        <v>20</v>
      </c>
      <c r="I182">
        <v>166</v>
      </c>
      <c r="J182" t="b">
        <v>0</v>
      </c>
      <c r="K182" s="25" t="s">
        <v>25</v>
      </c>
      <c r="L182">
        <v>0</v>
      </c>
      <c r="M182" s="25" t="s">
        <v>27</v>
      </c>
      <c r="N182">
        <v>3</v>
      </c>
      <c r="O182">
        <v>0.5</v>
      </c>
    </row>
    <row r="183" spans="1:15" x14ac:dyDescent="0.3">
      <c r="A183">
        <v>182</v>
      </c>
      <c r="B183">
        <v>56</v>
      </c>
      <c r="C183" s="25" t="s">
        <v>29</v>
      </c>
      <c r="D183" s="25" t="s">
        <v>24</v>
      </c>
      <c r="E183">
        <v>134</v>
      </c>
      <c r="F183">
        <v>409</v>
      </c>
      <c r="G183" t="b">
        <v>0</v>
      </c>
      <c r="H183" s="25" t="s">
        <v>20</v>
      </c>
      <c r="I183">
        <v>150</v>
      </c>
      <c r="J183" t="b">
        <v>1</v>
      </c>
      <c r="K183" s="25" t="s">
        <v>25</v>
      </c>
      <c r="L183">
        <v>2</v>
      </c>
      <c r="M183" s="25" t="s">
        <v>27</v>
      </c>
      <c r="N183">
        <v>2</v>
      </c>
      <c r="O183">
        <v>0.9</v>
      </c>
    </row>
    <row r="184" spans="1:15" x14ac:dyDescent="0.3">
      <c r="A184">
        <v>183</v>
      </c>
      <c r="B184">
        <v>42</v>
      </c>
      <c r="C184" s="25" t="s">
        <v>16</v>
      </c>
      <c r="D184" s="25" t="s">
        <v>18</v>
      </c>
      <c r="E184">
        <v>148</v>
      </c>
      <c r="F184">
        <v>244</v>
      </c>
      <c r="G184" t="b">
        <v>0</v>
      </c>
      <c r="H184" s="25" t="s">
        <v>20</v>
      </c>
      <c r="I184">
        <v>178</v>
      </c>
      <c r="J184" t="b">
        <v>0</v>
      </c>
      <c r="K184" s="25" t="s">
        <v>31</v>
      </c>
      <c r="L184">
        <v>2</v>
      </c>
      <c r="M184" s="25" t="s">
        <v>26</v>
      </c>
      <c r="N184">
        <v>0</v>
      </c>
      <c r="O184">
        <v>0.8</v>
      </c>
    </row>
    <row r="185" spans="1:15" x14ac:dyDescent="0.3">
      <c r="A185">
        <v>184</v>
      </c>
      <c r="B185">
        <v>59</v>
      </c>
      <c r="C185" s="25" t="s">
        <v>16</v>
      </c>
      <c r="D185" s="25" t="s">
        <v>18</v>
      </c>
      <c r="E185">
        <v>178</v>
      </c>
      <c r="F185">
        <v>270</v>
      </c>
      <c r="G185" t="b">
        <v>0</v>
      </c>
      <c r="H185" s="25" t="s">
        <v>20</v>
      </c>
      <c r="I185">
        <v>145</v>
      </c>
      <c r="J185" t="b">
        <v>0</v>
      </c>
      <c r="K185" s="25" t="s">
        <v>22</v>
      </c>
      <c r="L185">
        <v>0</v>
      </c>
      <c r="M185" s="25" t="s">
        <v>27</v>
      </c>
      <c r="N185">
        <v>0</v>
      </c>
      <c r="O185">
        <v>0.2</v>
      </c>
    </row>
    <row r="186" spans="1:15" x14ac:dyDescent="0.3">
      <c r="A186">
        <v>185</v>
      </c>
      <c r="B186">
        <v>60</v>
      </c>
      <c r="C186" s="25" t="s">
        <v>29</v>
      </c>
      <c r="D186" s="25" t="s">
        <v>24</v>
      </c>
      <c r="E186">
        <v>158</v>
      </c>
      <c r="F186">
        <v>305</v>
      </c>
      <c r="G186" t="b">
        <v>0</v>
      </c>
      <c r="H186" s="25" t="s">
        <v>20</v>
      </c>
      <c r="I186">
        <v>161</v>
      </c>
      <c r="J186" t="b">
        <v>0</v>
      </c>
      <c r="K186" s="25" t="s">
        <v>31</v>
      </c>
      <c r="L186">
        <v>0</v>
      </c>
      <c r="M186" s="25" t="s">
        <v>26</v>
      </c>
      <c r="N186">
        <v>1</v>
      </c>
      <c r="O186">
        <v>0</v>
      </c>
    </row>
    <row r="187" spans="1:15" x14ac:dyDescent="0.3">
      <c r="A187">
        <v>186</v>
      </c>
      <c r="B187">
        <v>63</v>
      </c>
      <c r="C187" s="25" t="s">
        <v>29</v>
      </c>
      <c r="D187" s="25" t="s">
        <v>30</v>
      </c>
      <c r="E187">
        <v>140</v>
      </c>
      <c r="F187">
        <v>195</v>
      </c>
      <c r="G187" t="b">
        <v>0</v>
      </c>
      <c r="H187" s="25" t="s">
        <v>26</v>
      </c>
      <c r="I187">
        <v>179</v>
      </c>
      <c r="J187" t="b">
        <v>0</v>
      </c>
      <c r="K187" s="25" t="s">
        <v>31</v>
      </c>
      <c r="L187">
        <v>2</v>
      </c>
      <c r="M187" s="25" t="s">
        <v>26</v>
      </c>
      <c r="N187">
        <v>0</v>
      </c>
      <c r="O187">
        <v>0</v>
      </c>
    </row>
    <row r="188" spans="1:15" x14ac:dyDescent="0.3">
      <c r="A188">
        <v>187</v>
      </c>
      <c r="B188">
        <v>42</v>
      </c>
      <c r="C188" s="25" t="s">
        <v>16</v>
      </c>
      <c r="D188" s="25" t="s">
        <v>28</v>
      </c>
      <c r="E188">
        <v>120</v>
      </c>
      <c r="F188">
        <v>240</v>
      </c>
      <c r="G188" t="b">
        <v>1</v>
      </c>
      <c r="H188" s="25" t="s">
        <v>26</v>
      </c>
      <c r="I188">
        <v>194</v>
      </c>
      <c r="J188" t="b">
        <v>0</v>
      </c>
      <c r="K188" s="25" t="s">
        <v>22</v>
      </c>
      <c r="L188">
        <v>0</v>
      </c>
      <c r="M188" s="25" t="s">
        <v>27</v>
      </c>
      <c r="N188">
        <v>0</v>
      </c>
      <c r="O188">
        <v>0.8</v>
      </c>
    </row>
    <row r="189" spans="1:15" x14ac:dyDescent="0.3">
      <c r="A189">
        <v>188</v>
      </c>
      <c r="B189">
        <v>66</v>
      </c>
      <c r="C189" s="25" t="s">
        <v>16</v>
      </c>
      <c r="D189" s="25" t="s">
        <v>30</v>
      </c>
      <c r="E189">
        <v>160</v>
      </c>
      <c r="F189">
        <v>246</v>
      </c>
      <c r="G189" t="b">
        <v>0</v>
      </c>
      <c r="H189" s="25" t="s">
        <v>26</v>
      </c>
      <c r="I189">
        <v>120</v>
      </c>
      <c r="J189" t="b">
        <v>1</v>
      </c>
      <c r="K189" s="25" t="s">
        <v>25</v>
      </c>
      <c r="L189">
        <v>3</v>
      </c>
      <c r="M189" s="25" t="s">
        <v>23</v>
      </c>
      <c r="N189">
        <v>2</v>
      </c>
      <c r="O189">
        <v>0</v>
      </c>
    </row>
    <row r="190" spans="1:15" x14ac:dyDescent="0.3">
      <c r="A190">
        <v>189</v>
      </c>
      <c r="B190">
        <v>54</v>
      </c>
      <c r="C190" s="25" t="s">
        <v>16</v>
      </c>
      <c r="D190" s="25" t="s">
        <v>30</v>
      </c>
      <c r="E190">
        <v>192</v>
      </c>
      <c r="F190">
        <v>283</v>
      </c>
      <c r="G190" t="b">
        <v>0</v>
      </c>
      <c r="H190" s="25" t="s">
        <v>20</v>
      </c>
      <c r="I190">
        <v>195</v>
      </c>
      <c r="J190" t="b">
        <v>0</v>
      </c>
      <c r="K190" s="25" t="s">
        <v>31</v>
      </c>
      <c r="L190">
        <v>1</v>
      </c>
      <c r="M190" s="25" t="s">
        <v>27</v>
      </c>
      <c r="N190">
        <v>1</v>
      </c>
      <c r="O190">
        <v>0</v>
      </c>
    </row>
    <row r="191" spans="1:15" x14ac:dyDescent="0.3">
      <c r="A191">
        <v>190</v>
      </c>
      <c r="B191">
        <v>69</v>
      </c>
      <c r="C191" s="25" t="s">
        <v>16</v>
      </c>
      <c r="D191" s="25" t="s">
        <v>28</v>
      </c>
      <c r="E191">
        <v>140</v>
      </c>
      <c r="F191">
        <v>254</v>
      </c>
      <c r="G191" t="b">
        <v>0</v>
      </c>
      <c r="H191" s="25" t="s">
        <v>20</v>
      </c>
      <c r="I191">
        <v>146</v>
      </c>
      <c r="J191" t="b">
        <v>0</v>
      </c>
      <c r="K191" s="25" t="s">
        <v>25</v>
      </c>
      <c r="L191">
        <v>3</v>
      </c>
      <c r="M191" s="25" t="s">
        <v>27</v>
      </c>
      <c r="N191">
        <v>2</v>
      </c>
      <c r="O191">
        <v>2</v>
      </c>
    </row>
    <row r="192" spans="1:15" x14ac:dyDescent="0.3">
      <c r="A192">
        <v>191</v>
      </c>
      <c r="B192">
        <v>50</v>
      </c>
      <c r="C192" s="25" t="s">
        <v>16</v>
      </c>
      <c r="D192" s="25" t="s">
        <v>28</v>
      </c>
      <c r="E192">
        <v>129</v>
      </c>
      <c r="F192">
        <v>196</v>
      </c>
      <c r="G192" t="b">
        <v>0</v>
      </c>
      <c r="H192" s="25" t="s">
        <v>26</v>
      </c>
      <c r="I192">
        <v>163</v>
      </c>
      <c r="J192" t="b">
        <v>0</v>
      </c>
      <c r="K192" s="25" t="s">
        <v>31</v>
      </c>
      <c r="L192">
        <v>0</v>
      </c>
      <c r="M192" s="25" t="s">
        <v>26</v>
      </c>
      <c r="N192">
        <v>0</v>
      </c>
      <c r="O192">
        <v>0</v>
      </c>
    </row>
    <row r="193" spans="1:15" x14ac:dyDescent="0.3">
      <c r="A193">
        <v>192</v>
      </c>
      <c r="B193">
        <v>51</v>
      </c>
      <c r="C193" s="25" t="s">
        <v>16</v>
      </c>
      <c r="D193" s="25" t="s">
        <v>24</v>
      </c>
      <c r="E193">
        <v>140</v>
      </c>
      <c r="F193">
        <v>298</v>
      </c>
      <c r="G193" t="b">
        <v>0</v>
      </c>
      <c r="H193" s="25" t="s">
        <v>26</v>
      </c>
      <c r="I193">
        <v>122</v>
      </c>
      <c r="J193" t="b">
        <v>1</v>
      </c>
      <c r="K193" s="25" t="s">
        <v>25</v>
      </c>
      <c r="L193">
        <v>3</v>
      </c>
      <c r="M193" s="25" t="s">
        <v>27</v>
      </c>
      <c r="N193">
        <v>3</v>
      </c>
      <c r="O193">
        <v>0.2</v>
      </c>
    </row>
    <row r="194" spans="1:15" x14ac:dyDescent="0.3">
      <c r="A194">
        <v>193</v>
      </c>
      <c r="B194">
        <v>43</v>
      </c>
      <c r="C194" s="25" t="s">
        <v>16</v>
      </c>
      <c r="D194" s="25" t="s">
        <v>24</v>
      </c>
      <c r="E194">
        <v>132</v>
      </c>
      <c r="F194">
        <v>247</v>
      </c>
      <c r="G194" t="b">
        <v>1</v>
      </c>
      <c r="H194" s="25" t="s">
        <v>20</v>
      </c>
      <c r="I194">
        <v>143</v>
      </c>
      <c r="J194" t="b">
        <v>1</v>
      </c>
      <c r="K194" s="25" t="s">
        <v>25</v>
      </c>
      <c r="M194" s="25" t="s">
        <v>27</v>
      </c>
      <c r="N194">
        <v>1</v>
      </c>
      <c r="O194">
        <v>0.1</v>
      </c>
    </row>
    <row r="195" spans="1:15" x14ac:dyDescent="0.3">
      <c r="A195">
        <v>194</v>
      </c>
      <c r="B195">
        <v>62</v>
      </c>
      <c r="C195" s="25" t="s">
        <v>29</v>
      </c>
      <c r="D195" s="25" t="s">
        <v>24</v>
      </c>
      <c r="E195">
        <v>138</v>
      </c>
      <c r="F195">
        <v>294</v>
      </c>
      <c r="G195" t="b">
        <v>1</v>
      </c>
      <c r="H195" s="25" t="s">
        <v>26</v>
      </c>
      <c r="I195">
        <v>106</v>
      </c>
      <c r="J195" t="b">
        <v>0</v>
      </c>
      <c r="K195" s="25" t="s">
        <v>25</v>
      </c>
      <c r="L195">
        <v>3</v>
      </c>
      <c r="M195" s="25" t="s">
        <v>26</v>
      </c>
      <c r="N195">
        <v>2</v>
      </c>
      <c r="O195">
        <v>0.9</v>
      </c>
    </row>
    <row r="196" spans="1:15" x14ac:dyDescent="0.3">
      <c r="A196">
        <v>195</v>
      </c>
      <c r="B196">
        <v>68</v>
      </c>
      <c r="C196" s="25" t="s">
        <v>29</v>
      </c>
      <c r="D196" s="25" t="s">
        <v>28</v>
      </c>
      <c r="E196">
        <v>120</v>
      </c>
      <c r="F196">
        <v>211</v>
      </c>
      <c r="G196" t="b">
        <v>0</v>
      </c>
      <c r="H196" s="25" t="s">
        <v>20</v>
      </c>
      <c r="I196">
        <v>115</v>
      </c>
      <c r="J196" t="b">
        <v>0</v>
      </c>
      <c r="K196" s="25" t="s">
        <v>25</v>
      </c>
      <c r="L196">
        <v>0</v>
      </c>
      <c r="M196" s="25" t="s">
        <v>26</v>
      </c>
      <c r="N196">
        <v>0</v>
      </c>
      <c r="O196">
        <v>0.5</v>
      </c>
    </row>
    <row r="197" spans="1:15" x14ac:dyDescent="0.3">
      <c r="A197">
        <v>196</v>
      </c>
      <c r="B197">
        <v>67</v>
      </c>
      <c r="C197" s="25" t="s">
        <v>16</v>
      </c>
      <c r="D197" s="25" t="s">
        <v>24</v>
      </c>
      <c r="E197">
        <v>100</v>
      </c>
      <c r="F197">
        <v>299</v>
      </c>
      <c r="G197" t="b">
        <v>0</v>
      </c>
      <c r="H197" s="25" t="s">
        <v>20</v>
      </c>
      <c r="I197">
        <v>125</v>
      </c>
      <c r="J197" t="b">
        <v>1</v>
      </c>
      <c r="K197" s="25" t="s">
        <v>25</v>
      </c>
      <c r="L197">
        <v>2</v>
      </c>
      <c r="M197" s="25" t="s">
        <v>26</v>
      </c>
      <c r="N197">
        <v>3</v>
      </c>
      <c r="O197">
        <v>0.9</v>
      </c>
    </row>
    <row r="198" spans="1:15" x14ac:dyDescent="0.3">
      <c r="A198">
        <v>197</v>
      </c>
      <c r="B198">
        <v>69</v>
      </c>
      <c r="C198" s="25" t="s">
        <v>16</v>
      </c>
      <c r="D198" s="25" t="s">
        <v>18</v>
      </c>
      <c r="E198">
        <v>160</v>
      </c>
      <c r="F198">
        <v>234</v>
      </c>
      <c r="G198" t="b">
        <v>1</v>
      </c>
      <c r="H198" s="25" t="s">
        <v>20</v>
      </c>
      <c r="I198">
        <v>131</v>
      </c>
      <c r="J198" t="b">
        <v>0</v>
      </c>
      <c r="K198" s="25" t="s">
        <v>25</v>
      </c>
      <c r="L198">
        <v>1</v>
      </c>
      <c r="M198" s="25" t="s">
        <v>26</v>
      </c>
      <c r="N198">
        <v>0</v>
      </c>
      <c r="O198">
        <v>0.1</v>
      </c>
    </row>
    <row r="199" spans="1:15" x14ac:dyDescent="0.3">
      <c r="A199">
        <v>198</v>
      </c>
      <c r="B199">
        <v>45</v>
      </c>
      <c r="C199" s="25" t="s">
        <v>29</v>
      </c>
      <c r="D199" s="25" t="s">
        <v>24</v>
      </c>
      <c r="E199">
        <v>138</v>
      </c>
      <c r="F199">
        <v>236</v>
      </c>
      <c r="G199" t="b">
        <v>0</v>
      </c>
      <c r="H199" s="25" t="s">
        <v>20</v>
      </c>
      <c r="I199">
        <v>152</v>
      </c>
      <c r="J199" t="b">
        <v>1</v>
      </c>
      <c r="K199" s="25" t="s">
        <v>25</v>
      </c>
      <c r="L199">
        <v>0</v>
      </c>
      <c r="M199" s="25" t="s">
        <v>26</v>
      </c>
      <c r="N199">
        <v>0</v>
      </c>
      <c r="O199">
        <v>0.2</v>
      </c>
    </row>
    <row r="200" spans="1:15" x14ac:dyDescent="0.3">
      <c r="A200">
        <v>199</v>
      </c>
      <c r="B200">
        <v>50</v>
      </c>
      <c r="C200" s="25" t="s">
        <v>29</v>
      </c>
      <c r="D200" s="25" t="s">
        <v>30</v>
      </c>
      <c r="E200">
        <v>120</v>
      </c>
      <c r="F200">
        <v>244</v>
      </c>
      <c r="G200" t="b">
        <v>0</v>
      </c>
      <c r="H200" s="25" t="s">
        <v>26</v>
      </c>
      <c r="I200">
        <v>162</v>
      </c>
      <c r="J200" t="b">
        <v>0</v>
      </c>
      <c r="K200" s="25" t="s">
        <v>31</v>
      </c>
      <c r="L200">
        <v>0</v>
      </c>
      <c r="M200" s="25" t="s">
        <v>26</v>
      </c>
      <c r="N200">
        <v>0</v>
      </c>
      <c r="O200">
        <v>0.1</v>
      </c>
    </row>
    <row r="201" spans="1:15" x14ac:dyDescent="0.3">
      <c r="A201">
        <v>200</v>
      </c>
      <c r="B201">
        <v>59</v>
      </c>
      <c r="C201" s="25" t="s">
        <v>16</v>
      </c>
      <c r="D201" s="25" t="s">
        <v>18</v>
      </c>
      <c r="E201">
        <v>160</v>
      </c>
      <c r="F201">
        <v>273</v>
      </c>
      <c r="G201" t="b">
        <v>0</v>
      </c>
      <c r="H201" s="25" t="s">
        <v>20</v>
      </c>
      <c r="I201">
        <v>125</v>
      </c>
      <c r="J201" t="b">
        <v>0</v>
      </c>
      <c r="K201" s="25" t="s">
        <v>31</v>
      </c>
      <c r="L201">
        <v>0</v>
      </c>
      <c r="M201" s="25" t="s">
        <v>26</v>
      </c>
      <c r="N201">
        <v>1</v>
      </c>
      <c r="O201">
        <v>0</v>
      </c>
    </row>
    <row r="202" spans="1:15" x14ac:dyDescent="0.3">
      <c r="A202">
        <v>201</v>
      </c>
      <c r="B202">
        <v>50</v>
      </c>
      <c r="C202" s="25" t="s">
        <v>29</v>
      </c>
      <c r="D202" s="25" t="s">
        <v>24</v>
      </c>
      <c r="E202">
        <v>110</v>
      </c>
      <c r="F202">
        <v>254</v>
      </c>
      <c r="G202" t="b">
        <v>0</v>
      </c>
      <c r="H202" s="25" t="s">
        <v>20</v>
      </c>
      <c r="I202">
        <v>159</v>
      </c>
      <c r="J202" t="b">
        <v>0</v>
      </c>
      <c r="K202" s="25" t="s">
        <v>31</v>
      </c>
      <c r="L202">
        <v>0</v>
      </c>
      <c r="M202" s="25" t="s">
        <v>26</v>
      </c>
      <c r="N202">
        <v>0</v>
      </c>
      <c r="O202">
        <v>0</v>
      </c>
    </row>
    <row r="203" spans="1:15" x14ac:dyDescent="0.3">
      <c r="A203">
        <v>202</v>
      </c>
      <c r="B203">
        <v>64</v>
      </c>
      <c r="C203" s="25" t="s">
        <v>29</v>
      </c>
      <c r="D203" s="25" t="s">
        <v>24</v>
      </c>
      <c r="E203">
        <v>180</v>
      </c>
      <c r="F203">
        <v>325</v>
      </c>
      <c r="G203" t="b">
        <v>0</v>
      </c>
      <c r="H203" s="25" t="s">
        <v>26</v>
      </c>
      <c r="I203">
        <v>154</v>
      </c>
      <c r="J203" t="b">
        <v>1</v>
      </c>
      <c r="K203" s="25" t="s">
        <v>31</v>
      </c>
      <c r="L203">
        <v>0</v>
      </c>
      <c r="M203" s="25" t="s">
        <v>26</v>
      </c>
      <c r="N203">
        <v>0</v>
      </c>
      <c r="O203">
        <v>0</v>
      </c>
    </row>
    <row r="204" spans="1:15" x14ac:dyDescent="0.3">
      <c r="A204">
        <v>203</v>
      </c>
      <c r="B204">
        <v>57</v>
      </c>
      <c r="C204" s="25" t="s">
        <v>16</v>
      </c>
      <c r="D204" s="25" t="s">
        <v>28</v>
      </c>
      <c r="E204">
        <v>150</v>
      </c>
      <c r="F204">
        <v>126</v>
      </c>
      <c r="G204" t="b">
        <v>1</v>
      </c>
      <c r="H204" s="25" t="s">
        <v>26</v>
      </c>
      <c r="I204">
        <v>173</v>
      </c>
      <c r="J204" t="b">
        <v>0</v>
      </c>
      <c r="K204" s="25" t="s">
        <v>31</v>
      </c>
      <c r="L204">
        <v>1</v>
      </c>
      <c r="M204" s="25" t="s">
        <v>27</v>
      </c>
      <c r="N204">
        <v>0</v>
      </c>
      <c r="O204">
        <v>0.2</v>
      </c>
    </row>
    <row r="205" spans="1:15" x14ac:dyDescent="0.3">
      <c r="A205">
        <v>204</v>
      </c>
      <c r="B205">
        <v>64</v>
      </c>
      <c r="C205" s="25" t="s">
        <v>29</v>
      </c>
      <c r="D205" s="25" t="s">
        <v>28</v>
      </c>
      <c r="E205">
        <v>140</v>
      </c>
      <c r="F205">
        <v>313</v>
      </c>
      <c r="G205" t="b">
        <v>0</v>
      </c>
      <c r="H205" s="25" t="s">
        <v>26</v>
      </c>
      <c r="I205">
        <v>133</v>
      </c>
      <c r="J205" t="b">
        <v>0</v>
      </c>
      <c r="K205" s="25" t="s">
        <v>31</v>
      </c>
      <c r="L205">
        <v>0</v>
      </c>
      <c r="M205" s="25" t="s">
        <v>27</v>
      </c>
      <c r="N205">
        <v>0</v>
      </c>
      <c r="O205">
        <v>0.2</v>
      </c>
    </row>
    <row r="206" spans="1:15" x14ac:dyDescent="0.3">
      <c r="A206">
        <v>205</v>
      </c>
      <c r="B206">
        <v>43</v>
      </c>
      <c r="C206" s="25" t="s">
        <v>16</v>
      </c>
      <c r="D206" s="25" t="s">
        <v>24</v>
      </c>
      <c r="E206">
        <v>110</v>
      </c>
      <c r="F206">
        <v>211</v>
      </c>
      <c r="G206" t="b">
        <v>0</v>
      </c>
      <c r="H206" s="25" t="s">
        <v>26</v>
      </c>
      <c r="I206">
        <v>161</v>
      </c>
      <c r="J206" t="b">
        <v>0</v>
      </c>
      <c r="K206" s="25" t="s">
        <v>31</v>
      </c>
      <c r="L206">
        <v>0</v>
      </c>
      <c r="M206" s="25" t="s">
        <v>27</v>
      </c>
      <c r="N206">
        <v>0</v>
      </c>
      <c r="O206">
        <v>0</v>
      </c>
    </row>
    <row r="207" spans="1:15" x14ac:dyDescent="0.3">
      <c r="A207">
        <v>206</v>
      </c>
      <c r="B207">
        <v>45</v>
      </c>
      <c r="C207" s="25" t="s">
        <v>16</v>
      </c>
      <c r="D207" s="25" t="s">
        <v>24</v>
      </c>
      <c r="E207">
        <v>142</v>
      </c>
      <c r="F207">
        <v>309</v>
      </c>
      <c r="G207" t="b">
        <v>0</v>
      </c>
      <c r="H207" s="25" t="s">
        <v>20</v>
      </c>
      <c r="I207">
        <v>147</v>
      </c>
      <c r="J207" t="b">
        <v>1</v>
      </c>
      <c r="K207" s="25" t="s">
        <v>25</v>
      </c>
      <c r="L207">
        <v>3</v>
      </c>
      <c r="M207" s="25" t="s">
        <v>27</v>
      </c>
      <c r="N207">
        <v>3</v>
      </c>
      <c r="O207">
        <v>0</v>
      </c>
    </row>
    <row r="208" spans="1:15" x14ac:dyDescent="0.3">
      <c r="A208">
        <v>207</v>
      </c>
      <c r="B208">
        <v>58</v>
      </c>
      <c r="C208" s="25" t="s">
        <v>16</v>
      </c>
      <c r="D208" s="25" t="s">
        <v>24</v>
      </c>
      <c r="E208">
        <v>128</v>
      </c>
      <c r="F208">
        <v>259</v>
      </c>
      <c r="G208" t="b">
        <v>0</v>
      </c>
      <c r="H208" s="25" t="s">
        <v>20</v>
      </c>
      <c r="I208">
        <v>130</v>
      </c>
      <c r="J208" t="b">
        <v>1</v>
      </c>
      <c r="K208" s="25" t="s">
        <v>25</v>
      </c>
      <c r="L208">
        <v>2</v>
      </c>
      <c r="M208" s="25" t="s">
        <v>27</v>
      </c>
      <c r="N208">
        <v>3</v>
      </c>
      <c r="O208">
        <v>3</v>
      </c>
    </row>
    <row r="209" spans="1:15" x14ac:dyDescent="0.3">
      <c r="A209">
        <v>208</v>
      </c>
      <c r="B209">
        <v>50</v>
      </c>
      <c r="C209" s="25" t="s">
        <v>16</v>
      </c>
      <c r="D209" s="25" t="s">
        <v>24</v>
      </c>
      <c r="E209">
        <v>144</v>
      </c>
      <c r="F209">
        <v>200</v>
      </c>
      <c r="G209" t="b">
        <v>0</v>
      </c>
      <c r="H209" s="25" t="s">
        <v>20</v>
      </c>
      <c r="I209">
        <v>126</v>
      </c>
      <c r="J209" t="b">
        <v>1</v>
      </c>
      <c r="K209" s="25" t="s">
        <v>25</v>
      </c>
      <c r="L209">
        <v>0</v>
      </c>
      <c r="M209" s="25" t="s">
        <v>27</v>
      </c>
      <c r="N209">
        <v>3</v>
      </c>
      <c r="O209">
        <v>0.9</v>
      </c>
    </row>
    <row r="210" spans="1:15" x14ac:dyDescent="0.3">
      <c r="A210">
        <v>209</v>
      </c>
      <c r="B210">
        <v>55</v>
      </c>
      <c r="C210" s="25" t="s">
        <v>16</v>
      </c>
      <c r="D210" s="25" t="s">
        <v>30</v>
      </c>
      <c r="E210">
        <v>130</v>
      </c>
      <c r="F210">
        <v>262</v>
      </c>
      <c r="G210" t="b">
        <v>0</v>
      </c>
      <c r="H210" s="25" t="s">
        <v>26</v>
      </c>
      <c r="I210">
        <v>155</v>
      </c>
      <c r="J210" t="b">
        <v>0</v>
      </c>
      <c r="K210" s="25" t="s">
        <v>31</v>
      </c>
      <c r="L210">
        <v>0</v>
      </c>
      <c r="M210" s="25" t="s">
        <v>26</v>
      </c>
      <c r="N210">
        <v>0</v>
      </c>
      <c r="O210">
        <v>0</v>
      </c>
    </row>
    <row r="211" spans="1:15" x14ac:dyDescent="0.3">
      <c r="A211">
        <v>210</v>
      </c>
      <c r="B211">
        <v>62</v>
      </c>
      <c r="C211" s="25" t="s">
        <v>29</v>
      </c>
      <c r="D211" s="25" t="s">
        <v>24</v>
      </c>
      <c r="E211">
        <v>150</v>
      </c>
      <c r="F211">
        <v>244</v>
      </c>
      <c r="G211" t="b">
        <v>0</v>
      </c>
      <c r="H211" s="25" t="s">
        <v>26</v>
      </c>
      <c r="I211">
        <v>154</v>
      </c>
      <c r="J211" t="b">
        <v>1</v>
      </c>
      <c r="K211" s="25" t="s">
        <v>25</v>
      </c>
      <c r="L211">
        <v>0</v>
      </c>
      <c r="M211" s="25" t="s">
        <v>26</v>
      </c>
      <c r="N211">
        <v>1</v>
      </c>
      <c r="O211">
        <v>0.4</v>
      </c>
    </row>
    <row r="212" spans="1:15" x14ac:dyDescent="0.3">
      <c r="A212">
        <v>211</v>
      </c>
      <c r="B212">
        <v>37</v>
      </c>
      <c r="C212" s="25" t="s">
        <v>29</v>
      </c>
      <c r="D212" s="25" t="s">
        <v>28</v>
      </c>
      <c r="E212">
        <v>120</v>
      </c>
      <c r="F212">
        <v>215</v>
      </c>
      <c r="G212" t="b">
        <v>0</v>
      </c>
      <c r="H212" s="25" t="s">
        <v>26</v>
      </c>
      <c r="I212">
        <v>170</v>
      </c>
      <c r="J212" t="b">
        <v>0</v>
      </c>
      <c r="K212" s="25" t="s">
        <v>31</v>
      </c>
      <c r="L212">
        <v>0</v>
      </c>
      <c r="M212" s="25" t="s">
        <v>26</v>
      </c>
      <c r="N212">
        <v>0</v>
      </c>
      <c r="O212">
        <v>0</v>
      </c>
    </row>
    <row r="213" spans="1:15" x14ac:dyDescent="0.3">
      <c r="A213">
        <v>212</v>
      </c>
      <c r="B213">
        <v>38</v>
      </c>
      <c r="C213" s="25" t="s">
        <v>16</v>
      </c>
      <c r="D213" s="25" t="s">
        <v>18</v>
      </c>
      <c r="E213">
        <v>120</v>
      </c>
      <c r="F213">
        <v>231</v>
      </c>
      <c r="G213" t="b">
        <v>0</v>
      </c>
      <c r="H213" s="25" t="s">
        <v>26</v>
      </c>
      <c r="I213">
        <v>182</v>
      </c>
      <c r="J213" t="b">
        <v>1</v>
      </c>
      <c r="K213" s="25" t="s">
        <v>25</v>
      </c>
      <c r="L213">
        <v>0</v>
      </c>
      <c r="M213" s="25" t="s">
        <v>27</v>
      </c>
      <c r="N213">
        <v>4</v>
      </c>
      <c r="O213">
        <v>0.8</v>
      </c>
    </row>
    <row r="214" spans="1:15" x14ac:dyDescent="0.3">
      <c r="A214">
        <v>213</v>
      </c>
      <c r="B214">
        <v>41</v>
      </c>
      <c r="C214" s="25" t="s">
        <v>16</v>
      </c>
      <c r="D214" s="25" t="s">
        <v>28</v>
      </c>
      <c r="E214">
        <v>130</v>
      </c>
      <c r="F214">
        <v>214</v>
      </c>
      <c r="G214" t="b">
        <v>0</v>
      </c>
      <c r="H214" s="25" t="s">
        <v>20</v>
      </c>
      <c r="I214">
        <v>168</v>
      </c>
      <c r="J214" t="b">
        <v>0</v>
      </c>
      <c r="K214" s="25" t="s">
        <v>25</v>
      </c>
      <c r="L214">
        <v>0</v>
      </c>
      <c r="M214" s="25" t="s">
        <v>26</v>
      </c>
      <c r="N214">
        <v>0</v>
      </c>
      <c r="O214">
        <v>2</v>
      </c>
    </row>
    <row r="215" spans="1:15" x14ac:dyDescent="0.3">
      <c r="A215">
        <v>214</v>
      </c>
      <c r="B215">
        <v>66</v>
      </c>
      <c r="C215" s="25" t="s">
        <v>29</v>
      </c>
      <c r="D215" s="25" t="s">
        <v>24</v>
      </c>
      <c r="E215">
        <v>178</v>
      </c>
      <c r="F215">
        <v>228</v>
      </c>
      <c r="G215" t="b">
        <v>1</v>
      </c>
      <c r="H215" s="25" t="s">
        <v>26</v>
      </c>
      <c r="I215">
        <v>165</v>
      </c>
      <c r="J215" t="b">
        <v>1</v>
      </c>
      <c r="K215" s="25" t="s">
        <v>25</v>
      </c>
      <c r="L215">
        <v>2</v>
      </c>
      <c r="M215" s="25" t="s">
        <v>27</v>
      </c>
      <c r="N215">
        <v>3</v>
      </c>
      <c r="O215">
        <v>1</v>
      </c>
    </row>
    <row r="216" spans="1:15" x14ac:dyDescent="0.3">
      <c r="A216">
        <v>215</v>
      </c>
      <c r="B216">
        <v>52</v>
      </c>
      <c r="C216" s="25" t="s">
        <v>16</v>
      </c>
      <c r="D216" s="25" t="s">
        <v>24</v>
      </c>
      <c r="E216">
        <v>112</v>
      </c>
      <c r="F216">
        <v>230</v>
      </c>
      <c r="G216" t="b">
        <v>0</v>
      </c>
      <c r="H216" s="25" t="s">
        <v>26</v>
      </c>
      <c r="I216">
        <v>160</v>
      </c>
      <c r="J216" t="b">
        <v>0</v>
      </c>
      <c r="K216" s="25" t="s">
        <v>31</v>
      </c>
      <c r="L216">
        <v>1</v>
      </c>
      <c r="M216" s="25" t="s">
        <v>26</v>
      </c>
      <c r="N216">
        <v>1</v>
      </c>
      <c r="O216">
        <v>0</v>
      </c>
    </row>
    <row r="217" spans="1:15" x14ac:dyDescent="0.3">
      <c r="A217">
        <v>216</v>
      </c>
      <c r="B217">
        <v>56</v>
      </c>
      <c r="C217" s="25" t="s">
        <v>16</v>
      </c>
      <c r="D217" s="25" t="s">
        <v>18</v>
      </c>
      <c r="E217">
        <v>120</v>
      </c>
      <c r="F217">
        <v>193</v>
      </c>
      <c r="G217" t="b">
        <v>0</v>
      </c>
      <c r="H217" s="25" t="s">
        <v>20</v>
      </c>
      <c r="I217">
        <v>162</v>
      </c>
      <c r="J217" t="b">
        <v>0</v>
      </c>
      <c r="K217" s="25" t="s">
        <v>25</v>
      </c>
      <c r="L217">
        <v>0</v>
      </c>
      <c r="M217" s="25" t="s">
        <v>27</v>
      </c>
      <c r="N217">
        <v>0</v>
      </c>
      <c r="O217">
        <v>0.9</v>
      </c>
    </row>
    <row r="218" spans="1:15" x14ac:dyDescent="0.3">
      <c r="A218">
        <v>217</v>
      </c>
      <c r="B218">
        <v>46</v>
      </c>
      <c r="C218" s="25" t="s">
        <v>29</v>
      </c>
      <c r="D218" s="25" t="s">
        <v>30</v>
      </c>
      <c r="E218">
        <v>105</v>
      </c>
      <c r="F218">
        <v>204</v>
      </c>
      <c r="G218" t="b">
        <v>0</v>
      </c>
      <c r="H218" s="25" t="s">
        <v>26</v>
      </c>
      <c r="I218">
        <v>172</v>
      </c>
      <c r="J218" t="b">
        <v>0</v>
      </c>
      <c r="K218" s="25" t="s">
        <v>31</v>
      </c>
      <c r="L218">
        <v>0</v>
      </c>
      <c r="M218" s="25" t="s">
        <v>26</v>
      </c>
      <c r="N218">
        <v>0</v>
      </c>
      <c r="O218">
        <v>0</v>
      </c>
    </row>
    <row r="219" spans="1:15" x14ac:dyDescent="0.3">
      <c r="A219">
        <v>218</v>
      </c>
      <c r="B219">
        <v>46</v>
      </c>
      <c r="C219" s="25" t="s">
        <v>29</v>
      </c>
      <c r="D219" s="25" t="s">
        <v>24</v>
      </c>
      <c r="E219">
        <v>138</v>
      </c>
      <c r="F219">
        <v>243</v>
      </c>
      <c r="G219" t="b">
        <v>0</v>
      </c>
      <c r="H219" s="25" t="s">
        <v>20</v>
      </c>
      <c r="I219">
        <v>152</v>
      </c>
      <c r="J219" t="b">
        <v>1</v>
      </c>
      <c r="K219" s="25" t="s">
        <v>25</v>
      </c>
      <c r="L219">
        <v>0</v>
      </c>
      <c r="M219" s="25" t="s">
        <v>26</v>
      </c>
      <c r="N219">
        <v>0</v>
      </c>
      <c r="O219">
        <v>0</v>
      </c>
    </row>
    <row r="220" spans="1:15" x14ac:dyDescent="0.3">
      <c r="A220">
        <v>219</v>
      </c>
      <c r="B220">
        <v>64</v>
      </c>
      <c r="C220" s="25" t="s">
        <v>29</v>
      </c>
      <c r="D220" s="25" t="s">
        <v>24</v>
      </c>
      <c r="E220">
        <v>130</v>
      </c>
      <c r="F220">
        <v>303</v>
      </c>
      <c r="G220" t="b">
        <v>0</v>
      </c>
      <c r="H220" s="25" t="s">
        <v>26</v>
      </c>
      <c r="I220">
        <v>122</v>
      </c>
      <c r="J220" t="b">
        <v>0</v>
      </c>
      <c r="K220" s="25" t="s">
        <v>25</v>
      </c>
      <c r="L220">
        <v>2</v>
      </c>
      <c r="M220" s="25" t="s">
        <v>26</v>
      </c>
      <c r="N220">
        <v>0</v>
      </c>
      <c r="O220">
        <v>2</v>
      </c>
    </row>
    <row r="221" spans="1:15" x14ac:dyDescent="0.3">
      <c r="A221">
        <v>220</v>
      </c>
      <c r="B221">
        <v>59</v>
      </c>
      <c r="C221" s="25" t="s">
        <v>16</v>
      </c>
      <c r="D221" s="25" t="s">
        <v>24</v>
      </c>
      <c r="E221">
        <v>138</v>
      </c>
      <c r="F221">
        <v>271</v>
      </c>
      <c r="G221" t="b">
        <v>0</v>
      </c>
      <c r="H221" s="25" t="s">
        <v>20</v>
      </c>
      <c r="I221">
        <v>182</v>
      </c>
      <c r="J221" t="b">
        <v>0</v>
      </c>
      <c r="K221" s="25" t="s">
        <v>31</v>
      </c>
      <c r="L221">
        <v>0</v>
      </c>
      <c r="M221" s="25" t="s">
        <v>26</v>
      </c>
      <c r="N221">
        <v>0</v>
      </c>
      <c r="O221">
        <v>0</v>
      </c>
    </row>
    <row r="222" spans="1:15" x14ac:dyDescent="0.3">
      <c r="A222">
        <v>221</v>
      </c>
      <c r="B222">
        <v>41</v>
      </c>
      <c r="C222" s="25" t="s">
        <v>29</v>
      </c>
      <c r="D222" s="25" t="s">
        <v>28</v>
      </c>
      <c r="E222">
        <v>112</v>
      </c>
      <c r="F222">
        <v>268</v>
      </c>
      <c r="G222" t="b">
        <v>0</v>
      </c>
      <c r="H222" s="25" t="s">
        <v>20</v>
      </c>
      <c r="I222">
        <v>172</v>
      </c>
      <c r="J222" t="b">
        <v>1</v>
      </c>
      <c r="K222" s="25" t="s">
        <v>31</v>
      </c>
      <c r="L222">
        <v>0</v>
      </c>
      <c r="M222" s="25" t="s">
        <v>26</v>
      </c>
      <c r="N222">
        <v>0</v>
      </c>
      <c r="O222">
        <v>0</v>
      </c>
    </row>
    <row r="223" spans="1:15" x14ac:dyDescent="0.3">
      <c r="A223">
        <v>222</v>
      </c>
      <c r="B223">
        <v>54</v>
      </c>
      <c r="C223" s="25" t="s">
        <v>29</v>
      </c>
      <c r="D223" s="25" t="s">
        <v>28</v>
      </c>
      <c r="E223">
        <v>108</v>
      </c>
      <c r="F223">
        <v>267</v>
      </c>
      <c r="G223" t="b">
        <v>0</v>
      </c>
      <c r="H223" s="25" t="s">
        <v>20</v>
      </c>
      <c r="I223">
        <v>167</v>
      </c>
      <c r="J223" t="b">
        <v>0</v>
      </c>
      <c r="K223" s="25" t="s">
        <v>31</v>
      </c>
      <c r="L223">
        <v>0</v>
      </c>
      <c r="M223" s="25" t="s">
        <v>26</v>
      </c>
      <c r="N223">
        <v>0</v>
      </c>
      <c r="O223">
        <v>0</v>
      </c>
    </row>
    <row r="224" spans="1:15" x14ac:dyDescent="0.3">
      <c r="A224">
        <v>223</v>
      </c>
      <c r="B224">
        <v>39</v>
      </c>
      <c r="C224" s="25" t="s">
        <v>29</v>
      </c>
      <c r="D224" s="25" t="s">
        <v>28</v>
      </c>
      <c r="E224">
        <v>94</v>
      </c>
      <c r="F224">
        <v>199</v>
      </c>
      <c r="G224" t="b">
        <v>0</v>
      </c>
      <c r="H224" s="25" t="s">
        <v>26</v>
      </c>
      <c r="I224">
        <v>179</v>
      </c>
      <c r="J224" t="b">
        <v>0</v>
      </c>
      <c r="K224" s="25" t="s">
        <v>31</v>
      </c>
      <c r="L224">
        <v>0</v>
      </c>
      <c r="M224" s="25" t="s">
        <v>26</v>
      </c>
      <c r="N224">
        <v>0</v>
      </c>
      <c r="O224">
        <v>0</v>
      </c>
    </row>
    <row r="225" spans="1:15" x14ac:dyDescent="0.3">
      <c r="A225">
        <v>224</v>
      </c>
      <c r="B225">
        <v>53</v>
      </c>
      <c r="C225" s="25" t="s">
        <v>16</v>
      </c>
      <c r="D225" s="25" t="s">
        <v>24</v>
      </c>
      <c r="E225">
        <v>123</v>
      </c>
      <c r="F225">
        <v>282</v>
      </c>
      <c r="G225" t="b">
        <v>0</v>
      </c>
      <c r="H225" s="25" t="s">
        <v>26</v>
      </c>
      <c r="I225">
        <v>95</v>
      </c>
      <c r="J225" t="b">
        <v>1</v>
      </c>
      <c r="K225" s="25" t="s">
        <v>25</v>
      </c>
      <c r="L225">
        <v>2</v>
      </c>
      <c r="M225" s="25" t="s">
        <v>27</v>
      </c>
      <c r="N225">
        <v>3</v>
      </c>
      <c r="O225">
        <v>2</v>
      </c>
    </row>
    <row r="226" spans="1:15" x14ac:dyDescent="0.3">
      <c r="A226">
        <v>225</v>
      </c>
      <c r="B226">
        <v>63</v>
      </c>
      <c r="C226" s="25" t="s">
        <v>29</v>
      </c>
      <c r="D226" s="25" t="s">
        <v>24</v>
      </c>
      <c r="E226">
        <v>108</v>
      </c>
      <c r="F226">
        <v>269</v>
      </c>
      <c r="G226" t="b">
        <v>0</v>
      </c>
      <c r="H226" s="25" t="s">
        <v>26</v>
      </c>
      <c r="I226">
        <v>169</v>
      </c>
      <c r="J226" t="b">
        <v>1</v>
      </c>
      <c r="K226" s="25" t="s">
        <v>25</v>
      </c>
      <c r="L226">
        <v>2</v>
      </c>
      <c r="M226" s="25" t="s">
        <v>26</v>
      </c>
      <c r="N226">
        <v>1</v>
      </c>
      <c r="O226">
        <v>0.8</v>
      </c>
    </row>
    <row r="227" spans="1:15" x14ac:dyDescent="0.3">
      <c r="A227">
        <v>226</v>
      </c>
      <c r="B227">
        <v>34</v>
      </c>
      <c r="C227" s="25" t="s">
        <v>29</v>
      </c>
      <c r="D227" s="25" t="s">
        <v>30</v>
      </c>
      <c r="E227">
        <v>118</v>
      </c>
      <c r="F227">
        <v>210</v>
      </c>
      <c r="G227" t="b">
        <v>0</v>
      </c>
      <c r="H227" s="25" t="s">
        <v>26</v>
      </c>
      <c r="I227">
        <v>192</v>
      </c>
      <c r="J227" t="b">
        <v>0</v>
      </c>
      <c r="K227" s="25" t="s">
        <v>31</v>
      </c>
      <c r="L227">
        <v>0</v>
      </c>
      <c r="M227" s="25" t="s">
        <v>26</v>
      </c>
      <c r="N227">
        <v>0</v>
      </c>
      <c r="O227">
        <v>0.7</v>
      </c>
    </row>
    <row r="228" spans="1:15" x14ac:dyDescent="0.3">
      <c r="A228">
        <v>227</v>
      </c>
      <c r="B228">
        <v>47</v>
      </c>
      <c r="C228" s="25" t="s">
        <v>16</v>
      </c>
      <c r="D228" s="25" t="s">
        <v>24</v>
      </c>
      <c r="E228">
        <v>112</v>
      </c>
      <c r="F228">
        <v>204</v>
      </c>
      <c r="G228" t="b">
        <v>0</v>
      </c>
      <c r="H228" s="25" t="s">
        <v>26</v>
      </c>
      <c r="I228">
        <v>143</v>
      </c>
      <c r="J228" t="b">
        <v>0</v>
      </c>
      <c r="K228" s="25" t="s">
        <v>31</v>
      </c>
      <c r="L228">
        <v>0</v>
      </c>
      <c r="M228" s="25" t="s">
        <v>26</v>
      </c>
      <c r="N228">
        <v>0</v>
      </c>
      <c r="O228">
        <v>0.1</v>
      </c>
    </row>
    <row r="229" spans="1:15" x14ac:dyDescent="0.3">
      <c r="A229">
        <v>228</v>
      </c>
      <c r="B229">
        <v>67</v>
      </c>
      <c r="C229" s="25" t="s">
        <v>29</v>
      </c>
      <c r="D229" s="25" t="s">
        <v>28</v>
      </c>
      <c r="E229">
        <v>152</v>
      </c>
      <c r="F229">
        <v>277</v>
      </c>
      <c r="G229" t="b">
        <v>0</v>
      </c>
      <c r="H229" s="25" t="s">
        <v>26</v>
      </c>
      <c r="I229">
        <v>172</v>
      </c>
      <c r="J229" t="b">
        <v>0</v>
      </c>
      <c r="K229" s="25" t="s">
        <v>31</v>
      </c>
      <c r="L229">
        <v>1</v>
      </c>
      <c r="M229" s="25" t="s">
        <v>26</v>
      </c>
      <c r="N229">
        <v>0</v>
      </c>
      <c r="O229">
        <v>0</v>
      </c>
    </row>
    <row r="230" spans="1:15" x14ac:dyDescent="0.3">
      <c r="A230">
        <v>229</v>
      </c>
      <c r="B230">
        <v>54</v>
      </c>
      <c r="C230" s="25" t="s">
        <v>16</v>
      </c>
      <c r="D230" s="25" t="s">
        <v>24</v>
      </c>
      <c r="E230">
        <v>110</v>
      </c>
      <c r="F230">
        <v>206</v>
      </c>
      <c r="G230" t="b">
        <v>0</v>
      </c>
      <c r="H230" s="25" t="s">
        <v>20</v>
      </c>
      <c r="I230">
        <v>108</v>
      </c>
      <c r="J230" t="b">
        <v>1</v>
      </c>
      <c r="K230" s="25" t="s">
        <v>25</v>
      </c>
      <c r="L230">
        <v>1</v>
      </c>
      <c r="M230" s="25" t="s">
        <v>26</v>
      </c>
      <c r="N230">
        <v>3</v>
      </c>
      <c r="O230">
        <v>0</v>
      </c>
    </row>
    <row r="231" spans="1:15" x14ac:dyDescent="0.3">
      <c r="A231">
        <v>230</v>
      </c>
      <c r="B231">
        <v>66</v>
      </c>
      <c r="C231" s="25" t="s">
        <v>16</v>
      </c>
      <c r="D231" s="25" t="s">
        <v>24</v>
      </c>
      <c r="E231">
        <v>112</v>
      </c>
      <c r="F231">
        <v>212</v>
      </c>
      <c r="G231" t="b">
        <v>0</v>
      </c>
      <c r="H231" s="25" t="s">
        <v>20</v>
      </c>
      <c r="I231">
        <v>132</v>
      </c>
      <c r="J231" t="b">
        <v>1</v>
      </c>
      <c r="K231" s="25" t="s">
        <v>31</v>
      </c>
      <c r="L231">
        <v>1</v>
      </c>
      <c r="M231" s="25" t="s">
        <v>26</v>
      </c>
      <c r="N231">
        <v>2</v>
      </c>
      <c r="O231">
        <v>0.1</v>
      </c>
    </row>
    <row r="232" spans="1:15" x14ac:dyDescent="0.3">
      <c r="A232">
        <v>231</v>
      </c>
      <c r="B232">
        <v>52</v>
      </c>
      <c r="C232" s="25" t="s">
        <v>29</v>
      </c>
      <c r="D232" s="25" t="s">
        <v>28</v>
      </c>
      <c r="E232">
        <v>136</v>
      </c>
      <c r="F232">
        <v>196</v>
      </c>
      <c r="G232" t="b">
        <v>0</v>
      </c>
      <c r="H232" s="25" t="s">
        <v>20</v>
      </c>
      <c r="I232">
        <v>169</v>
      </c>
      <c r="J232" t="b">
        <v>0</v>
      </c>
      <c r="K232" s="25" t="s">
        <v>25</v>
      </c>
      <c r="L232">
        <v>0</v>
      </c>
      <c r="M232" s="25" t="s">
        <v>26</v>
      </c>
      <c r="N232">
        <v>0</v>
      </c>
      <c r="O232">
        <v>0.1</v>
      </c>
    </row>
    <row r="233" spans="1:15" x14ac:dyDescent="0.3">
      <c r="A233">
        <v>232</v>
      </c>
      <c r="B233">
        <v>55</v>
      </c>
      <c r="C233" s="25" t="s">
        <v>29</v>
      </c>
      <c r="D233" s="25" t="s">
        <v>24</v>
      </c>
      <c r="E233">
        <v>180</v>
      </c>
      <c r="F233">
        <v>327</v>
      </c>
      <c r="G233" t="b">
        <v>0</v>
      </c>
      <c r="H233" s="25" t="s">
        <v>33</v>
      </c>
      <c r="I233">
        <v>117</v>
      </c>
      <c r="J233" t="b">
        <v>1</v>
      </c>
      <c r="K233" s="25" t="s">
        <v>25</v>
      </c>
      <c r="L233">
        <v>0</v>
      </c>
      <c r="M233" s="25" t="s">
        <v>26</v>
      </c>
      <c r="N233">
        <v>2</v>
      </c>
      <c r="O233">
        <v>0.4</v>
      </c>
    </row>
    <row r="234" spans="1:15" x14ac:dyDescent="0.3">
      <c r="A234">
        <v>233</v>
      </c>
      <c r="B234">
        <v>49</v>
      </c>
      <c r="C234" s="25" t="s">
        <v>16</v>
      </c>
      <c r="D234" s="25" t="s">
        <v>28</v>
      </c>
      <c r="E234">
        <v>118</v>
      </c>
      <c r="F234">
        <v>149</v>
      </c>
      <c r="G234" t="b">
        <v>0</v>
      </c>
      <c r="H234" s="25" t="s">
        <v>20</v>
      </c>
      <c r="I234">
        <v>126</v>
      </c>
      <c r="J234" t="b">
        <v>0</v>
      </c>
      <c r="K234" s="25" t="s">
        <v>31</v>
      </c>
      <c r="L234">
        <v>3</v>
      </c>
      <c r="M234" s="25" t="s">
        <v>26</v>
      </c>
      <c r="N234">
        <v>1</v>
      </c>
      <c r="O234">
        <v>0.8</v>
      </c>
    </row>
    <row r="235" spans="1:15" x14ac:dyDescent="0.3">
      <c r="A235">
        <v>234</v>
      </c>
      <c r="B235">
        <v>74</v>
      </c>
      <c r="C235" s="25" t="s">
        <v>29</v>
      </c>
      <c r="D235" s="25" t="s">
        <v>30</v>
      </c>
      <c r="E235">
        <v>120</v>
      </c>
      <c r="F235">
        <v>269</v>
      </c>
      <c r="G235" t="b">
        <v>0</v>
      </c>
      <c r="H235" s="25" t="s">
        <v>20</v>
      </c>
      <c r="I235">
        <v>121</v>
      </c>
      <c r="J235" t="b">
        <v>1</v>
      </c>
      <c r="K235" s="25" t="s">
        <v>31</v>
      </c>
      <c r="L235">
        <v>1</v>
      </c>
      <c r="M235" s="25" t="s">
        <v>26</v>
      </c>
      <c r="N235">
        <v>0</v>
      </c>
      <c r="O235">
        <v>0.2</v>
      </c>
    </row>
    <row r="236" spans="1:15" x14ac:dyDescent="0.3">
      <c r="A236">
        <v>235</v>
      </c>
      <c r="B236">
        <v>54</v>
      </c>
      <c r="C236" s="25" t="s">
        <v>29</v>
      </c>
      <c r="D236" s="25" t="s">
        <v>28</v>
      </c>
      <c r="E236">
        <v>160</v>
      </c>
      <c r="F236">
        <v>201</v>
      </c>
      <c r="G236" t="b">
        <v>0</v>
      </c>
      <c r="H236" s="25" t="s">
        <v>26</v>
      </c>
      <c r="I236">
        <v>163</v>
      </c>
      <c r="J236" t="b">
        <v>0</v>
      </c>
      <c r="K236" s="25" t="s">
        <v>31</v>
      </c>
      <c r="L236">
        <v>1</v>
      </c>
      <c r="M236" s="25" t="s">
        <v>26</v>
      </c>
      <c r="N236">
        <v>0</v>
      </c>
      <c r="O236">
        <v>0</v>
      </c>
    </row>
    <row r="237" spans="1:15" x14ac:dyDescent="0.3">
      <c r="A237">
        <v>236</v>
      </c>
      <c r="B237">
        <v>54</v>
      </c>
      <c r="C237" s="25" t="s">
        <v>16</v>
      </c>
      <c r="D237" s="25" t="s">
        <v>24</v>
      </c>
      <c r="E237">
        <v>122</v>
      </c>
      <c r="F237">
        <v>286</v>
      </c>
      <c r="G237" t="b">
        <v>0</v>
      </c>
      <c r="H237" s="25" t="s">
        <v>20</v>
      </c>
      <c r="I237">
        <v>116</v>
      </c>
      <c r="J237" t="b">
        <v>1</v>
      </c>
      <c r="K237" s="25" t="s">
        <v>25</v>
      </c>
      <c r="L237">
        <v>2</v>
      </c>
      <c r="M237" s="25" t="s">
        <v>26</v>
      </c>
      <c r="N237">
        <v>3</v>
      </c>
      <c r="O237">
        <v>0.2</v>
      </c>
    </row>
    <row r="238" spans="1:15" x14ac:dyDescent="0.3">
      <c r="A238">
        <v>237</v>
      </c>
      <c r="B238">
        <v>56</v>
      </c>
      <c r="C238" s="25" t="s">
        <v>16</v>
      </c>
      <c r="D238" s="25" t="s">
        <v>24</v>
      </c>
      <c r="E238">
        <v>130</v>
      </c>
      <c r="F238">
        <v>283</v>
      </c>
      <c r="G238" t="b">
        <v>1</v>
      </c>
      <c r="H238" s="25" t="s">
        <v>20</v>
      </c>
      <c r="I238">
        <v>103</v>
      </c>
      <c r="J238" t="b">
        <v>1</v>
      </c>
      <c r="K238" s="25" t="s">
        <v>22</v>
      </c>
      <c r="L238">
        <v>0</v>
      </c>
      <c r="M238" s="25" t="s">
        <v>27</v>
      </c>
      <c r="N238">
        <v>2</v>
      </c>
      <c r="O238">
        <v>0.6</v>
      </c>
    </row>
    <row r="239" spans="1:15" x14ac:dyDescent="0.3">
      <c r="A239">
        <v>238</v>
      </c>
      <c r="B239">
        <v>46</v>
      </c>
      <c r="C239" s="25" t="s">
        <v>16</v>
      </c>
      <c r="D239" s="25" t="s">
        <v>24</v>
      </c>
      <c r="E239">
        <v>120</v>
      </c>
      <c r="F239">
        <v>249</v>
      </c>
      <c r="G239" t="b">
        <v>0</v>
      </c>
      <c r="H239" s="25" t="s">
        <v>20</v>
      </c>
      <c r="I239">
        <v>144</v>
      </c>
      <c r="J239" t="b">
        <v>0</v>
      </c>
      <c r="K239" s="25" t="s">
        <v>31</v>
      </c>
      <c r="L239">
        <v>0</v>
      </c>
      <c r="M239" s="25" t="s">
        <v>27</v>
      </c>
      <c r="N239">
        <v>1</v>
      </c>
      <c r="O239">
        <v>0.8</v>
      </c>
    </row>
    <row r="240" spans="1:15" x14ac:dyDescent="0.3">
      <c r="A240">
        <v>239</v>
      </c>
      <c r="B240">
        <v>49</v>
      </c>
      <c r="C240" s="25" t="s">
        <v>29</v>
      </c>
      <c r="D240" s="25" t="s">
        <v>30</v>
      </c>
      <c r="E240">
        <v>134</v>
      </c>
      <c r="F240">
        <v>271</v>
      </c>
      <c r="G240" t="b">
        <v>0</v>
      </c>
      <c r="H240" s="25" t="s">
        <v>26</v>
      </c>
      <c r="I240">
        <v>162</v>
      </c>
      <c r="J240" t="b">
        <v>0</v>
      </c>
      <c r="K240" s="25" t="s">
        <v>25</v>
      </c>
      <c r="L240">
        <v>0</v>
      </c>
      <c r="M240" s="25" t="s">
        <v>26</v>
      </c>
      <c r="N240">
        <v>0</v>
      </c>
      <c r="O240">
        <v>0</v>
      </c>
    </row>
    <row r="241" spans="1:15" x14ac:dyDescent="0.3">
      <c r="A241">
        <v>240</v>
      </c>
      <c r="B241">
        <v>42</v>
      </c>
      <c r="C241" s="25" t="s">
        <v>16</v>
      </c>
      <c r="D241" s="25" t="s">
        <v>30</v>
      </c>
      <c r="E241">
        <v>120</v>
      </c>
      <c r="F241">
        <v>295</v>
      </c>
      <c r="G241" t="b">
        <v>0</v>
      </c>
      <c r="H241" s="25" t="s">
        <v>26</v>
      </c>
      <c r="I241">
        <v>162</v>
      </c>
      <c r="J241" t="b">
        <v>0</v>
      </c>
      <c r="K241" s="25" t="s">
        <v>31</v>
      </c>
      <c r="L241">
        <v>0</v>
      </c>
      <c r="M241" s="25" t="s">
        <v>26</v>
      </c>
      <c r="N241">
        <v>0</v>
      </c>
      <c r="O241">
        <v>0</v>
      </c>
    </row>
    <row r="242" spans="1:15" x14ac:dyDescent="0.3">
      <c r="A242">
        <v>241</v>
      </c>
      <c r="B242">
        <v>41</v>
      </c>
      <c r="C242" s="25" t="s">
        <v>16</v>
      </c>
      <c r="D242" s="25" t="s">
        <v>30</v>
      </c>
      <c r="E242">
        <v>110</v>
      </c>
      <c r="F242">
        <v>235</v>
      </c>
      <c r="G242" t="b">
        <v>0</v>
      </c>
      <c r="H242" s="25" t="s">
        <v>26</v>
      </c>
      <c r="I242">
        <v>153</v>
      </c>
      <c r="J242" t="b">
        <v>0</v>
      </c>
      <c r="K242" s="25" t="s">
        <v>31</v>
      </c>
      <c r="L242">
        <v>0</v>
      </c>
      <c r="M242" s="25" t="s">
        <v>26</v>
      </c>
      <c r="N242">
        <v>0</v>
      </c>
      <c r="O242">
        <v>0</v>
      </c>
    </row>
    <row r="243" spans="1:15" x14ac:dyDescent="0.3">
      <c r="A243">
        <v>242</v>
      </c>
      <c r="B243">
        <v>41</v>
      </c>
      <c r="C243" s="25" t="s">
        <v>29</v>
      </c>
      <c r="D243" s="25" t="s">
        <v>30</v>
      </c>
      <c r="E243">
        <v>126</v>
      </c>
      <c r="F243">
        <v>306</v>
      </c>
      <c r="G243" t="b">
        <v>0</v>
      </c>
      <c r="H243" s="25" t="s">
        <v>26</v>
      </c>
      <c r="I243">
        <v>163</v>
      </c>
      <c r="J243" t="b">
        <v>0</v>
      </c>
      <c r="K243" s="25" t="s">
        <v>31</v>
      </c>
      <c r="L243">
        <v>0</v>
      </c>
      <c r="M243" s="25" t="s">
        <v>26</v>
      </c>
      <c r="N243">
        <v>0</v>
      </c>
      <c r="O243">
        <v>0</v>
      </c>
    </row>
    <row r="244" spans="1:15" x14ac:dyDescent="0.3">
      <c r="A244">
        <v>243</v>
      </c>
      <c r="B244">
        <v>49</v>
      </c>
      <c r="C244" s="25" t="s">
        <v>29</v>
      </c>
      <c r="D244" s="25" t="s">
        <v>24</v>
      </c>
      <c r="E244">
        <v>130</v>
      </c>
      <c r="F244">
        <v>269</v>
      </c>
      <c r="G244" t="b">
        <v>0</v>
      </c>
      <c r="H244" s="25" t="s">
        <v>26</v>
      </c>
      <c r="I244">
        <v>163</v>
      </c>
      <c r="J244" t="b">
        <v>0</v>
      </c>
      <c r="K244" s="25" t="s">
        <v>31</v>
      </c>
      <c r="L244">
        <v>0</v>
      </c>
      <c r="M244" s="25" t="s">
        <v>26</v>
      </c>
      <c r="N244">
        <v>0</v>
      </c>
      <c r="O244">
        <v>0</v>
      </c>
    </row>
    <row r="245" spans="1:15" x14ac:dyDescent="0.3">
      <c r="A245">
        <v>244</v>
      </c>
      <c r="B245">
        <v>61</v>
      </c>
      <c r="C245" s="25" t="s">
        <v>16</v>
      </c>
      <c r="D245" s="25" t="s">
        <v>18</v>
      </c>
      <c r="E245">
        <v>134</v>
      </c>
      <c r="F245">
        <v>234</v>
      </c>
      <c r="G245" t="b">
        <v>0</v>
      </c>
      <c r="H245" s="25" t="s">
        <v>26</v>
      </c>
      <c r="I245">
        <v>145</v>
      </c>
      <c r="J245" t="b">
        <v>0</v>
      </c>
      <c r="K245" s="25" t="s">
        <v>25</v>
      </c>
      <c r="L245">
        <v>2</v>
      </c>
      <c r="M245" s="25" t="s">
        <v>26</v>
      </c>
      <c r="N245">
        <v>2</v>
      </c>
      <c r="O245">
        <v>0.6</v>
      </c>
    </row>
    <row r="246" spans="1:15" x14ac:dyDescent="0.3">
      <c r="A246">
        <v>245</v>
      </c>
      <c r="B246">
        <v>60</v>
      </c>
      <c r="C246" s="25" t="s">
        <v>29</v>
      </c>
      <c r="D246" s="25" t="s">
        <v>28</v>
      </c>
      <c r="E246">
        <v>120</v>
      </c>
      <c r="F246">
        <v>178</v>
      </c>
      <c r="G246" t="b">
        <v>1</v>
      </c>
      <c r="H246" s="25" t="s">
        <v>26</v>
      </c>
      <c r="I246">
        <v>96</v>
      </c>
      <c r="J246" t="b">
        <v>0</v>
      </c>
      <c r="K246" s="25" t="s">
        <v>31</v>
      </c>
      <c r="L246">
        <v>0</v>
      </c>
      <c r="M246" s="25" t="s">
        <v>26</v>
      </c>
      <c r="N246">
        <v>0</v>
      </c>
      <c r="O246">
        <v>0</v>
      </c>
    </row>
    <row r="247" spans="1:15" x14ac:dyDescent="0.3">
      <c r="A247">
        <v>246</v>
      </c>
      <c r="B247">
        <v>67</v>
      </c>
      <c r="C247" s="25" t="s">
        <v>16</v>
      </c>
      <c r="D247" s="25" t="s">
        <v>24</v>
      </c>
      <c r="E247">
        <v>120</v>
      </c>
      <c r="F247">
        <v>237</v>
      </c>
      <c r="G247" t="b">
        <v>0</v>
      </c>
      <c r="H247" s="25" t="s">
        <v>26</v>
      </c>
      <c r="I247">
        <v>71</v>
      </c>
      <c r="J247" t="b">
        <v>0</v>
      </c>
      <c r="K247" s="25" t="s">
        <v>25</v>
      </c>
      <c r="L247">
        <v>0</v>
      </c>
      <c r="M247" s="25" t="s">
        <v>26</v>
      </c>
      <c r="N247">
        <v>2</v>
      </c>
      <c r="O247">
        <v>1</v>
      </c>
    </row>
    <row r="248" spans="1:15" x14ac:dyDescent="0.3">
      <c r="A248">
        <v>247</v>
      </c>
      <c r="B248">
        <v>58</v>
      </c>
      <c r="C248" s="25" t="s">
        <v>16</v>
      </c>
      <c r="D248" s="25" t="s">
        <v>24</v>
      </c>
      <c r="E248">
        <v>100</v>
      </c>
      <c r="F248">
        <v>234</v>
      </c>
      <c r="G248" t="b">
        <v>0</v>
      </c>
      <c r="H248" s="25" t="s">
        <v>26</v>
      </c>
      <c r="I248">
        <v>156</v>
      </c>
      <c r="J248" t="b">
        <v>0</v>
      </c>
      <c r="K248" s="25" t="s">
        <v>31</v>
      </c>
      <c r="L248">
        <v>1</v>
      </c>
      <c r="M248" s="25" t="s">
        <v>27</v>
      </c>
      <c r="N248">
        <v>2</v>
      </c>
      <c r="O248">
        <v>0.1</v>
      </c>
    </row>
    <row r="249" spans="1:15" x14ac:dyDescent="0.3">
      <c r="A249">
        <v>248</v>
      </c>
      <c r="B249">
        <v>47</v>
      </c>
      <c r="C249" s="25" t="s">
        <v>16</v>
      </c>
      <c r="D249" s="25" t="s">
        <v>24</v>
      </c>
      <c r="E249">
        <v>110</v>
      </c>
      <c r="F249">
        <v>275</v>
      </c>
      <c r="G249" t="b">
        <v>0</v>
      </c>
      <c r="H249" s="25" t="s">
        <v>20</v>
      </c>
      <c r="I249">
        <v>118</v>
      </c>
      <c r="J249" t="b">
        <v>1</v>
      </c>
      <c r="K249" s="25" t="s">
        <v>25</v>
      </c>
      <c r="L249">
        <v>1</v>
      </c>
      <c r="M249" s="25" t="s">
        <v>26</v>
      </c>
      <c r="N249">
        <v>1</v>
      </c>
      <c r="O249">
        <v>1</v>
      </c>
    </row>
    <row r="250" spans="1:15" x14ac:dyDescent="0.3">
      <c r="A250">
        <v>249</v>
      </c>
      <c r="B250">
        <v>52</v>
      </c>
      <c r="C250" s="25" t="s">
        <v>16</v>
      </c>
      <c r="D250" s="25" t="s">
        <v>24</v>
      </c>
      <c r="E250">
        <v>125</v>
      </c>
      <c r="F250">
        <v>212</v>
      </c>
      <c r="G250" t="b">
        <v>0</v>
      </c>
      <c r="H250" s="25" t="s">
        <v>26</v>
      </c>
      <c r="I250">
        <v>168</v>
      </c>
      <c r="J250" t="b">
        <v>0</v>
      </c>
      <c r="K250" s="25" t="s">
        <v>31</v>
      </c>
      <c r="L250">
        <v>2</v>
      </c>
      <c r="M250" s="25" t="s">
        <v>27</v>
      </c>
      <c r="N250">
        <v>3</v>
      </c>
      <c r="O250">
        <v>1</v>
      </c>
    </row>
    <row r="251" spans="1:15" x14ac:dyDescent="0.3">
      <c r="A251">
        <v>250</v>
      </c>
      <c r="B251">
        <v>62</v>
      </c>
      <c r="C251" s="25" t="s">
        <v>16</v>
      </c>
      <c r="D251" s="25" t="s">
        <v>30</v>
      </c>
      <c r="E251">
        <v>128</v>
      </c>
      <c r="F251">
        <v>208</v>
      </c>
      <c r="G251" t="b">
        <v>1</v>
      </c>
      <c r="H251" s="25" t="s">
        <v>20</v>
      </c>
      <c r="I251">
        <v>140</v>
      </c>
      <c r="J251" t="b">
        <v>0</v>
      </c>
      <c r="K251" s="25" t="s">
        <v>31</v>
      </c>
      <c r="L251">
        <v>0</v>
      </c>
      <c r="M251" s="25" t="s">
        <v>26</v>
      </c>
      <c r="N251">
        <v>0</v>
      </c>
      <c r="O251">
        <v>0</v>
      </c>
    </row>
    <row r="252" spans="1:15" x14ac:dyDescent="0.3">
      <c r="A252">
        <v>251</v>
      </c>
      <c r="B252">
        <v>57</v>
      </c>
      <c r="C252" s="25" t="s">
        <v>16</v>
      </c>
      <c r="D252" s="25" t="s">
        <v>24</v>
      </c>
      <c r="E252">
        <v>110</v>
      </c>
      <c r="F252">
        <v>201</v>
      </c>
      <c r="G252" t="b">
        <v>0</v>
      </c>
      <c r="H252" s="25" t="s">
        <v>26</v>
      </c>
      <c r="I252">
        <v>126</v>
      </c>
      <c r="J252" t="b">
        <v>1</v>
      </c>
      <c r="K252" s="25" t="s">
        <v>25</v>
      </c>
      <c r="L252">
        <v>0</v>
      </c>
      <c r="M252" s="25" t="s">
        <v>23</v>
      </c>
      <c r="N252">
        <v>0</v>
      </c>
      <c r="O252">
        <v>0.5</v>
      </c>
    </row>
    <row r="253" spans="1:15" x14ac:dyDescent="0.3">
      <c r="A253">
        <v>252</v>
      </c>
      <c r="B253">
        <v>58</v>
      </c>
      <c r="C253" s="25" t="s">
        <v>16</v>
      </c>
      <c r="D253" s="25" t="s">
        <v>24</v>
      </c>
      <c r="E253">
        <v>146</v>
      </c>
      <c r="F253">
        <v>218</v>
      </c>
      <c r="G253" t="b">
        <v>0</v>
      </c>
      <c r="H253" s="25" t="s">
        <v>26</v>
      </c>
      <c r="I253">
        <v>105</v>
      </c>
      <c r="J253" t="b">
        <v>0</v>
      </c>
      <c r="K253" s="25" t="s">
        <v>25</v>
      </c>
      <c r="L253">
        <v>1</v>
      </c>
      <c r="M253" s="25" t="s">
        <v>27</v>
      </c>
      <c r="N253">
        <v>1</v>
      </c>
      <c r="O253">
        <v>2</v>
      </c>
    </row>
    <row r="254" spans="1:15" x14ac:dyDescent="0.3">
      <c r="A254">
        <v>253</v>
      </c>
      <c r="B254">
        <v>64</v>
      </c>
      <c r="C254" s="25" t="s">
        <v>16</v>
      </c>
      <c r="D254" s="25" t="s">
        <v>24</v>
      </c>
      <c r="E254">
        <v>128</v>
      </c>
      <c r="F254">
        <v>263</v>
      </c>
      <c r="G254" t="b">
        <v>0</v>
      </c>
      <c r="H254" s="25" t="s">
        <v>26</v>
      </c>
      <c r="I254">
        <v>105</v>
      </c>
      <c r="J254" t="b">
        <v>1</v>
      </c>
      <c r="K254" s="25" t="s">
        <v>25</v>
      </c>
      <c r="L254">
        <v>1</v>
      </c>
      <c r="M254" s="25" t="s">
        <v>27</v>
      </c>
      <c r="N254">
        <v>0</v>
      </c>
      <c r="O254">
        <v>0.2</v>
      </c>
    </row>
    <row r="255" spans="1:15" x14ac:dyDescent="0.3">
      <c r="A255">
        <v>254</v>
      </c>
      <c r="B255">
        <v>51</v>
      </c>
      <c r="C255" s="25" t="s">
        <v>29</v>
      </c>
      <c r="D255" s="25" t="s">
        <v>28</v>
      </c>
      <c r="E255">
        <v>120</v>
      </c>
      <c r="F255">
        <v>295</v>
      </c>
      <c r="G255" t="b">
        <v>0</v>
      </c>
      <c r="H255" s="25" t="s">
        <v>20</v>
      </c>
      <c r="I255">
        <v>157</v>
      </c>
      <c r="J255" t="b">
        <v>0</v>
      </c>
      <c r="K255" s="25" t="s">
        <v>31</v>
      </c>
      <c r="L255">
        <v>0</v>
      </c>
      <c r="M255" s="25" t="s">
        <v>26</v>
      </c>
      <c r="N255">
        <v>0</v>
      </c>
      <c r="O255">
        <v>0.6</v>
      </c>
    </row>
    <row r="256" spans="1:15" x14ac:dyDescent="0.3">
      <c r="A256">
        <v>255</v>
      </c>
      <c r="B256">
        <v>43</v>
      </c>
      <c r="C256" s="25" t="s">
        <v>16</v>
      </c>
      <c r="D256" s="25" t="s">
        <v>24</v>
      </c>
      <c r="E256">
        <v>115</v>
      </c>
      <c r="F256">
        <v>303</v>
      </c>
      <c r="G256" t="b">
        <v>0</v>
      </c>
      <c r="H256" s="25" t="s">
        <v>26</v>
      </c>
      <c r="I256">
        <v>181</v>
      </c>
      <c r="J256" t="b">
        <v>0</v>
      </c>
      <c r="K256" s="25" t="s">
        <v>25</v>
      </c>
      <c r="L256">
        <v>0</v>
      </c>
      <c r="M256" s="25" t="s">
        <v>26</v>
      </c>
      <c r="N256">
        <v>0</v>
      </c>
      <c r="O256">
        <v>0.2</v>
      </c>
    </row>
    <row r="257" spans="1:15" x14ac:dyDescent="0.3">
      <c r="A257">
        <v>256</v>
      </c>
      <c r="B257">
        <v>42</v>
      </c>
      <c r="C257" s="25" t="s">
        <v>29</v>
      </c>
      <c r="D257" s="25" t="s">
        <v>28</v>
      </c>
      <c r="E257">
        <v>120</v>
      </c>
      <c r="F257">
        <v>209</v>
      </c>
      <c r="G257" t="b">
        <v>0</v>
      </c>
      <c r="H257" s="25" t="s">
        <v>26</v>
      </c>
      <c r="I257">
        <v>173</v>
      </c>
      <c r="J257" t="b">
        <v>0</v>
      </c>
      <c r="K257" s="25" t="s">
        <v>25</v>
      </c>
      <c r="L257">
        <v>0</v>
      </c>
      <c r="M257" s="25" t="s">
        <v>26</v>
      </c>
      <c r="N257">
        <v>0</v>
      </c>
      <c r="O257">
        <v>0</v>
      </c>
    </row>
    <row r="258" spans="1:15" x14ac:dyDescent="0.3">
      <c r="A258">
        <v>257</v>
      </c>
      <c r="B258">
        <v>67</v>
      </c>
      <c r="C258" s="25" t="s">
        <v>29</v>
      </c>
      <c r="D258" s="25" t="s">
        <v>24</v>
      </c>
      <c r="E258">
        <v>106</v>
      </c>
      <c r="F258">
        <v>223</v>
      </c>
      <c r="G258" t="b">
        <v>0</v>
      </c>
      <c r="H258" s="25" t="s">
        <v>26</v>
      </c>
      <c r="I258">
        <v>142</v>
      </c>
      <c r="J258" t="b">
        <v>0</v>
      </c>
      <c r="K258" s="25" t="s">
        <v>31</v>
      </c>
      <c r="L258">
        <v>2</v>
      </c>
      <c r="M258" s="25" t="s">
        <v>26</v>
      </c>
      <c r="N258">
        <v>0</v>
      </c>
      <c r="O258">
        <v>0.3</v>
      </c>
    </row>
    <row r="259" spans="1:15" x14ac:dyDescent="0.3">
      <c r="A259">
        <v>258</v>
      </c>
      <c r="B259">
        <v>76</v>
      </c>
      <c r="C259" s="25" t="s">
        <v>29</v>
      </c>
      <c r="D259" s="25" t="s">
        <v>28</v>
      </c>
      <c r="E259">
        <v>140</v>
      </c>
      <c r="F259">
        <v>197</v>
      </c>
      <c r="G259" t="b">
        <v>0</v>
      </c>
      <c r="H259" s="25" t="s">
        <v>33</v>
      </c>
      <c r="I259">
        <v>116</v>
      </c>
      <c r="J259" t="b">
        <v>0</v>
      </c>
      <c r="K259" s="25" t="s">
        <v>25</v>
      </c>
      <c r="L259">
        <v>0</v>
      </c>
      <c r="M259" s="25" t="s">
        <v>26</v>
      </c>
      <c r="N259">
        <v>0</v>
      </c>
      <c r="O259">
        <v>0.1</v>
      </c>
    </row>
    <row r="260" spans="1:15" x14ac:dyDescent="0.3">
      <c r="A260">
        <v>259</v>
      </c>
      <c r="B260">
        <v>70</v>
      </c>
      <c r="C260" s="25" t="s">
        <v>16</v>
      </c>
      <c r="D260" s="25" t="s">
        <v>30</v>
      </c>
      <c r="E260">
        <v>156</v>
      </c>
      <c r="F260">
        <v>245</v>
      </c>
      <c r="G260" t="b">
        <v>0</v>
      </c>
      <c r="H260" s="25" t="s">
        <v>20</v>
      </c>
      <c r="I260">
        <v>143</v>
      </c>
      <c r="J260" t="b">
        <v>0</v>
      </c>
      <c r="K260" s="25" t="s">
        <v>31</v>
      </c>
      <c r="L260">
        <v>0</v>
      </c>
      <c r="M260" s="25" t="s">
        <v>26</v>
      </c>
      <c r="N260">
        <v>0</v>
      </c>
      <c r="O260">
        <v>0</v>
      </c>
    </row>
    <row r="261" spans="1:15" x14ac:dyDescent="0.3">
      <c r="A261">
        <v>260</v>
      </c>
      <c r="B261">
        <v>57</v>
      </c>
      <c r="C261" s="25" t="s">
        <v>16</v>
      </c>
      <c r="D261" s="25" t="s">
        <v>30</v>
      </c>
      <c r="E261">
        <v>124</v>
      </c>
      <c r="F261">
        <v>261</v>
      </c>
      <c r="G261" t="b">
        <v>0</v>
      </c>
      <c r="H261" s="25" t="s">
        <v>26</v>
      </c>
      <c r="I261">
        <v>141</v>
      </c>
      <c r="J261" t="b">
        <v>0</v>
      </c>
      <c r="K261" s="25" t="s">
        <v>31</v>
      </c>
      <c r="L261">
        <v>0</v>
      </c>
      <c r="M261" s="25" t="s">
        <v>27</v>
      </c>
      <c r="N261">
        <v>1</v>
      </c>
      <c r="O261">
        <v>0.3</v>
      </c>
    </row>
    <row r="262" spans="1:15" x14ac:dyDescent="0.3">
      <c r="A262">
        <v>261</v>
      </c>
      <c r="B262">
        <v>44</v>
      </c>
      <c r="C262" s="25" t="s">
        <v>29</v>
      </c>
      <c r="D262" s="25" t="s">
        <v>28</v>
      </c>
      <c r="E262">
        <v>118</v>
      </c>
      <c r="F262">
        <v>242</v>
      </c>
      <c r="G262" t="b">
        <v>0</v>
      </c>
      <c r="H262" s="25" t="s">
        <v>26</v>
      </c>
      <c r="I262">
        <v>149</v>
      </c>
      <c r="J262" t="b">
        <v>0</v>
      </c>
      <c r="K262" s="25" t="s">
        <v>25</v>
      </c>
      <c r="L262">
        <v>1</v>
      </c>
      <c r="M262" s="25" t="s">
        <v>26</v>
      </c>
      <c r="N262">
        <v>0</v>
      </c>
      <c r="O262">
        <v>0.3</v>
      </c>
    </row>
    <row r="263" spans="1:15" x14ac:dyDescent="0.3">
      <c r="A263">
        <v>262</v>
      </c>
      <c r="B263">
        <v>58</v>
      </c>
      <c r="C263" s="25" t="s">
        <v>29</v>
      </c>
      <c r="D263" s="25" t="s">
        <v>30</v>
      </c>
      <c r="E263">
        <v>136</v>
      </c>
      <c r="F263">
        <v>319</v>
      </c>
      <c r="G263" t="b">
        <v>1</v>
      </c>
      <c r="H263" s="25" t="s">
        <v>20</v>
      </c>
      <c r="I263">
        <v>152</v>
      </c>
      <c r="J263" t="b">
        <v>0</v>
      </c>
      <c r="K263" s="25" t="s">
        <v>31</v>
      </c>
      <c r="L263">
        <v>2</v>
      </c>
      <c r="M263" s="25" t="s">
        <v>26</v>
      </c>
      <c r="N263">
        <v>3</v>
      </c>
      <c r="O263">
        <v>0</v>
      </c>
    </row>
    <row r="264" spans="1:15" x14ac:dyDescent="0.3">
      <c r="A264">
        <v>263</v>
      </c>
      <c r="B264">
        <v>60</v>
      </c>
      <c r="C264" s="25" t="s">
        <v>29</v>
      </c>
      <c r="D264" s="25" t="s">
        <v>18</v>
      </c>
      <c r="E264">
        <v>150</v>
      </c>
      <c r="F264">
        <v>240</v>
      </c>
      <c r="G264" t="b">
        <v>0</v>
      </c>
      <c r="H264" s="25" t="s">
        <v>26</v>
      </c>
      <c r="I264">
        <v>171</v>
      </c>
      <c r="J264" t="b">
        <v>0</v>
      </c>
      <c r="K264" s="25" t="s">
        <v>31</v>
      </c>
      <c r="L264">
        <v>0</v>
      </c>
      <c r="M264" s="25" t="s">
        <v>26</v>
      </c>
      <c r="N264">
        <v>0</v>
      </c>
      <c r="O264">
        <v>0.9</v>
      </c>
    </row>
    <row r="265" spans="1:15" x14ac:dyDescent="0.3">
      <c r="A265">
        <v>264</v>
      </c>
      <c r="B265">
        <v>44</v>
      </c>
      <c r="C265" s="25" t="s">
        <v>16</v>
      </c>
      <c r="D265" s="25" t="s">
        <v>28</v>
      </c>
      <c r="E265">
        <v>120</v>
      </c>
      <c r="F265">
        <v>226</v>
      </c>
      <c r="G265" t="b">
        <v>0</v>
      </c>
      <c r="H265" s="25" t="s">
        <v>26</v>
      </c>
      <c r="I265">
        <v>169</v>
      </c>
      <c r="J265" t="b">
        <v>0</v>
      </c>
      <c r="K265" s="25" t="s">
        <v>31</v>
      </c>
      <c r="L265">
        <v>0</v>
      </c>
      <c r="M265" s="25" t="s">
        <v>26</v>
      </c>
      <c r="N265">
        <v>0</v>
      </c>
      <c r="O265">
        <v>0</v>
      </c>
    </row>
    <row r="266" spans="1:15" x14ac:dyDescent="0.3">
      <c r="A266">
        <v>265</v>
      </c>
      <c r="B266">
        <v>61</v>
      </c>
      <c r="C266" s="25" t="s">
        <v>16</v>
      </c>
      <c r="D266" s="25" t="s">
        <v>24</v>
      </c>
      <c r="E266">
        <v>138</v>
      </c>
      <c r="F266">
        <v>166</v>
      </c>
      <c r="G266" t="b">
        <v>0</v>
      </c>
      <c r="H266" s="25" t="s">
        <v>20</v>
      </c>
      <c r="I266">
        <v>125</v>
      </c>
      <c r="J266" t="b">
        <v>1</v>
      </c>
      <c r="K266" s="25" t="s">
        <v>25</v>
      </c>
      <c r="L266">
        <v>1</v>
      </c>
      <c r="M266" s="25" t="s">
        <v>26</v>
      </c>
      <c r="N266">
        <v>4</v>
      </c>
      <c r="O266">
        <v>0.6</v>
      </c>
    </row>
    <row r="267" spans="1:15" x14ac:dyDescent="0.3">
      <c r="A267">
        <v>266</v>
      </c>
      <c r="B267">
        <v>42</v>
      </c>
      <c r="C267" s="25" t="s">
        <v>16</v>
      </c>
      <c r="D267" s="25" t="s">
        <v>24</v>
      </c>
      <c r="E267">
        <v>136</v>
      </c>
      <c r="F267">
        <v>315</v>
      </c>
      <c r="G267" t="b">
        <v>0</v>
      </c>
      <c r="H267" s="25" t="s">
        <v>26</v>
      </c>
      <c r="I267">
        <v>125</v>
      </c>
      <c r="J267" t="b">
        <v>1</v>
      </c>
      <c r="K267" s="25" t="s">
        <v>25</v>
      </c>
      <c r="L267">
        <v>0</v>
      </c>
      <c r="M267" s="25" t="s">
        <v>23</v>
      </c>
      <c r="N267">
        <v>2</v>
      </c>
      <c r="O267">
        <v>0.8</v>
      </c>
    </row>
    <row r="268" spans="1:15" x14ac:dyDescent="0.3">
      <c r="A268">
        <v>267</v>
      </c>
      <c r="B268">
        <v>52</v>
      </c>
      <c r="C268" s="25" t="s">
        <v>16</v>
      </c>
      <c r="D268" s="25" t="s">
        <v>24</v>
      </c>
      <c r="E268">
        <v>128</v>
      </c>
      <c r="F268">
        <v>204</v>
      </c>
      <c r="G268" t="b">
        <v>1</v>
      </c>
      <c r="H268" s="25" t="s">
        <v>26</v>
      </c>
      <c r="I268">
        <v>156</v>
      </c>
      <c r="J268" t="b">
        <v>1</v>
      </c>
      <c r="K268" s="25" t="s">
        <v>25</v>
      </c>
      <c r="L268">
        <v>0</v>
      </c>
      <c r="M268" s="25" t="s">
        <v>32</v>
      </c>
      <c r="N268">
        <v>2</v>
      </c>
      <c r="O268">
        <v>1</v>
      </c>
    </row>
    <row r="269" spans="1:15" x14ac:dyDescent="0.3">
      <c r="A269">
        <v>268</v>
      </c>
      <c r="B269">
        <v>59</v>
      </c>
      <c r="C269" s="25" t="s">
        <v>16</v>
      </c>
      <c r="D269" s="25" t="s">
        <v>28</v>
      </c>
      <c r="E269">
        <v>126</v>
      </c>
      <c r="F269">
        <v>218</v>
      </c>
      <c r="G269" t="b">
        <v>1</v>
      </c>
      <c r="H269" s="25" t="s">
        <v>26</v>
      </c>
      <c r="I269">
        <v>134</v>
      </c>
      <c r="J269" t="b">
        <v>0</v>
      </c>
      <c r="K269" s="25" t="s">
        <v>25</v>
      </c>
      <c r="L269">
        <v>1</v>
      </c>
      <c r="M269" s="25" t="s">
        <v>23</v>
      </c>
      <c r="N269">
        <v>2</v>
      </c>
      <c r="O269">
        <v>0.2</v>
      </c>
    </row>
    <row r="270" spans="1:15" x14ac:dyDescent="0.3">
      <c r="A270">
        <v>269</v>
      </c>
      <c r="B270">
        <v>40</v>
      </c>
      <c r="C270" s="25" t="s">
        <v>16</v>
      </c>
      <c r="D270" s="25" t="s">
        <v>24</v>
      </c>
      <c r="E270">
        <v>152</v>
      </c>
      <c r="F270">
        <v>223</v>
      </c>
      <c r="G270" t="b">
        <v>0</v>
      </c>
      <c r="H270" s="25" t="s">
        <v>26</v>
      </c>
      <c r="I270">
        <v>181</v>
      </c>
      <c r="J270" t="b">
        <v>0</v>
      </c>
      <c r="K270" s="25" t="s">
        <v>31</v>
      </c>
      <c r="L270">
        <v>0</v>
      </c>
      <c r="M270" s="25" t="s">
        <v>27</v>
      </c>
      <c r="N270">
        <v>1</v>
      </c>
      <c r="O270">
        <v>0</v>
      </c>
    </row>
    <row r="271" spans="1:15" x14ac:dyDescent="0.3">
      <c r="A271">
        <v>270</v>
      </c>
      <c r="B271">
        <v>42</v>
      </c>
      <c r="C271" s="25" t="s">
        <v>16</v>
      </c>
      <c r="D271" s="25" t="s">
        <v>28</v>
      </c>
      <c r="E271">
        <v>130</v>
      </c>
      <c r="F271">
        <v>180</v>
      </c>
      <c r="G271" t="b">
        <v>0</v>
      </c>
      <c r="H271" s="25" t="s">
        <v>26</v>
      </c>
      <c r="I271">
        <v>150</v>
      </c>
      <c r="J271" t="b">
        <v>0</v>
      </c>
      <c r="K271" s="25" t="s">
        <v>31</v>
      </c>
      <c r="L271">
        <v>0</v>
      </c>
      <c r="M271" s="25" t="s">
        <v>26</v>
      </c>
      <c r="N271">
        <v>0</v>
      </c>
      <c r="O271">
        <v>0</v>
      </c>
    </row>
    <row r="272" spans="1:15" x14ac:dyDescent="0.3">
      <c r="A272">
        <v>271</v>
      </c>
      <c r="B272">
        <v>61</v>
      </c>
      <c r="C272" s="25" t="s">
        <v>16</v>
      </c>
      <c r="D272" s="25" t="s">
        <v>24</v>
      </c>
      <c r="E272">
        <v>140</v>
      </c>
      <c r="F272">
        <v>207</v>
      </c>
      <c r="G272" t="b">
        <v>0</v>
      </c>
      <c r="H272" s="25" t="s">
        <v>20</v>
      </c>
      <c r="I272">
        <v>138</v>
      </c>
      <c r="J272" t="b">
        <v>1</v>
      </c>
      <c r="K272" s="25" t="s">
        <v>31</v>
      </c>
      <c r="L272">
        <v>1</v>
      </c>
      <c r="M272" s="25" t="s">
        <v>27</v>
      </c>
      <c r="N272">
        <v>1</v>
      </c>
      <c r="O272">
        <v>0.9</v>
      </c>
    </row>
    <row r="273" spans="1:15" x14ac:dyDescent="0.3">
      <c r="A273">
        <v>272</v>
      </c>
      <c r="B273">
        <v>66</v>
      </c>
      <c r="C273" s="25" t="s">
        <v>16</v>
      </c>
      <c r="D273" s="25" t="s">
        <v>24</v>
      </c>
      <c r="E273">
        <v>160</v>
      </c>
      <c r="F273">
        <v>228</v>
      </c>
      <c r="G273" t="b">
        <v>0</v>
      </c>
      <c r="H273" s="25" t="s">
        <v>20</v>
      </c>
      <c r="I273">
        <v>138</v>
      </c>
      <c r="J273" t="b">
        <v>0</v>
      </c>
      <c r="K273" s="25" t="s">
        <v>31</v>
      </c>
      <c r="L273">
        <v>0</v>
      </c>
      <c r="M273" s="25" t="s">
        <v>23</v>
      </c>
      <c r="N273">
        <v>0</v>
      </c>
      <c r="O273">
        <v>0.3</v>
      </c>
    </row>
    <row r="274" spans="1:15" x14ac:dyDescent="0.3">
      <c r="A274">
        <v>273</v>
      </c>
      <c r="B274">
        <v>46</v>
      </c>
      <c r="C274" s="25" t="s">
        <v>16</v>
      </c>
      <c r="D274" s="25" t="s">
        <v>24</v>
      </c>
      <c r="E274">
        <v>140</v>
      </c>
      <c r="F274">
        <v>311</v>
      </c>
      <c r="G274" t="b">
        <v>0</v>
      </c>
      <c r="H274" s="25" t="s">
        <v>26</v>
      </c>
      <c r="I274">
        <v>120</v>
      </c>
      <c r="J274" t="b">
        <v>1</v>
      </c>
      <c r="K274" s="25" t="s">
        <v>25</v>
      </c>
      <c r="L274">
        <v>2</v>
      </c>
      <c r="M274" s="25" t="s">
        <v>27</v>
      </c>
      <c r="N274">
        <v>2</v>
      </c>
      <c r="O274">
        <v>0.8</v>
      </c>
    </row>
    <row r="275" spans="1:15" x14ac:dyDescent="0.3">
      <c r="A275">
        <v>274</v>
      </c>
      <c r="B275">
        <v>71</v>
      </c>
      <c r="C275" s="25" t="s">
        <v>29</v>
      </c>
      <c r="D275" s="25" t="s">
        <v>24</v>
      </c>
      <c r="E275">
        <v>112</v>
      </c>
      <c r="F275">
        <v>149</v>
      </c>
      <c r="G275" t="b">
        <v>0</v>
      </c>
      <c r="H275" s="25" t="s">
        <v>26</v>
      </c>
      <c r="I275">
        <v>125</v>
      </c>
      <c r="J275" t="b">
        <v>0</v>
      </c>
      <c r="K275" s="25" t="s">
        <v>25</v>
      </c>
      <c r="L275">
        <v>0</v>
      </c>
      <c r="M275" s="25" t="s">
        <v>26</v>
      </c>
      <c r="N275">
        <v>0</v>
      </c>
      <c r="O275">
        <v>0.6</v>
      </c>
    </row>
    <row r="276" spans="1:15" x14ac:dyDescent="0.3">
      <c r="A276">
        <v>275</v>
      </c>
      <c r="B276">
        <v>59</v>
      </c>
      <c r="C276" s="25" t="s">
        <v>16</v>
      </c>
      <c r="D276" s="25" t="s">
        <v>18</v>
      </c>
      <c r="E276">
        <v>134</v>
      </c>
      <c r="F276">
        <v>204</v>
      </c>
      <c r="G276" t="b">
        <v>0</v>
      </c>
      <c r="H276" s="25" t="s">
        <v>26</v>
      </c>
      <c r="I276">
        <v>162</v>
      </c>
      <c r="J276" t="b">
        <v>0</v>
      </c>
      <c r="K276" s="25" t="s">
        <v>31</v>
      </c>
      <c r="L276">
        <v>2</v>
      </c>
      <c r="M276" s="25" t="s">
        <v>26</v>
      </c>
      <c r="N276">
        <v>1</v>
      </c>
      <c r="O276">
        <v>0.8</v>
      </c>
    </row>
    <row r="277" spans="1:15" x14ac:dyDescent="0.3">
      <c r="A277">
        <v>276</v>
      </c>
      <c r="B277">
        <v>64</v>
      </c>
      <c r="C277" s="25" t="s">
        <v>16</v>
      </c>
      <c r="D277" s="25" t="s">
        <v>18</v>
      </c>
      <c r="E277">
        <v>170</v>
      </c>
      <c r="F277">
        <v>227</v>
      </c>
      <c r="G277" t="b">
        <v>0</v>
      </c>
      <c r="H277" s="25" t="s">
        <v>20</v>
      </c>
      <c r="I277">
        <v>155</v>
      </c>
      <c r="J277" t="b">
        <v>0</v>
      </c>
      <c r="K277" s="25" t="s">
        <v>25</v>
      </c>
      <c r="L277">
        <v>0</v>
      </c>
      <c r="M277" s="25" t="s">
        <v>27</v>
      </c>
      <c r="N277">
        <v>0</v>
      </c>
      <c r="O277">
        <v>0.6</v>
      </c>
    </row>
    <row r="278" spans="1:15" x14ac:dyDescent="0.3">
      <c r="A278">
        <v>277</v>
      </c>
      <c r="B278">
        <v>66</v>
      </c>
      <c r="C278" s="25" t="s">
        <v>29</v>
      </c>
      <c r="D278" s="25" t="s">
        <v>28</v>
      </c>
      <c r="E278">
        <v>146</v>
      </c>
      <c r="F278">
        <v>278</v>
      </c>
      <c r="G278" t="b">
        <v>0</v>
      </c>
      <c r="H278" s="25" t="s">
        <v>20</v>
      </c>
      <c r="I278">
        <v>152</v>
      </c>
      <c r="J278" t="b">
        <v>0</v>
      </c>
      <c r="K278" s="25" t="s">
        <v>25</v>
      </c>
      <c r="L278">
        <v>1</v>
      </c>
      <c r="M278" s="25" t="s">
        <v>26</v>
      </c>
      <c r="N278">
        <v>0</v>
      </c>
      <c r="O278">
        <v>0</v>
      </c>
    </row>
    <row r="279" spans="1:15" x14ac:dyDescent="0.3">
      <c r="A279">
        <v>278</v>
      </c>
      <c r="B279">
        <v>39</v>
      </c>
      <c r="C279" s="25" t="s">
        <v>29</v>
      </c>
      <c r="D279" s="25" t="s">
        <v>28</v>
      </c>
      <c r="E279">
        <v>138</v>
      </c>
      <c r="F279">
        <v>220</v>
      </c>
      <c r="G279" t="b">
        <v>0</v>
      </c>
      <c r="H279" s="25" t="s">
        <v>26</v>
      </c>
      <c r="I279">
        <v>152</v>
      </c>
      <c r="J279" t="b">
        <v>0</v>
      </c>
      <c r="K279" s="25" t="s">
        <v>25</v>
      </c>
      <c r="L279">
        <v>0</v>
      </c>
      <c r="M279" s="25" t="s">
        <v>26</v>
      </c>
      <c r="N279">
        <v>0</v>
      </c>
      <c r="O279">
        <v>0</v>
      </c>
    </row>
    <row r="280" spans="1:15" x14ac:dyDescent="0.3">
      <c r="A280">
        <v>279</v>
      </c>
      <c r="B280">
        <v>57</v>
      </c>
      <c r="C280" s="25" t="s">
        <v>16</v>
      </c>
      <c r="D280" s="25" t="s">
        <v>30</v>
      </c>
      <c r="E280">
        <v>154</v>
      </c>
      <c r="F280">
        <v>232</v>
      </c>
      <c r="G280" t="b">
        <v>0</v>
      </c>
      <c r="H280" s="25" t="s">
        <v>20</v>
      </c>
      <c r="I280">
        <v>164</v>
      </c>
      <c r="J280" t="b">
        <v>0</v>
      </c>
      <c r="K280" s="25" t="s">
        <v>31</v>
      </c>
      <c r="L280">
        <v>1</v>
      </c>
      <c r="M280" s="25" t="s">
        <v>26</v>
      </c>
      <c r="N280">
        <v>1</v>
      </c>
      <c r="O280">
        <v>0</v>
      </c>
    </row>
    <row r="281" spans="1:15" x14ac:dyDescent="0.3">
      <c r="A281">
        <v>280</v>
      </c>
      <c r="B281">
        <v>58</v>
      </c>
      <c r="C281" s="25" t="s">
        <v>29</v>
      </c>
      <c r="D281" s="25" t="s">
        <v>24</v>
      </c>
      <c r="E281">
        <v>130</v>
      </c>
      <c r="F281">
        <v>197</v>
      </c>
      <c r="G281" t="b">
        <v>0</v>
      </c>
      <c r="H281" s="25" t="s">
        <v>26</v>
      </c>
      <c r="I281">
        <v>131</v>
      </c>
      <c r="J281" t="b">
        <v>0</v>
      </c>
      <c r="K281" s="25" t="s">
        <v>25</v>
      </c>
      <c r="L281">
        <v>0</v>
      </c>
      <c r="M281" s="25" t="s">
        <v>26</v>
      </c>
      <c r="N281">
        <v>0</v>
      </c>
      <c r="O281">
        <v>0.6</v>
      </c>
    </row>
    <row r="282" spans="1:15" x14ac:dyDescent="0.3">
      <c r="A282">
        <v>281</v>
      </c>
      <c r="B282">
        <v>57</v>
      </c>
      <c r="C282" s="25" t="s">
        <v>16</v>
      </c>
      <c r="D282" s="25" t="s">
        <v>24</v>
      </c>
      <c r="E282">
        <v>110</v>
      </c>
      <c r="F282">
        <v>335</v>
      </c>
      <c r="G282" t="b">
        <v>0</v>
      </c>
      <c r="H282" s="25" t="s">
        <v>26</v>
      </c>
      <c r="I282">
        <v>143</v>
      </c>
      <c r="J282" t="b">
        <v>1</v>
      </c>
      <c r="K282" s="25" t="s">
        <v>25</v>
      </c>
      <c r="L282">
        <v>1</v>
      </c>
      <c r="M282" s="25" t="s">
        <v>27</v>
      </c>
      <c r="N282">
        <v>2</v>
      </c>
      <c r="O282">
        <v>3</v>
      </c>
    </row>
    <row r="283" spans="1:15" x14ac:dyDescent="0.3">
      <c r="A283">
        <v>282</v>
      </c>
      <c r="B283">
        <v>47</v>
      </c>
      <c r="C283" s="25" t="s">
        <v>16</v>
      </c>
      <c r="D283" s="25" t="s">
        <v>28</v>
      </c>
      <c r="E283">
        <v>130</v>
      </c>
      <c r="F283">
        <v>253</v>
      </c>
      <c r="G283" t="b">
        <v>0</v>
      </c>
      <c r="H283" s="25" t="s">
        <v>26</v>
      </c>
      <c r="I283">
        <v>179</v>
      </c>
      <c r="J283" t="b">
        <v>0</v>
      </c>
      <c r="K283" s="25" t="s">
        <v>31</v>
      </c>
      <c r="L283">
        <v>0</v>
      </c>
      <c r="M283" s="25" t="s">
        <v>26</v>
      </c>
      <c r="N283">
        <v>0</v>
      </c>
      <c r="O283">
        <v>0</v>
      </c>
    </row>
    <row r="284" spans="1:15" x14ac:dyDescent="0.3">
      <c r="A284">
        <v>283</v>
      </c>
      <c r="B284">
        <v>55</v>
      </c>
      <c r="C284" s="25" t="s">
        <v>29</v>
      </c>
      <c r="D284" s="25" t="s">
        <v>24</v>
      </c>
      <c r="E284">
        <v>128</v>
      </c>
      <c r="F284">
        <v>205</v>
      </c>
      <c r="G284" t="b">
        <v>0</v>
      </c>
      <c r="H284" s="25" t="s">
        <v>33</v>
      </c>
      <c r="I284">
        <v>130</v>
      </c>
      <c r="J284" t="b">
        <v>1</v>
      </c>
      <c r="K284" s="25" t="s">
        <v>25</v>
      </c>
      <c r="L284">
        <v>1</v>
      </c>
      <c r="M284" s="25" t="s">
        <v>27</v>
      </c>
      <c r="N284">
        <v>3</v>
      </c>
      <c r="O284">
        <v>2</v>
      </c>
    </row>
    <row r="285" spans="1:15" x14ac:dyDescent="0.3">
      <c r="A285">
        <v>284</v>
      </c>
      <c r="B285">
        <v>35</v>
      </c>
      <c r="C285" s="25" t="s">
        <v>16</v>
      </c>
      <c r="D285" s="25" t="s">
        <v>30</v>
      </c>
      <c r="E285">
        <v>122</v>
      </c>
      <c r="F285">
        <v>192</v>
      </c>
      <c r="G285" t="b">
        <v>0</v>
      </c>
      <c r="H285" s="25" t="s">
        <v>26</v>
      </c>
      <c r="I285">
        <v>174</v>
      </c>
      <c r="J285" t="b">
        <v>0</v>
      </c>
      <c r="K285" s="25" t="s">
        <v>31</v>
      </c>
      <c r="L285">
        <v>0</v>
      </c>
      <c r="M285" s="25" t="s">
        <v>26</v>
      </c>
      <c r="N285">
        <v>0</v>
      </c>
      <c r="O285">
        <v>0</v>
      </c>
    </row>
    <row r="286" spans="1:15" x14ac:dyDescent="0.3">
      <c r="A286">
        <v>285</v>
      </c>
      <c r="B286">
        <v>61</v>
      </c>
      <c r="C286" s="25" t="s">
        <v>16</v>
      </c>
      <c r="D286" s="25" t="s">
        <v>24</v>
      </c>
      <c r="E286">
        <v>148</v>
      </c>
      <c r="F286">
        <v>203</v>
      </c>
      <c r="G286" t="b">
        <v>0</v>
      </c>
      <c r="H286" s="25" t="s">
        <v>26</v>
      </c>
      <c r="I286">
        <v>161</v>
      </c>
      <c r="J286" t="b">
        <v>0</v>
      </c>
      <c r="K286" s="25" t="s">
        <v>31</v>
      </c>
      <c r="L286">
        <v>1</v>
      </c>
      <c r="M286" s="25" t="s">
        <v>27</v>
      </c>
      <c r="N286">
        <v>2</v>
      </c>
      <c r="O286">
        <v>0</v>
      </c>
    </row>
    <row r="287" spans="1:15" x14ac:dyDescent="0.3">
      <c r="A287">
        <v>286</v>
      </c>
      <c r="B287">
        <v>58</v>
      </c>
      <c r="C287" s="25" t="s">
        <v>16</v>
      </c>
      <c r="D287" s="25" t="s">
        <v>24</v>
      </c>
      <c r="E287">
        <v>114</v>
      </c>
      <c r="F287">
        <v>318</v>
      </c>
      <c r="G287" t="b">
        <v>0</v>
      </c>
      <c r="H287" s="25" t="s">
        <v>33</v>
      </c>
      <c r="I287">
        <v>140</v>
      </c>
      <c r="J287" t="b">
        <v>0</v>
      </c>
      <c r="K287" s="25" t="s">
        <v>22</v>
      </c>
      <c r="L287">
        <v>3</v>
      </c>
      <c r="M287" s="25" t="s">
        <v>23</v>
      </c>
      <c r="N287">
        <v>4</v>
      </c>
      <c r="O287">
        <v>0.4</v>
      </c>
    </row>
    <row r="288" spans="1:15" x14ac:dyDescent="0.3">
      <c r="A288">
        <v>287</v>
      </c>
      <c r="B288">
        <v>58</v>
      </c>
      <c r="C288" s="25" t="s">
        <v>29</v>
      </c>
      <c r="D288" s="25" t="s">
        <v>24</v>
      </c>
      <c r="E288">
        <v>170</v>
      </c>
      <c r="F288">
        <v>225</v>
      </c>
      <c r="G288" t="b">
        <v>1</v>
      </c>
      <c r="H288" s="25" t="s">
        <v>20</v>
      </c>
      <c r="I288">
        <v>146</v>
      </c>
      <c r="J288" t="b">
        <v>1</v>
      </c>
      <c r="K288" s="25" t="s">
        <v>25</v>
      </c>
      <c r="L288">
        <v>2</v>
      </c>
      <c r="M288" s="25" t="s">
        <v>23</v>
      </c>
      <c r="N288">
        <v>2</v>
      </c>
      <c r="O288">
        <v>0.8</v>
      </c>
    </row>
    <row r="289" spans="1:15" x14ac:dyDescent="0.3">
      <c r="A289">
        <v>288</v>
      </c>
      <c r="B289">
        <v>58</v>
      </c>
      <c r="C289" s="25" t="s">
        <v>16</v>
      </c>
      <c r="D289" s="25" t="s">
        <v>30</v>
      </c>
      <c r="E289">
        <v>125</v>
      </c>
      <c r="F289">
        <v>220</v>
      </c>
      <c r="G289" t="b">
        <v>0</v>
      </c>
      <c r="H289" s="25" t="s">
        <v>26</v>
      </c>
      <c r="I289">
        <v>144</v>
      </c>
      <c r="J289" t="b">
        <v>0</v>
      </c>
      <c r="K289" s="25" t="s">
        <v>25</v>
      </c>
      <c r="M289" s="25" t="s">
        <v>27</v>
      </c>
      <c r="N289">
        <v>0</v>
      </c>
      <c r="O289">
        <v>0.4</v>
      </c>
    </row>
    <row r="290" spans="1:15" x14ac:dyDescent="0.3">
      <c r="A290">
        <v>289</v>
      </c>
      <c r="B290">
        <v>56</v>
      </c>
      <c r="C290" s="25" t="s">
        <v>16</v>
      </c>
      <c r="D290" s="25" t="s">
        <v>30</v>
      </c>
      <c r="E290">
        <v>130</v>
      </c>
      <c r="F290">
        <v>221</v>
      </c>
      <c r="G290" t="b">
        <v>0</v>
      </c>
      <c r="H290" s="25" t="s">
        <v>20</v>
      </c>
      <c r="I290">
        <v>163</v>
      </c>
      <c r="J290" t="b">
        <v>0</v>
      </c>
      <c r="K290" s="25" t="s">
        <v>31</v>
      </c>
      <c r="L290">
        <v>0</v>
      </c>
      <c r="M290" s="25" t="s">
        <v>27</v>
      </c>
      <c r="N290">
        <v>0</v>
      </c>
      <c r="O290">
        <v>0</v>
      </c>
    </row>
    <row r="291" spans="1:15" x14ac:dyDescent="0.3">
      <c r="A291">
        <v>290</v>
      </c>
      <c r="B291">
        <v>56</v>
      </c>
      <c r="C291" s="25" t="s">
        <v>16</v>
      </c>
      <c r="D291" s="25" t="s">
        <v>30</v>
      </c>
      <c r="E291">
        <v>120</v>
      </c>
      <c r="F291">
        <v>240</v>
      </c>
      <c r="G291" t="b">
        <v>0</v>
      </c>
      <c r="H291" s="25" t="s">
        <v>26</v>
      </c>
      <c r="I291">
        <v>169</v>
      </c>
      <c r="J291" t="b">
        <v>0</v>
      </c>
      <c r="K291" s="25" t="s">
        <v>22</v>
      </c>
      <c r="L291">
        <v>0</v>
      </c>
      <c r="M291" s="25" t="s">
        <v>26</v>
      </c>
      <c r="N291">
        <v>0</v>
      </c>
      <c r="O291">
        <v>0</v>
      </c>
    </row>
    <row r="292" spans="1:15" x14ac:dyDescent="0.3">
      <c r="A292">
        <v>291</v>
      </c>
      <c r="B292">
        <v>67</v>
      </c>
      <c r="C292" s="25" t="s">
        <v>16</v>
      </c>
      <c r="D292" s="25" t="s">
        <v>28</v>
      </c>
      <c r="E292">
        <v>152</v>
      </c>
      <c r="F292">
        <v>212</v>
      </c>
      <c r="G292" t="b">
        <v>0</v>
      </c>
      <c r="H292" s="25" t="s">
        <v>20</v>
      </c>
      <c r="I292">
        <v>150</v>
      </c>
      <c r="J292" t="b">
        <v>0</v>
      </c>
      <c r="K292" s="25" t="s">
        <v>25</v>
      </c>
      <c r="L292">
        <v>0</v>
      </c>
      <c r="M292" s="25" t="s">
        <v>27</v>
      </c>
      <c r="N292">
        <v>1</v>
      </c>
      <c r="O292">
        <v>0.8</v>
      </c>
    </row>
    <row r="293" spans="1:15" x14ac:dyDescent="0.3">
      <c r="A293">
        <v>292</v>
      </c>
      <c r="B293">
        <v>55</v>
      </c>
      <c r="C293" s="25" t="s">
        <v>29</v>
      </c>
      <c r="D293" s="25" t="s">
        <v>30</v>
      </c>
      <c r="E293">
        <v>132</v>
      </c>
      <c r="F293">
        <v>342</v>
      </c>
      <c r="G293" t="b">
        <v>0</v>
      </c>
      <c r="H293" s="25" t="s">
        <v>26</v>
      </c>
      <c r="I293">
        <v>166</v>
      </c>
      <c r="J293" t="b">
        <v>0</v>
      </c>
      <c r="K293" s="25" t="s">
        <v>31</v>
      </c>
      <c r="L293">
        <v>0</v>
      </c>
      <c r="M293" s="25" t="s">
        <v>26</v>
      </c>
      <c r="N293">
        <v>0</v>
      </c>
      <c r="O293">
        <v>0.2</v>
      </c>
    </row>
    <row r="294" spans="1:15" x14ac:dyDescent="0.3">
      <c r="A294">
        <v>293</v>
      </c>
      <c r="B294">
        <v>44</v>
      </c>
      <c r="C294" s="25" t="s">
        <v>16</v>
      </c>
      <c r="D294" s="25" t="s">
        <v>24</v>
      </c>
      <c r="E294">
        <v>120</v>
      </c>
      <c r="F294">
        <v>169</v>
      </c>
      <c r="G294" t="b">
        <v>0</v>
      </c>
      <c r="H294" s="25" t="s">
        <v>26</v>
      </c>
      <c r="I294">
        <v>144</v>
      </c>
      <c r="J294" t="b">
        <v>1</v>
      </c>
      <c r="K294" s="25" t="s">
        <v>22</v>
      </c>
      <c r="L294">
        <v>0</v>
      </c>
      <c r="M294" s="25" t="s">
        <v>23</v>
      </c>
      <c r="N294">
        <v>2</v>
      </c>
      <c r="O294">
        <v>0.8</v>
      </c>
    </row>
    <row r="295" spans="1:15" x14ac:dyDescent="0.3">
      <c r="A295">
        <v>294</v>
      </c>
      <c r="B295">
        <v>63</v>
      </c>
      <c r="C295" s="25" t="s">
        <v>16</v>
      </c>
      <c r="D295" s="25" t="s">
        <v>24</v>
      </c>
      <c r="E295">
        <v>140</v>
      </c>
      <c r="F295">
        <v>187</v>
      </c>
      <c r="G295" t="b">
        <v>0</v>
      </c>
      <c r="H295" s="25" t="s">
        <v>20</v>
      </c>
      <c r="I295">
        <v>144</v>
      </c>
      <c r="J295" t="b">
        <v>1</v>
      </c>
      <c r="K295" s="25" t="s">
        <v>31</v>
      </c>
      <c r="L295">
        <v>2</v>
      </c>
      <c r="M295" s="25" t="s">
        <v>27</v>
      </c>
      <c r="N295">
        <v>2</v>
      </c>
      <c r="O295">
        <v>4</v>
      </c>
    </row>
    <row r="296" spans="1:15" x14ac:dyDescent="0.3">
      <c r="A296">
        <v>295</v>
      </c>
      <c r="B296">
        <v>63</v>
      </c>
      <c r="C296" s="25" t="s">
        <v>29</v>
      </c>
      <c r="D296" s="25" t="s">
        <v>24</v>
      </c>
      <c r="E296">
        <v>124</v>
      </c>
      <c r="F296">
        <v>197</v>
      </c>
      <c r="G296" t="b">
        <v>0</v>
      </c>
      <c r="H296" s="25" t="s">
        <v>26</v>
      </c>
      <c r="I296">
        <v>136</v>
      </c>
      <c r="J296" t="b">
        <v>1</v>
      </c>
      <c r="K296" s="25" t="s">
        <v>25</v>
      </c>
      <c r="L296">
        <v>0</v>
      </c>
      <c r="M296" s="25" t="s">
        <v>26</v>
      </c>
      <c r="N296">
        <v>1</v>
      </c>
      <c r="O296">
        <v>0</v>
      </c>
    </row>
    <row r="297" spans="1:15" x14ac:dyDescent="0.3">
      <c r="A297">
        <v>296</v>
      </c>
      <c r="B297">
        <v>41</v>
      </c>
      <c r="C297" s="25" t="s">
        <v>16</v>
      </c>
      <c r="D297" s="25" t="s">
        <v>30</v>
      </c>
      <c r="E297">
        <v>120</v>
      </c>
      <c r="F297">
        <v>157</v>
      </c>
      <c r="G297" t="b">
        <v>0</v>
      </c>
      <c r="H297" s="25" t="s">
        <v>26</v>
      </c>
      <c r="I297">
        <v>182</v>
      </c>
      <c r="J297" t="b">
        <v>0</v>
      </c>
      <c r="K297" s="25" t="s">
        <v>31</v>
      </c>
      <c r="L297">
        <v>0</v>
      </c>
      <c r="M297" s="25" t="s">
        <v>26</v>
      </c>
      <c r="N297">
        <v>0</v>
      </c>
      <c r="O297">
        <v>0</v>
      </c>
    </row>
    <row r="298" spans="1:15" x14ac:dyDescent="0.3">
      <c r="A298">
        <v>297</v>
      </c>
      <c r="B298">
        <v>59</v>
      </c>
      <c r="C298" s="25" t="s">
        <v>16</v>
      </c>
      <c r="D298" s="25" t="s">
        <v>24</v>
      </c>
      <c r="E298">
        <v>164</v>
      </c>
      <c r="F298">
        <v>176</v>
      </c>
      <c r="G298" t="b">
        <v>1</v>
      </c>
      <c r="H298" s="25" t="s">
        <v>20</v>
      </c>
      <c r="I298">
        <v>90</v>
      </c>
      <c r="J298" t="b">
        <v>0</v>
      </c>
      <c r="K298" s="25" t="s">
        <v>25</v>
      </c>
      <c r="L298">
        <v>2</v>
      </c>
      <c r="M298" s="25" t="s">
        <v>23</v>
      </c>
      <c r="N298">
        <v>3</v>
      </c>
      <c r="O298">
        <v>1</v>
      </c>
    </row>
    <row r="299" spans="1:15" x14ac:dyDescent="0.3">
      <c r="A299">
        <v>298</v>
      </c>
      <c r="B299">
        <v>57</v>
      </c>
      <c r="C299" s="25" t="s">
        <v>29</v>
      </c>
      <c r="D299" s="25" t="s">
        <v>24</v>
      </c>
      <c r="E299">
        <v>140</v>
      </c>
      <c r="F299">
        <v>241</v>
      </c>
      <c r="G299" t="b">
        <v>0</v>
      </c>
      <c r="H299" s="25" t="s">
        <v>26</v>
      </c>
      <c r="I299">
        <v>123</v>
      </c>
      <c r="J299" t="b">
        <v>1</v>
      </c>
      <c r="K299" s="25" t="s">
        <v>25</v>
      </c>
      <c r="L299">
        <v>0</v>
      </c>
      <c r="M299" s="25" t="s">
        <v>27</v>
      </c>
      <c r="N299">
        <v>1</v>
      </c>
      <c r="O299">
        <v>0.2</v>
      </c>
    </row>
    <row r="300" spans="1:15" x14ac:dyDescent="0.3">
      <c r="A300">
        <v>299</v>
      </c>
      <c r="B300">
        <v>45</v>
      </c>
      <c r="C300" s="25" t="s">
        <v>16</v>
      </c>
      <c r="D300" s="25" t="s">
        <v>18</v>
      </c>
      <c r="E300">
        <v>110</v>
      </c>
      <c r="F300">
        <v>264</v>
      </c>
      <c r="G300" t="b">
        <v>0</v>
      </c>
      <c r="H300" s="25" t="s">
        <v>26</v>
      </c>
      <c r="I300">
        <v>132</v>
      </c>
      <c r="J300" t="b">
        <v>0</v>
      </c>
      <c r="K300" s="25" t="s">
        <v>25</v>
      </c>
      <c r="L300">
        <v>0</v>
      </c>
      <c r="M300" s="25" t="s">
        <v>27</v>
      </c>
      <c r="N300">
        <v>1</v>
      </c>
      <c r="O300">
        <v>0.2</v>
      </c>
    </row>
    <row r="301" spans="1:15" x14ac:dyDescent="0.3">
      <c r="A301">
        <v>300</v>
      </c>
      <c r="B301">
        <v>68</v>
      </c>
      <c r="C301" s="25" t="s">
        <v>16</v>
      </c>
      <c r="D301" s="25" t="s">
        <v>24</v>
      </c>
      <c r="E301">
        <v>144</v>
      </c>
      <c r="F301">
        <v>193</v>
      </c>
      <c r="G301" t="b">
        <v>1</v>
      </c>
      <c r="H301" s="25" t="s">
        <v>26</v>
      </c>
      <c r="I301">
        <v>141</v>
      </c>
      <c r="J301" t="b">
        <v>0</v>
      </c>
      <c r="K301" s="25" t="s">
        <v>25</v>
      </c>
      <c r="L301">
        <v>2</v>
      </c>
      <c r="M301" s="25" t="s">
        <v>27</v>
      </c>
      <c r="N301">
        <v>2</v>
      </c>
      <c r="O301">
        <v>0.4</v>
      </c>
    </row>
    <row r="302" spans="1:15" x14ac:dyDescent="0.3">
      <c r="A302">
        <v>301</v>
      </c>
      <c r="B302">
        <v>57</v>
      </c>
      <c r="C302" s="25" t="s">
        <v>16</v>
      </c>
      <c r="D302" s="25" t="s">
        <v>24</v>
      </c>
      <c r="E302">
        <v>130</v>
      </c>
      <c r="F302">
        <v>131</v>
      </c>
      <c r="G302" t="b">
        <v>0</v>
      </c>
      <c r="H302" s="25" t="s">
        <v>26</v>
      </c>
      <c r="I302">
        <v>115</v>
      </c>
      <c r="J302" t="b">
        <v>1</v>
      </c>
      <c r="K302" s="25" t="s">
        <v>25</v>
      </c>
      <c r="L302">
        <v>1</v>
      </c>
      <c r="M302" s="25" t="s">
        <v>27</v>
      </c>
      <c r="N302">
        <v>3</v>
      </c>
      <c r="O302">
        <v>0.2</v>
      </c>
    </row>
    <row r="303" spans="1:15" x14ac:dyDescent="0.3">
      <c r="A303">
        <v>302</v>
      </c>
      <c r="B303">
        <v>57</v>
      </c>
      <c r="C303" s="25" t="s">
        <v>29</v>
      </c>
      <c r="D303" s="25" t="s">
        <v>30</v>
      </c>
      <c r="E303">
        <v>130</v>
      </c>
      <c r="F303">
        <v>236</v>
      </c>
      <c r="G303" t="b">
        <v>0</v>
      </c>
      <c r="H303" s="25" t="s">
        <v>20</v>
      </c>
      <c r="I303">
        <v>174</v>
      </c>
      <c r="J303" t="b">
        <v>0</v>
      </c>
      <c r="K303" s="25" t="s">
        <v>25</v>
      </c>
      <c r="L303">
        <v>1</v>
      </c>
      <c r="M303" s="25" t="s">
        <v>26</v>
      </c>
      <c r="N303">
        <v>1</v>
      </c>
      <c r="O303">
        <v>0</v>
      </c>
    </row>
    <row r="304" spans="1:15" x14ac:dyDescent="0.3">
      <c r="A304">
        <v>303</v>
      </c>
      <c r="B304">
        <v>38</v>
      </c>
      <c r="C304" s="25" t="s">
        <v>16</v>
      </c>
      <c r="D304" s="25" t="s">
        <v>28</v>
      </c>
      <c r="E304">
        <v>138</v>
      </c>
      <c r="F304">
        <v>175</v>
      </c>
      <c r="G304" t="b">
        <v>0</v>
      </c>
      <c r="H304" s="25" t="s">
        <v>26</v>
      </c>
      <c r="I304">
        <v>173</v>
      </c>
      <c r="J304" t="b">
        <v>0</v>
      </c>
      <c r="K304" s="25" t="s">
        <v>31</v>
      </c>
      <c r="M304" s="25" t="s">
        <v>26</v>
      </c>
      <c r="N304">
        <v>0</v>
      </c>
      <c r="O304">
        <v>0</v>
      </c>
    </row>
    <row r="305" spans="1:15" x14ac:dyDescent="0.3">
      <c r="A305">
        <v>304</v>
      </c>
      <c r="B305">
        <v>28</v>
      </c>
      <c r="C305" s="25" t="s">
        <v>16</v>
      </c>
      <c r="D305" s="25" t="s">
        <v>30</v>
      </c>
      <c r="E305">
        <v>130</v>
      </c>
      <c r="F305">
        <v>132</v>
      </c>
      <c r="G305" t="b">
        <v>0</v>
      </c>
      <c r="H305" s="25" t="s">
        <v>20</v>
      </c>
      <c r="I305">
        <v>185</v>
      </c>
      <c r="J305" t="b">
        <v>0</v>
      </c>
      <c r="K305" s="25" t="s">
        <v>32</v>
      </c>
      <c r="M305" s="25" t="s">
        <v>32</v>
      </c>
      <c r="N305">
        <v>0</v>
      </c>
      <c r="O305">
        <v>0</v>
      </c>
    </row>
    <row r="306" spans="1:15" x14ac:dyDescent="0.3">
      <c r="A306">
        <v>305</v>
      </c>
      <c r="B306">
        <v>29</v>
      </c>
      <c r="C306" s="25" t="s">
        <v>16</v>
      </c>
      <c r="D306" s="25" t="s">
        <v>30</v>
      </c>
      <c r="E306">
        <v>120</v>
      </c>
      <c r="F306">
        <v>243</v>
      </c>
      <c r="G306" t="b">
        <v>0</v>
      </c>
      <c r="H306" s="25" t="s">
        <v>26</v>
      </c>
      <c r="I306">
        <v>160</v>
      </c>
      <c r="J306" t="b">
        <v>0</v>
      </c>
      <c r="K306" s="25" t="s">
        <v>32</v>
      </c>
      <c r="M306" s="25" t="s">
        <v>32</v>
      </c>
      <c r="N306">
        <v>0</v>
      </c>
      <c r="O306">
        <v>0</v>
      </c>
    </row>
    <row r="307" spans="1:15" x14ac:dyDescent="0.3">
      <c r="A307">
        <v>306</v>
      </c>
      <c r="B307">
        <v>29</v>
      </c>
      <c r="C307" s="25" t="s">
        <v>16</v>
      </c>
      <c r="D307" s="25" t="s">
        <v>30</v>
      </c>
      <c r="E307">
        <v>140</v>
      </c>
      <c r="G307" t="b">
        <v>0</v>
      </c>
      <c r="H307" s="25" t="s">
        <v>26</v>
      </c>
      <c r="I307">
        <v>170</v>
      </c>
      <c r="J307" t="b">
        <v>0</v>
      </c>
      <c r="K307" s="25" t="s">
        <v>32</v>
      </c>
      <c r="M307" s="25" t="s">
        <v>32</v>
      </c>
      <c r="N307">
        <v>0</v>
      </c>
      <c r="O307">
        <v>0</v>
      </c>
    </row>
    <row r="308" spans="1:15" x14ac:dyDescent="0.3">
      <c r="A308">
        <v>307</v>
      </c>
      <c r="B308">
        <v>30</v>
      </c>
      <c r="C308" s="25" t="s">
        <v>29</v>
      </c>
      <c r="D308" s="25" t="s">
        <v>18</v>
      </c>
      <c r="E308">
        <v>170</v>
      </c>
      <c r="F308">
        <v>237</v>
      </c>
      <c r="G308" t="b">
        <v>0</v>
      </c>
      <c r="H308" s="25" t="s">
        <v>33</v>
      </c>
      <c r="I308">
        <v>170</v>
      </c>
      <c r="J308" t="b">
        <v>0</v>
      </c>
      <c r="K308" s="25" t="s">
        <v>32</v>
      </c>
      <c r="M308" s="25" t="s">
        <v>23</v>
      </c>
      <c r="N308">
        <v>0</v>
      </c>
      <c r="O308">
        <v>0</v>
      </c>
    </row>
    <row r="309" spans="1:15" x14ac:dyDescent="0.3">
      <c r="A309">
        <v>308</v>
      </c>
      <c r="B309">
        <v>31</v>
      </c>
      <c r="C309" s="25" t="s">
        <v>29</v>
      </c>
      <c r="D309" s="25" t="s">
        <v>30</v>
      </c>
      <c r="E309">
        <v>100</v>
      </c>
      <c r="F309">
        <v>219</v>
      </c>
      <c r="G309" t="b">
        <v>0</v>
      </c>
      <c r="H309" s="25" t="s">
        <v>33</v>
      </c>
      <c r="I309">
        <v>150</v>
      </c>
      <c r="J309" t="b">
        <v>0</v>
      </c>
      <c r="K309" s="25" t="s">
        <v>32</v>
      </c>
      <c r="M309" s="25" t="s">
        <v>32</v>
      </c>
      <c r="N309">
        <v>0</v>
      </c>
      <c r="O309">
        <v>0</v>
      </c>
    </row>
    <row r="310" spans="1:15" x14ac:dyDescent="0.3">
      <c r="A310">
        <v>309</v>
      </c>
      <c r="B310">
        <v>32</v>
      </c>
      <c r="C310" s="25" t="s">
        <v>29</v>
      </c>
      <c r="D310" s="25" t="s">
        <v>30</v>
      </c>
      <c r="E310">
        <v>105</v>
      </c>
      <c r="F310">
        <v>198</v>
      </c>
      <c r="G310" t="b">
        <v>0</v>
      </c>
      <c r="H310" s="25" t="s">
        <v>26</v>
      </c>
      <c r="I310">
        <v>165</v>
      </c>
      <c r="J310" t="b">
        <v>0</v>
      </c>
      <c r="K310" s="25" t="s">
        <v>32</v>
      </c>
      <c r="M310" s="25" t="s">
        <v>32</v>
      </c>
      <c r="N310">
        <v>0</v>
      </c>
      <c r="O310">
        <v>0</v>
      </c>
    </row>
    <row r="311" spans="1:15" x14ac:dyDescent="0.3">
      <c r="A311">
        <v>310</v>
      </c>
      <c r="B311">
        <v>32</v>
      </c>
      <c r="C311" s="25" t="s">
        <v>16</v>
      </c>
      <c r="D311" s="25" t="s">
        <v>30</v>
      </c>
      <c r="E311">
        <v>110</v>
      </c>
      <c r="F311">
        <v>225</v>
      </c>
      <c r="G311" t="b">
        <v>0</v>
      </c>
      <c r="H311" s="25" t="s">
        <v>26</v>
      </c>
      <c r="I311">
        <v>184</v>
      </c>
      <c r="J311" t="b">
        <v>0</v>
      </c>
      <c r="K311" s="25" t="s">
        <v>32</v>
      </c>
      <c r="M311" s="25" t="s">
        <v>32</v>
      </c>
      <c r="N311">
        <v>0</v>
      </c>
      <c r="O311">
        <v>0</v>
      </c>
    </row>
    <row r="312" spans="1:15" x14ac:dyDescent="0.3">
      <c r="A312">
        <v>311</v>
      </c>
      <c r="B312">
        <v>32</v>
      </c>
      <c r="C312" s="25" t="s">
        <v>16</v>
      </c>
      <c r="D312" s="25" t="s">
        <v>30</v>
      </c>
      <c r="E312">
        <v>125</v>
      </c>
      <c r="F312">
        <v>254</v>
      </c>
      <c r="G312" t="b">
        <v>0</v>
      </c>
      <c r="H312" s="25" t="s">
        <v>26</v>
      </c>
      <c r="I312">
        <v>155</v>
      </c>
      <c r="J312" t="b">
        <v>0</v>
      </c>
      <c r="K312" s="25" t="s">
        <v>32</v>
      </c>
      <c r="M312" s="25" t="s">
        <v>32</v>
      </c>
      <c r="N312">
        <v>0</v>
      </c>
      <c r="O312">
        <v>0</v>
      </c>
    </row>
    <row r="313" spans="1:15" x14ac:dyDescent="0.3">
      <c r="A313">
        <v>312</v>
      </c>
      <c r="B313">
        <v>33</v>
      </c>
      <c r="C313" s="25" t="s">
        <v>16</v>
      </c>
      <c r="D313" s="25" t="s">
        <v>28</v>
      </c>
      <c r="E313">
        <v>120</v>
      </c>
      <c r="F313">
        <v>298</v>
      </c>
      <c r="G313" t="b">
        <v>0</v>
      </c>
      <c r="H313" s="25" t="s">
        <v>26</v>
      </c>
      <c r="I313">
        <v>185</v>
      </c>
      <c r="J313" t="b">
        <v>0</v>
      </c>
      <c r="K313" s="25" t="s">
        <v>32</v>
      </c>
      <c r="M313" s="25" t="s">
        <v>32</v>
      </c>
      <c r="N313">
        <v>0</v>
      </c>
      <c r="O313">
        <v>0</v>
      </c>
    </row>
    <row r="314" spans="1:15" x14ac:dyDescent="0.3">
      <c r="A314">
        <v>313</v>
      </c>
      <c r="B314">
        <v>34</v>
      </c>
      <c r="C314" s="25" t="s">
        <v>29</v>
      </c>
      <c r="D314" s="25" t="s">
        <v>30</v>
      </c>
      <c r="E314">
        <v>130</v>
      </c>
      <c r="F314">
        <v>161</v>
      </c>
      <c r="G314" t="b">
        <v>0</v>
      </c>
      <c r="H314" s="25" t="s">
        <v>26</v>
      </c>
      <c r="I314">
        <v>190</v>
      </c>
      <c r="J314" t="b">
        <v>0</v>
      </c>
      <c r="K314" s="25" t="s">
        <v>32</v>
      </c>
      <c r="M314" s="25" t="s">
        <v>32</v>
      </c>
      <c r="N314">
        <v>0</v>
      </c>
      <c r="O314">
        <v>0</v>
      </c>
    </row>
    <row r="315" spans="1:15" x14ac:dyDescent="0.3">
      <c r="A315">
        <v>314</v>
      </c>
      <c r="B315">
        <v>34</v>
      </c>
      <c r="C315" s="25" t="s">
        <v>16</v>
      </c>
      <c r="D315" s="25" t="s">
        <v>30</v>
      </c>
      <c r="E315">
        <v>150</v>
      </c>
      <c r="F315">
        <v>214</v>
      </c>
      <c r="G315" t="b">
        <v>0</v>
      </c>
      <c r="H315" s="25" t="s">
        <v>33</v>
      </c>
      <c r="I315">
        <v>168</v>
      </c>
      <c r="J315" t="b">
        <v>0</v>
      </c>
      <c r="K315" s="25" t="s">
        <v>32</v>
      </c>
      <c r="M315" s="25" t="s">
        <v>32</v>
      </c>
      <c r="N315">
        <v>0</v>
      </c>
      <c r="O315">
        <v>0</v>
      </c>
    </row>
    <row r="316" spans="1:15" x14ac:dyDescent="0.3">
      <c r="A316">
        <v>315</v>
      </c>
      <c r="B316">
        <v>34</v>
      </c>
      <c r="C316" s="25" t="s">
        <v>16</v>
      </c>
      <c r="D316" s="25" t="s">
        <v>30</v>
      </c>
      <c r="E316">
        <v>98</v>
      </c>
      <c r="F316">
        <v>220</v>
      </c>
      <c r="G316" t="b">
        <v>0</v>
      </c>
      <c r="H316" s="25" t="s">
        <v>26</v>
      </c>
      <c r="I316">
        <v>150</v>
      </c>
      <c r="J316" t="b">
        <v>0</v>
      </c>
      <c r="K316" s="25" t="s">
        <v>32</v>
      </c>
      <c r="M316" s="25" t="s">
        <v>32</v>
      </c>
      <c r="N316">
        <v>0</v>
      </c>
      <c r="O316">
        <v>0</v>
      </c>
    </row>
    <row r="317" spans="1:15" x14ac:dyDescent="0.3">
      <c r="A317">
        <v>316</v>
      </c>
      <c r="B317">
        <v>35</v>
      </c>
      <c r="C317" s="25" t="s">
        <v>29</v>
      </c>
      <c r="D317" s="25" t="s">
        <v>18</v>
      </c>
      <c r="E317">
        <v>120</v>
      </c>
      <c r="F317">
        <v>160</v>
      </c>
      <c r="G317" t="b">
        <v>0</v>
      </c>
      <c r="H317" s="25" t="s">
        <v>33</v>
      </c>
      <c r="I317">
        <v>185</v>
      </c>
      <c r="J317" t="b">
        <v>0</v>
      </c>
      <c r="K317" s="25" t="s">
        <v>32</v>
      </c>
      <c r="M317" s="25" t="s">
        <v>32</v>
      </c>
      <c r="N317">
        <v>0</v>
      </c>
      <c r="O317">
        <v>0</v>
      </c>
    </row>
    <row r="318" spans="1:15" x14ac:dyDescent="0.3">
      <c r="A318">
        <v>317</v>
      </c>
      <c r="B318">
        <v>35</v>
      </c>
      <c r="C318" s="25" t="s">
        <v>29</v>
      </c>
      <c r="D318" s="25" t="s">
        <v>24</v>
      </c>
      <c r="E318">
        <v>140</v>
      </c>
      <c r="F318">
        <v>167</v>
      </c>
      <c r="G318" t="b">
        <v>0</v>
      </c>
      <c r="H318" s="25" t="s">
        <v>26</v>
      </c>
      <c r="I318">
        <v>150</v>
      </c>
      <c r="J318" t="b">
        <v>0</v>
      </c>
      <c r="K318" s="25" t="s">
        <v>32</v>
      </c>
      <c r="M318" s="25" t="s">
        <v>32</v>
      </c>
      <c r="N318">
        <v>0</v>
      </c>
      <c r="O318">
        <v>0</v>
      </c>
    </row>
    <row r="319" spans="1:15" x14ac:dyDescent="0.3">
      <c r="A319">
        <v>318</v>
      </c>
      <c r="B319">
        <v>35</v>
      </c>
      <c r="C319" s="25" t="s">
        <v>16</v>
      </c>
      <c r="D319" s="25" t="s">
        <v>30</v>
      </c>
      <c r="E319">
        <v>120</v>
      </c>
      <c r="F319">
        <v>308</v>
      </c>
      <c r="G319" t="b">
        <v>0</v>
      </c>
      <c r="H319" s="25" t="s">
        <v>20</v>
      </c>
      <c r="I319">
        <v>180</v>
      </c>
      <c r="J319" t="b">
        <v>0</v>
      </c>
      <c r="K319" s="25" t="s">
        <v>32</v>
      </c>
      <c r="M319" s="25" t="s">
        <v>32</v>
      </c>
      <c r="N319">
        <v>0</v>
      </c>
      <c r="O319">
        <v>0</v>
      </c>
    </row>
    <row r="320" spans="1:15" x14ac:dyDescent="0.3">
      <c r="A320">
        <v>319</v>
      </c>
      <c r="B320">
        <v>35</v>
      </c>
      <c r="C320" s="25" t="s">
        <v>16</v>
      </c>
      <c r="D320" s="25" t="s">
        <v>30</v>
      </c>
      <c r="E320">
        <v>150</v>
      </c>
      <c r="F320">
        <v>264</v>
      </c>
      <c r="G320" t="b">
        <v>0</v>
      </c>
      <c r="H320" s="25" t="s">
        <v>26</v>
      </c>
      <c r="I320">
        <v>168</v>
      </c>
      <c r="J320" t="b">
        <v>0</v>
      </c>
      <c r="K320" s="25" t="s">
        <v>32</v>
      </c>
      <c r="M320" s="25" t="s">
        <v>32</v>
      </c>
      <c r="N320">
        <v>0</v>
      </c>
      <c r="O320">
        <v>0</v>
      </c>
    </row>
    <row r="321" spans="1:15" x14ac:dyDescent="0.3">
      <c r="A321">
        <v>320</v>
      </c>
      <c r="B321">
        <v>36</v>
      </c>
      <c r="C321" s="25" t="s">
        <v>16</v>
      </c>
      <c r="D321" s="25" t="s">
        <v>30</v>
      </c>
      <c r="E321">
        <v>120</v>
      </c>
      <c r="F321">
        <v>166</v>
      </c>
      <c r="G321" t="b">
        <v>0</v>
      </c>
      <c r="H321" s="25" t="s">
        <v>26</v>
      </c>
      <c r="I321">
        <v>180</v>
      </c>
      <c r="J321" t="b">
        <v>0</v>
      </c>
      <c r="K321" s="25" t="s">
        <v>32</v>
      </c>
      <c r="M321" s="25" t="s">
        <v>32</v>
      </c>
      <c r="N321">
        <v>0</v>
      </c>
      <c r="O321">
        <v>0</v>
      </c>
    </row>
    <row r="322" spans="1:15" x14ac:dyDescent="0.3">
      <c r="A322">
        <v>321</v>
      </c>
      <c r="B322">
        <v>36</v>
      </c>
      <c r="C322" s="25" t="s">
        <v>16</v>
      </c>
      <c r="D322" s="25" t="s">
        <v>28</v>
      </c>
      <c r="E322">
        <v>112</v>
      </c>
      <c r="F322">
        <v>340</v>
      </c>
      <c r="G322" t="b">
        <v>0</v>
      </c>
      <c r="H322" s="25" t="s">
        <v>26</v>
      </c>
      <c r="I322">
        <v>184</v>
      </c>
      <c r="J322" t="b">
        <v>0</v>
      </c>
      <c r="K322" s="25" t="s">
        <v>25</v>
      </c>
      <c r="M322" s="25" t="s">
        <v>26</v>
      </c>
      <c r="N322">
        <v>0</v>
      </c>
      <c r="O322">
        <v>1</v>
      </c>
    </row>
    <row r="323" spans="1:15" x14ac:dyDescent="0.3">
      <c r="A323">
        <v>322</v>
      </c>
      <c r="B323">
        <v>36</v>
      </c>
      <c r="C323" s="25" t="s">
        <v>16</v>
      </c>
      <c r="D323" s="25" t="s">
        <v>28</v>
      </c>
      <c r="E323">
        <v>130</v>
      </c>
      <c r="F323">
        <v>209</v>
      </c>
      <c r="G323" t="b">
        <v>0</v>
      </c>
      <c r="H323" s="25" t="s">
        <v>26</v>
      </c>
      <c r="I323">
        <v>178</v>
      </c>
      <c r="J323" t="b">
        <v>0</v>
      </c>
      <c r="K323" s="25" t="s">
        <v>32</v>
      </c>
      <c r="M323" s="25" t="s">
        <v>32</v>
      </c>
      <c r="N323">
        <v>0</v>
      </c>
      <c r="O323">
        <v>0</v>
      </c>
    </row>
    <row r="324" spans="1:15" x14ac:dyDescent="0.3">
      <c r="A324">
        <v>323</v>
      </c>
      <c r="B324">
        <v>36</v>
      </c>
      <c r="C324" s="25" t="s">
        <v>16</v>
      </c>
      <c r="D324" s="25" t="s">
        <v>28</v>
      </c>
      <c r="E324">
        <v>150</v>
      </c>
      <c r="F324">
        <v>160</v>
      </c>
      <c r="G324" t="b">
        <v>0</v>
      </c>
      <c r="H324" s="25" t="s">
        <v>26</v>
      </c>
      <c r="I324">
        <v>172</v>
      </c>
      <c r="J324" t="b">
        <v>0</v>
      </c>
      <c r="K324" s="25" t="s">
        <v>32</v>
      </c>
      <c r="M324" s="25" t="s">
        <v>32</v>
      </c>
      <c r="N324">
        <v>0</v>
      </c>
      <c r="O324">
        <v>0</v>
      </c>
    </row>
    <row r="325" spans="1:15" x14ac:dyDescent="0.3">
      <c r="A325">
        <v>324</v>
      </c>
      <c r="B325">
        <v>37</v>
      </c>
      <c r="C325" s="25" t="s">
        <v>29</v>
      </c>
      <c r="D325" s="25" t="s">
        <v>30</v>
      </c>
      <c r="E325">
        <v>120</v>
      </c>
      <c r="F325">
        <v>260</v>
      </c>
      <c r="G325" t="b">
        <v>0</v>
      </c>
      <c r="H325" s="25" t="s">
        <v>26</v>
      </c>
      <c r="I325">
        <v>130</v>
      </c>
      <c r="J325" t="b">
        <v>0</v>
      </c>
      <c r="K325" s="25" t="s">
        <v>32</v>
      </c>
      <c r="M325" s="25" t="s">
        <v>32</v>
      </c>
      <c r="N325">
        <v>0</v>
      </c>
      <c r="O325">
        <v>0</v>
      </c>
    </row>
    <row r="326" spans="1:15" x14ac:dyDescent="0.3">
      <c r="A326">
        <v>325</v>
      </c>
      <c r="B326">
        <v>37</v>
      </c>
      <c r="C326" s="25" t="s">
        <v>29</v>
      </c>
      <c r="D326" s="25" t="s">
        <v>28</v>
      </c>
      <c r="E326">
        <v>130</v>
      </c>
      <c r="F326">
        <v>211</v>
      </c>
      <c r="G326" t="b">
        <v>0</v>
      </c>
      <c r="H326" s="25" t="s">
        <v>26</v>
      </c>
      <c r="I326">
        <v>142</v>
      </c>
      <c r="J326" t="b">
        <v>0</v>
      </c>
      <c r="K326" s="25" t="s">
        <v>32</v>
      </c>
      <c r="M326" s="25" t="s">
        <v>32</v>
      </c>
      <c r="N326">
        <v>0</v>
      </c>
      <c r="O326">
        <v>0</v>
      </c>
    </row>
    <row r="327" spans="1:15" x14ac:dyDescent="0.3">
      <c r="A327">
        <v>326</v>
      </c>
      <c r="B327">
        <v>37</v>
      </c>
      <c r="C327" s="25" t="s">
        <v>29</v>
      </c>
      <c r="D327" s="25" t="s">
        <v>24</v>
      </c>
      <c r="E327">
        <v>130</v>
      </c>
      <c r="F327">
        <v>173</v>
      </c>
      <c r="G327" t="b">
        <v>0</v>
      </c>
      <c r="H327" s="25" t="s">
        <v>33</v>
      </c>
      <c r="I327">
        <v>184</v>
      </c>
      <c r="J327" t="b">
        <v>0</v>
      </c>
      <c r="K327" s="25" t="s">
        <v>32</v>
      </c>
      <c r="M327" s="25" t="s">
        <v>32</v>
      </c>
      <c r="N327">
        <v>0</v>
      </c>
      <c r="O327">
        <v>0</v>
      </c>
    </row>
    <row r="328" spans="1:15" x14ac:dyDescent="0.3">
      <c r="A328">
        <v>327</v>
      </c>
      <c r="B328">
        <v>37</v>
      </c>
      <c r="C328" s="25" t="s">
        <v>16</v>
      </c>
      <c r="D328" s="25" t="s">
        <v>30</v>
      </c>
      <c r="E328">
        <v>130</v>
      </c>
      <c r="F328">
        <v>283</v>
      </c>
      <c r="G328" t="b">
        <v>0</v>
      </c>
      <c r="H328" s="25" t="s">
        <v>33</v>
      </c>
      <c r="I328">
        <v>98</v>
      </c>
      <c r="J328" t="b">
        <v>0</v>
      </c>
      <c r="K328" s="25" t="s">
        <v>32</v>
      </c>
      <c r="M328" s="25" t="s">
        <v>32</v>
      </c>
      <c r="N328">
        <v>0</v>
      </c>
      <c r="O328">
        <v>0</v>
      </c>
    </row>
    <row r="329" spans="1:15" x14ac:dyDescent="0.3">
      <c r="A329">
        <v>328</v>
      </c>
      <c r="B329">
        <v>37</v>
      </c>
      <c r="C329" s="25" t="s">
        <v>16</v>
      </c>
      <c r="D329" s="25" t="s">
        <v>28</v>
      </c>
      <c r="E329">
        <v>130</v>
      </c>
      <c r="F329">
        <v>194</v>
      </c>
      <c r="G329" t="b">
        <v>0</v>
      </c>
      <c r="H329" s="25" t="s">
        <v>26</v>
      </c>
      <c r="I329">
        <v>150</v>
      </c>
      <c r="J329" t="b">
        <v>0</v>
      </c>
      <c r="K329" s="25" t="s">
        <v>32</v>
      </c>
      <c r="M329" s="25" t="s">
        <v>32</v>
      </c>
      <c r="N329">
        <v>0</v>
      </c>
      <c r="O329">
        <v>0</v>
      </c>
    </row>
    <row r="330" spans="1:15" x14ac:dyDescent="0.3">
      <c r="A330">
        <v>329</v>
      </c>
      <c r="B330">
        <v>37</v>
      </c>
      <c r="C330" s="25" t="s">
        <v>16</v>
      </c>
      <c r="D330" s="25" t="s">
        <v>24</v>
      </c>
      <c r="E330">
        <v>120</v>
      </c>
      <c r="F330">
        <v>223</v>
      </c>
      <c r="G330" t="b">
        <v>0</v>
      </c>
      <c r="H330" s="25" t="s">
        <v>26</v>
      </c>
      <c r="I330">
        <v>168</v>
      </c>
      <c r="J330" t="b">
        <v>0</v>
      </c>
      <c r="K330" s="25" t="s">
        <v>32</v>
      </c>
      <c r="M330" s="25" t="s">
        <v>26</v>
      </c>
      <c r="N330">
        <v>0</v>
      </c>
      <c r="O330">
        <v>0</v>
      </c>
    </row>
    <row r="331" spans="1:15" x14ac:dyDescent="0.3">
      <c r="A331">
        <v>330</v>
      </c>
      <c r="B331">
        <v>37</v>
      </c>
      <c r="C331" s="25" t="s">
        <v>16</v>
      </c>
      <c r="D331" s="25" t="s">
        <v>24</v>
      </c>
      <c r="E331">
        <v>130</v>
      </c>
      <c r="F331">
        <v>315</v>
      </c>
      <c r="G331" t="b">
        <v>0</v>
      </c>
      <c r="H331" s="25" t="s">
        <v>26</v>
      </c>
      <c r="I331">
        <v>158</v>
      </c>
      <c r="J331" t="b">
        <v>0</v>
      </c>
      <c r="K331" s="25" t="s">
        <v>32</v>
      </c>
      <c r="M331" s="25" t="s">
        <v>32</v>
      </c>
      <c r="N331">
        <v>0</v>
      </c>
      <c r="O331">
        <v>0</v>
      </c>
    </row>
    <row r="332" spans="1:15" x14ac:dyDescent="0.3">
      <c r="A332">
        <v>331</v>
      </c>
      <c r="B332">
        <v>38</v>
      </c>
      <c r="C332" s="25" t="s">
        <v>29</v>
      </c>
      <c r="D332" s="25" t="s">
        <v>30</v>
      </c>
      <c r="E332">
        <v>120</v>
      </c>
      <c r="F332">
        <v>275</v>
      </c>
      <c r="H332" s="25" t="s">
        <v>26</v>
      </c>
      <c r="I332">
        <v>129</v>
      </c>
      <c r="J332" t="b">
        <v>0</v>
      </c>
      <c r="K332" s="25" t="s">
        <v>32</v>
      </c>
      <c r="M332" s="25" t="s">
        <v>32</v>
      </c>
      <c r="N332">
        <v>0</v>
      </c>
      <c r="O332">
        <v>0</v>
      </c>
    </row>
    <row r="333" spans="1:15" x14ac:dyDescent="0.3">
      <c r="A333">
        <v>332</v>
      </c>
      <c r="B333">
        <v>38</v>
      </c>
      <c r="C333" s="25" t="s">
        <v>16</v>
      </c>
      <c r="D333" s="25" t="s">
        <v>30</v>
      </c>
      <c r="E333">
        <v>140</v>
      </c>
      <c r="F333">
        <v>297</v>
      </c>
      <c r="G333" t="b">
        <v>0</v>
      </c>
      <c r="H333" s="25" t="s">
        <v>26</v>
      </c>
      <c r="I333">
        <v>150</v>
      </c>
      <c r="J333" t="b">
        <v>0</v>
      </c>
      <c r="K333" s="25" t="s">
        <v>32</v>
      </c>
      <c r="M333" s="25" t="s">
        <v>32</v>
      </c>
      <c r="N333">
        <v>0</v>
      </c>
      <c r="O333">
        <v>0</v>
      </c>
    </row>
    <row r="334" spans="1:15" x14ac:dyDescent="0.3">
      <c r="A334">
        <v>333</v>
      </c>
      <c r="B334">
        <v>38</v>
      </c>
      <c r="C334" s="25" t="s">
        <v>16</v>
      </c>
      <c r="D334" s="25" t="s">
        <v>28</v>
      </c>
      <c r="E334">
        <v>145</v>
      </c>
      <c r="F334">
        <v>292</v>
      </c>
      <c r="G334" t="b">
        <v>0</v>
      </c>
      <c r="H334" s="25" t="s">
        <v>26</v>
      </c>
      <c r="I334">
        <v>130</v>
      </c>
      <c r="J334" t="b">
        <v>0</v>
      </c>
      <c r="K334" s="25" t="s">
        <v>32</v>
      </c>
      <c r="M334" s="25" t="s">
        <v>32</v>
      </c>
      <c r="N334">
        <v>0</v>
      </c>
      <c r="O334">
        <v>0</v>
      </c>
    </row>
    <row r="335" spans="1:15" x14ac:dyDescent="0.3">
      <c r="A335">
        <v>334</v>
      </c>
      <c r="B335">
        <v>39</v>
      </c>
      <c r="C335" s="25" t="s">
        <v>29</v>
      </c>
      <c r="D335" s="25" t="s">
        <v>28</v>
      </c>
      <c r="E335">
        <v>110</v>
      </c>
      <c r="F335">
        <v>182</v>
      </c>
      <c r="G335" t="b">
        <v>0</v>
      </c>
      <c r="H335" s="25" t="s">
        <v>33</v>
      </c>
      <c r="I335">
        <v>180</v>
      </c>
      <c r="J335" t="b">
        <v>0</v>
      </c>
      <c r="K335" s="25" t="s">
        <v>32</v>
      </c>
      <c r="M335" s="25" t="s">
        <v>32</v>
      </c>
      <c r="N335">
        <v>0</v>
      </c>
      <c r="O335">
        <v>0</v>
      </c>
    </row>
    <row r="336" spans="1:15" x14ac:dyDescent="0.3">
      <c r="A336">
        <v>335</v>
      </c>
      <c r="B336">
        <v>39</v>
      </c>
      <c r="C336" s="25" t="s">
        <v>16</v>
      </c>
      <c r="D336" s="25" t="s">
        <v>30</v>
      </c>
      <c r="E336">
        <v>120</v>
      </c>
      <c r="G336" t="b">
        <v>0</v>
      </c>
      <c r="H336" s="25" t="s">
        <v>33</v>
      </c>
      <c r="I336">
        <v>146</v>
      </c>
      <c r="J336" t="b">
        <v>0</v>
      </c>
      <c r="K336" s="25" t="s">
        <v>31</v>
      </c>
      <c r="M336" s="25" t="s">
        <v>32</v>
      </c>
      <c r="N336">
        <v>0</v>
      </c>
      <c r="O336">
        <v>2</v>
      </c>
    </row>
    <row r="337" spans="1:15" x14ac:dyDescent="0.3">
      <c r="A337">
        <v>336</v>
      </c>
      <c r="B337">
        <v>39</v>
      </c>
      <c r="C337" s="25" t="s">
        <v>16</v>
      </c>
      <c r="D337" s="25" t="s">
        <v>30</v>
      </c>
      <c r="E337">
        <v>120</v>
      </c>
      <c r="F337">
        <v>200</v>
      </c>
      <c r="G337" t="b">
        <v>0</v>
      </c>
      <c r="H337" s="25" t="s">
        <v>26</v>
      </c>
      <c r="I337">
        <v>160</v>
      </c>
      <c r="J337" t="b">
        <v>1</v>
      </c>
      <c r="K337" s="25" t="s">
        <v>25</v>
      </c>
      <c r="M337" s="25" t="s">
        <v>32</v>
      </c>
      <c r="N337">
        <v>0</v>
      </c>
      <c r="O337">
        <v>1</v>
      </c>
    </row>
    <row r="338" spans="1:15" x14ac:dyDescent="0.3">
      <c r="A338">
        <v>337</v>
      </c>
      <c r="B338">
        <v>39</v>
      </c>
      <c r="C338" s="25" t="s">
        <v>16</v>
      </c>
      <c r="D338" s="25" t="s">
        <v>30</v>
      </c>
      <c r="E338">
        <v>120</v>
      </c>
      <c r="F338">
        <v>204</v>
      </c>
      <c r="G338" t="b">
        <v>0</v>
      </c>
      <c r="H338" s="25" t="s">
        <v>26</v>
      </c>
      <c r="I338">
        <v>145</v>
      </c>
      <c r="J338" t="b">
        <v>0</v>
      </c>
      <c r="K338" s="25" t="s">
        <v>32</v>
      </c>
      <c r="M338" s="25" t="s">
        <v>32</v>
      </c>
      <c r="N338">
        <v>0</v>
      </c>
      <c r="O338">
        <v>0</v>
      </c>
    </row>
    <row r="339" spans="1:15" x14ac:dyDescent="0.3">
      <c r="A339">
        <v>338</v>
      </c>
      <c r="B339">
        <v>39</v>
      </c>
      <c r="C339" s="25" t="s">
        <v>16</v>
      </c>
      <c r="D339" s="25" t="s">
        <v>30</v>
      </c>
      <c r="E339">
        <v>130</v>
      </c>
      <c r="G339" t="b">
        <v>0</v>
      </c>
      <c r="H339" s="25" t="s">
        <v>26</v>
      </c>
      <c r="I339">
        <v>120</v>
      </c>
      <c r="J339" t="b">
        <v>0</v>
      </c>
      <c r="K339" s="25" t="s">
        <v>32</v>
      </c>
      <c r="M339" s="25" t="s">
        <v>32</v>
      </c>
      <c r="N339">
        <v>0</v>
      </c>
      <c r="O339">
        <v>0</v>
      </c>
    </row>
    <row r="340" spans="1:15" x14ac:dyDescent="0.3">
      <c r="A340">
        <v>339</v>
      </c>
      <c r="B340">
        <v>39</v>
      </c>
      <c r="C340" s="25" t="s">
        <v>16</v>
      </c>
      <c r="D340" s="25" t="s">
        <v>30</v>
      </c>
      <c r="E340">
        <v>190</v>
      </c>
      <c r="F340">
        <v>241</v>
      </c>
      <c r="G340" t="b">
        <v>0</v>
      </c>
      <c r="H340" s="25" t="s">
        <v>26</v>
      </c>
      <c r="I340">
        <v>106</v>
      </c>
      <c r="J340" t="b">
        <v>0</v>
      </c>
      <c r="K340" s="25" t="s">
        <v>32</v>
      </c>
      <c r="M340" s="25" t="s">
        <v>32</v>
      </c>
      <c r="N340">
        <v>0</v>
      </c>
      <c r="O340">
        <v>0</v>
      </c>
    </row>
    <row r="341" spans="1:15" x14ac:dyDescent="0.3">
      <c r="A341">
        <v>340</v>
      </c>
      <c r="B341">
        <v>39</v>
      </c>
      <c r="C341" s="25" t="s">
        <v>16</v>
      </c>
      <c r="D341" s="25" t="s">
        <v>28</v>
      </c>
      <c r="E341">
        <v>120</v>
      </c>
      <c r="F341">
        <v>339</v>
      </c>
      <c r="G341" t="b">
        <v>0</v>
      </c>
      <c r="H341" s="25" t="s">
        <v>26</v>
      </c>
      <c r="I341">
        <v>170</v>
      </c>
      <c r="J341" t="b">
        <v>0</v>
      </c>
      <c r="K341" s="25" t="s">
        <v>32</v>
      </c>
      <c r="M341" s="25" t="s">
        <v>32</v>
      </c>
      <c r="N341">
        <v>0</v>
      </c>
      <c r="O341">
        <v>0</v>
      </c>
    </row>
    <row r="342" spans="1:15" x14ac:dyDescent="0.3">
      <c r="A342">
        <v>341</v>
      </c>
      <c r="B342">
        <v>39</v>
      </c>
      <c r="C342" s="25" t="s">
        <v>16</v>
      </c>
      <c r="D342" s="25" t="s">
        <v>28</v>
      </c>
      <c r="E342">
        <v>160</v>
      </c>
      <c r="F342">
        <v>147</v>
      </c>
      <c r="G342" t="b">
        <v>1</v>
      </c>
      <c r="H342" s="25" t="s">
        <v>26</v>
      </c>
      <c r="I342">
        <v>160</v>
      </c>
      <c r="J342" t="b">
        <v>0</v>
      </c>
      <c r="K342" s="25" t="s">
        <v>32</v>
      </c>
      <c r="M342" s="25" t="s">
        <v>32</v>
      </c>
      <c r="N342">
        <v>0</v>
      </c>
      <c r="O342">
        <v>0</v>
      </c>
    </row>
    <row r="343" spans="1:15" x14ac:dyDescent="0.3">
      <c r="A343">
        <v>342</v>
      </c>
      <c r="B343">
        <v>39</v>
      </c>
      <c r="C343" s="25" t="s">
        <v>16</v>
      </c>
      <c r="D343" s="25" t="s">
        <v>24</v>
      </c>
      <c r="E343">
        <v>110</v>
      </c>
      <c r="F343">
        <v>273</v>
      </c>
      <c r="G343" t="b">
        <v>0</v>
      </c>
      <c r="H343" s="25" t="s">
        <v>26</v>
      </c>
      <c r="I343">
        <v>132</v>
      </c>
      <c r="J343" t="b">
        <v>0</v>
      </c>
      <c r="K343" s="25" t="s">
        <v>32</v>
      </c>
      <c r="M343" s="25" t="s">
        <v>32</v>
      </c>
      <c r="N343">
        <v>0</v>
      </c>
      <c r="O343">
        <v>0</v>
      </c>
    </row>
    <row r="344" spans="1:15" x14ac:dyDescent="0.3">
      <c r="A344">
        <v>343</v>
      </c>
      <c r="B344">
        <v>39</v>
      </c>
      <c r="C344" s="25" t="s">
        <v>16</v>
      </c>
      <c r="D344" s="25" t="s">
        <v>24</v>
      </c>
      <c r="E344">
        <v>130</v>
      </c>
      <c r="F344">
        <v>307</v>
      </c>
      <c r="G344" t="b">
        <v>0</v>
      </c>
      <c r="H344" s="25" t="s">
        <v>26</v>
      </c>
      <c r="I344">
        <v>140</v>
      </c>
      <c r="J344" t="b">
        <v>0</v>
      </c>
      <c r="K344" s="25" t="s">
        <v>32</v>
      </c>
      <c r="M344" s="25" t="s">
        <v>32</v>
      </c>
      <c r="N344">
        <v>0</v>
      </c>
      <c r="O344">
        <v>0</v>
      </c>
    </row>
    <row r="345" spans="1:15" x14ac:dyDescent="0.3">
      <c r="A345">
        <v>344</v>
      </c>
      <c r="B345">
        <v>40</v>
      </c>
      <c r="C345" s="25" t="s">
        <v>16</v>
      </c>
      <c r="D345" s="25" t="s">
        <v>30</v>
      </c>
      <c r="E345">
        <v>130</v>
      </c>
      <c r="F345">
        <v>275</v>
      </c>
      <c r="G345" t="b">
        <v>0</v>
      </c>
      <c r="H345" s="25" t="s">
        <v>26</v>
      </c>
      <c r="I345">
        <v>150</v>
      </c>
      <c r="J345" t="b">
        <v>0</v>
      </c>
      <c r="K345" s="25" t="s">
        <v>32</v>
      </c>
      <c r="M345" s="25" t="s">
        <v>32</v>
      </c>
      <c r="N345">
        <v>0</v>
      </c>
      <c r="O345">
        <v>0</v>
      </c>
    </row>
    <row r="346" spans="1:15" x14ac:dyDescent="0.3">
      <c r="A346">
        <v>345</v>
      </c>
      <c r="B346">
        <v>40</v>
      </c>
      <c r="C346" s="25" t="s">
        <v>16</v>
      </c>
      <c r="D346" s="25" t="s">
        <v>30</v>
      </c>
      <c r="E346">
        <v>140</v>
      </c>
      <c r="F346">
        <v>289</v>
      </c>
      <c r="G346" t="b">
        <v>0</v>
      </c>
      <c r="H346" s="25" t="s">
        <v>26</v>
      </c>
      <c r="I346">
        <v>172</v>
      </c>
      <c r="J346" t="b">
        <v>0</v>
      </c>
      <c r="K346" s="25" t="s">
        <v>32</v>
      </c>
      <c r="M346" s="25" t="s">
        <v>32</v>
      </c>
      <c r="N346">
        <v>0</v>
      </c>
      <c r="O346">
        <v>0</v>
      </c>
    </row>
    <row r="347" spans="1:15" x14ac:dyDescent="0.3">
      <c r="A347">
        <v>346</v>
      </c>
      <c r="B347">
        <v>40</v>
      </c>
      <c r="C347" s="25" t="s">
        <v>16</v>
      </c>
      <c r="D347" s="25" t="s">
        <v>28</v>
      </c>
      <c r="E347">
        <v>130</v>
      </c>
      <c r="F347">
        <v>215</v>
      </c>
      <c r="G347" t="b">
        <v>0</v>
      </c>
      <c r="H347" s="25" t="s">
        <v>26</v>
      </c>
      <c r="I347">
        <v>138</v>
      </c>
      <c r="J347" t="b">
        <v>0</v>
      </c>
      <c r="K347" s="25" t="s">
        <v>32</v>
      </c>
      <c r="M347" s="25" t="s">
        <v>32</v>
      </c>
      <c r="N347">
        <v>0</v>
      </c>
      <c r="O347">
        <v>0</v>
      </c>
    </row>
    <row r="348" spans="1:15" x14ac:dyDescent="0.3">
      <c r="A348">
        <v>347</v>
      </c>
      <c r="B348">
        <v>40</v>
      </c>
      <c r="C348" s="25" t="s">
        <v>16</v>
      </c>
      <c r="D348" s="25" t="s">
        <v>28</v>
      </c>
      <c r="E348">
        <v>130</v>
      </c>
      <c r="F348">
        <v>281</v>
      </c>
      <c r="G348" t="b">
        <v>0</v>
      </c>
      <c r="H348" s="25" t="s">
        <v>26</v>
      </c>
      <c r="I348">
        <v>167</v>
      </c>
      <c r="J348" t="b">
        <v>0</v>
      </c>
      <c r="K348" s="25" t="s">
        <v>32</v>
      </c>
      <c r="M348" s="25" t="s">
        <v>32</v>
      </c>
      <c r="N348">
        <v>0</v>
      </c>
      <c r="O348">
        <v>0</v>
      </c>
    </row>
    <row r="349" spans="1:15" x14ac:dyDescent="0.3">
      <c r="A349">
        <v>348</v>
      </c>
      <c r="B349">
        <v>40</v>
      </c>
      <c r="C349" s="25" t="s">
        <v>16</v>
      </c>
      <c r="D349" s="25" t="s">
        <v>28</v>
      </c>
      <c r="E349">
        <v>140</v>
      </c>
      <c r="G349" t="b">
        <v>0</v>
      </c>
      <c r="H349" s="25" t="s">
        <v>26</v>
      </c>
      <c r="I349">
        <v>188</v>
      </c>
      <c r="J349" t="b">
        <v>0</v>
      </c>
      <c r="K349" s="25" t="s">
        <v>32</v>
      </c>
      <c r="M349" s="25" t="s">
        <v>32</v>
      </c>
      <c r="N349">
        <v>0</v>
      </c>
      <c r="O349">
        <v>0</v>
      </c>
    </row>
    <row r="350" spans="1:15" x14ac:dyDescent="0.3">
      <c r="A350">
        <v>349</v>
      </c>
      <c r="B350">
        <v>41</v>
      </c>
      <c r="C350" s="25" t="s">
        <v>29</v>
      </c>
      <c r="D350" s="25" t="s">
        <v>30</v>
      </c>
      <c r="E350">
        <v>110</v>
      </c>
      <c r="F350">
        <v>250</v>
      </c>
      <c r="G350" t="b">
        <v>0</v>
      </c>
      <c r="H350" s="25" t="s">
        <v>33</v>
      </c>
      <c r="I350">
        <v>142</v>
      </c>
      <c r="J350" t="b">
        <v>0</v>
      </c>
      <c r="K350" s="25" t="s">
        <v>32</v>
      </c>
      <c r="M350" s="25" t="s">
        <v>32</v>
      </c>
      <c r="N350">
        <v>0</v>
      </c>
      <c r="O350">
        <v>0</v>
      </c>
    </row>
    <row r="351" spans="1:15" x14ac:dyDescent="0.3">
      <c r="A351">
        <v>350</v>
      </c>
      <c r="B351">
        <v>41</v>
      </c>
      <c r="C351" s="25" t="s">
        <v>29</v>
      </c>
      <c r="D351" s="25" t="s">
        <v>30</v>
      </c>
      <c r="E351">
        <v>125</v>
      </c>
      <c r="F351">
        <v>184</v>
      </c>
      <c r="G351" t="b">
        <v>0</v>
      </c>
      <c r="H351" s="25" t="s">
        <v>26</v>
      </c>
      <c r="I351">
        <v>180</v>
      </c>
      <c r="J351" t="b">
        <v>0</v>
      </c>
      <c r="K351" s="25" t="s">
        <v>32</v>
      </c>
      <c r="M351" s="25" t="s">
        <v>32</v>
      </c>
      <c r="N351">
        <v>0</v>
      </c>
      <c r="O351">
        <v>0</v>
      </c>
    </row>
    <row r="352" spans="1:15" x14ac:dyDescent="0.3">
      <c r="A352">
        <v>351</v>
      </c>
      <c r="B352">
        <v>41</v>
      </c>
      <c r="C352" s="25" t="s">
        <v>29</v>
      </c>
      <c r="D352" s="25" t="s">
        <v>30</v>
      </c>
      <c r="E352">
        <v>130</v>
      </c>
      <c r="F352">
        <v>245</v>
      </c>
      <c r="G352" t="b">
        <v>0</v>
      </c>
      <c r="H352" s="25" t="s">
        <v>26</v>
      </c>
      <c r="I352">
        <v>150</v>
      </c>
      <c r="J352" t="b">
        <v>0</v>
      </c>
      <c r="K352" s="25" t="s">
        <v>32</v>
      </c>
      <c r="M352" s="25" t="s">
        <v>32</v>
      </c>
      <c r="N352">
        <v>0</v>
      </c>
      <c r="O352">
        <v>0</v>
      </c>
    </row>
    <row r="353" spans="1:15" x14ac:dyDescent="0.3">
      <c r="A353">
        <v>352</v>
      </c>
      <c r="B353">
        <v>41</v>
      </c>
      <c r="C353" s="25" t="s">
        <v>16</v>
      </c>
      <c r="D353" s="25" t="s">
        <v>30</v>
      </c>
      <c r="E353">
        <v>120</v>
      </c>
      <c r="F353">
        <v>291</v>
      </c>
      <c r="G353" t="b">
        <v>0</v>
      </c>
      <c r="H353" s="25" t="s">
        <v>33</v>
      </c>
      <c r="I353">
        <v>160</v>
      </c>
      <c r="J353" t="b">
        <v>0</v>
      </c>
      <c r="K353" s="25" t="s">
        <v>32</v>
      </c>
      <c r="M353" s="25" t="s">
        <v>32</v>
      </c>
      <c r="N353">
        <v>0</v>
      </c>
      <c r="O353">
        <v>0</v>
      </c>
    </row>
    <row r="354" spans="1:15" x14ac:dyDescent="0.3">
      <c r="A354">
        <v>353</v>
      </c>
      <c r="B354">
        <v>41</v>
      </c>
      <c r="C354" s="25" t="s">
        <v>16</v>
      </c>
      <c r="D354" s="25" t="s">
        <v>30</v>
      </c>
      <c r="E354">
        <v>120</v>
      </c>
      <c r="F354">
        <v>295</v>
      </c>
      <c r="G354" t="b">
        <v>0</v>
      </c>
      <c r="H354" s="25" t="s">
        <v>26</v>
      </c>
      <c r="I354">
        <v>170</v>
      </c>
      <c r="J354" t="b">
        <v>0</v>
      </c>
      <c r="K354" s="25" t="s">
        <v>32</v>
      </c>
      <c r="M354" s="25" t="s">
        <v>32</v>
      </c>
      <c r="N354">
        <v>0</v>
      </c>
      <c r="O354">
        <v>0</v>
      </c>
    </row>
    <row r="355" spans="1:15" x14ac:dyDescent="0.3">
      <c r="A355">
        <v>354</v>
      </c>
      <c r="B355">
        <v>41</v>
      </c>
      <c r="C355" s="25" t="s">
        <v>16</v>
      </c>
      <c r="D355" s="25" t="s">
        <v>30</v>
      </c>
      <c r="E355">
        <v>125</v>
      </c>
      <c r="F355">
        <v>269</v>
      </c>
      <c r="G355" t="b">
        <v>0</v>
      </c>
      <c r="H355" s="25" t="s">
        <v>26</v>
      </c>
      <c r="I355">
        <v>144</v>
      </c>
      <c r="J355" t="b">
        <v>0</v>
      </c>
      <c r="K355" s="25" t="s">
        <v>32</v>
      </c>
      <c r="M355" s="25" t="s">
        <v>32</v>
      </c>
      <c r="N355">
        <v>0</v>
      </c>
      <c r="O355">
        <v>0</v>
      </c>
    </row>
    <row r="356" spans="1:15" x14ac:dyDescent="0.3">
      <c r="A356">
        <v>355</v>
      </c>
      <c r="B356">
        <v>41</v>
      </c>
      <c r="C356" s="25" t="s">
        <v>16</v>
      </c>
      <c r="D356" s="25" t="s">
        <v>24</v>
      </c>
      <c r="E356">
        <v>112</v>
      </c>
      <c r="F356">
        <v>250</v>
      </c>
      <c r="G356" t="b">
        <v>0</v>
      </c>
      <c r="H356" s="25" t="s">
        <v>26</v>
      </c>
      <c r="I356">
        <v>142</v>
      </c>
      <c r="J356" t="b">
        <v>0</v>
      </c>
      <c r="K356" s="25" t="s">
        <v>32</v>
      </c>
      <c r="M356" s="25" t="s">
        <v>32</v>
      </c>
      <c r="N356">
        <v>0</v>
      </c>
      <c r="O356">
        <v>0</v>
      </c>
    </row>
    <row r="357" spans="1:15" x14ac:dyDescent="0.3">
      <c r="A357">
        <v>356</v>
      </c>
      <c r="B357">
        <v>42</v>
      </c>
      <c r="C357" s="25" t="s">
        <v>29</v>
      </c>
      <c r="D357" s="25" t="s">
        <v>28</v>
      </c>
      <c r="E357">
        <v>115</v>
      </c>
      <c r="F357">
        <v>211</v>
      </c>
      <c r="G357" t="b">
        <v>0</v>
      </c>
      <c r="H357" s="25" t="s">
        <v>33</v>
      </c>
      <c r="I357">
        <v>137</v>
      </c>
      <c r="J357" t="b">
        <v>0</v>
      </c>
      <c r="K357" s="25" t="s">
        <v>32</v>
      </c>
      <c r="M357" s="25" t="s">
        <v>32</v>
      </c>
      <c r="N357">
        <v>0</v>
      </c>
      <c r="O357">
        <v>0</v>
      </c>
    </row>
    <row r="358" spans="1:15" x14ac:dyDescent="0.3">
      <c r="A358">
        <v>357</v>
      </c>
      <c r="B358">
        <v>42</v>
      </c>
      <c r="C358" s="25" t="s">
        <v>16</v>
      </c>
      <c r="D358" s="25" t="s">
        <v>30</v>
      </c>
      <c r="E358">
        <v>120</v>
      </c>
      <c r="F358">
        <v>196</v>
      </c>
      <c r="G358" t="b">
        <v>0</v>
      </c>
      <c r="H358" s="25" t="s">
        <v>26</v>
      </c>
      <c r="I358">
        <v>150</v>
      </c>
      <c r="J358" t="b">
        <v>0</v>
      </c>
      <c r="K358" s="25" t="s">
        <v>32</v>
      </c>
      <c r="M358" s="25" t="s">
        <v>32</v>
      </c>
      <c r="N358">
        <v>0</v>
      </c>
      <c r="O358">
        <v>0</v>
      </c>
    </row>
    <row r="359" spans="1:15" x14ac:dyDescent="0.3">
      <c r="A359">
        <v>358</v>
      </c>
      <c r="B359">
        <v>42</v>
      </c>
      <c r="C359" s="25" t="s">
        <v>16</v>
      </c>
      <c r="D359" s="25" t="s">
        <v>30</v>
      </c>
      <c r="E359">
        <v>120</v>
      </c>
      <c r="F359">
        <v>198</v>
      </c>
      <c r="G359" t="b">
        <v>0</v>
      </c>
      <c r="H359" s="25" t="s">
        <v>26</v>
      </c>
      <c r="I359">
        <v>155</v>
      </c>
      <c r="J359" t="b">
        <v>0</v>
      </c>
      <c r="K359" s="25" t="s">
        <v>32</v>
      </c>
      <c r="M359" s="25" t="s">
        <v>32</v>
      </c>
      <c r="N359">
        <v>0</v>
      </c>
      <c r="O359">
        <v>0</v>
      </c>
    </row>
    <row r="360" spans="1:15" x14ac:dyDescent="0.3">
      <c r="A360">
        <v>359</v>
      </c>
      <c r="B360">
        <v>42</v>
      </c>
      <c r="C360" s="25" t="s">
        <v>16</v>
      </c>
      <c r="D360" s="25" t="s">
        <v>30</v>
      </c>
      <c r="E360">
        <v>150</v>
      </c>
      <c r="F360">
        <v>268</v>
      </c>
      <c r="G360" t="b">
        <v>0</v>
      </c>
      <c r="H360" s="25" t="s">
        <v>26</v>
      </c>
      <c r="I360">
        <v>136</v>
      </c>
      <c r="J360" t="b">
        <v>0</v>
      </c>
      <c r="K360" s="25" t="s">
        <v>32</v>
      </c>
      <c r="M360" s="25" t="s">
        <v>32</v>
      </c>
      <c r="N360">
        <v>0</v>
      </c>
      <c r="O360">
        <v>0</v>
      </c>
    </row>
    <row r="361" spans="1:15" x14ac:dyDescent="0.3">
      <c r="A361">
        <v>360</v>
      </c>
      <c r="B361">
        <v>42</v>
      </c>
      <c r="C361" s="25" t="s">
        <v>16</v>
      </c>
      <c r="D361" s="25" t="s">
        <v>28</v>
      </c>
      <c r="E361">
        <v>120</v>
      </c>
      <c r="F361">
        <v>228</v>
      </c>
      <c r="G361" t="b">
        <v>0</v>
      </c>
      <c r="H361" s="25" t="s">
        <v>26</v>
      </c>
      <c r="I361">
        <v>152</v>
      </c>
      <c r="J361" t="b">
        <v>1</v>
      </c>
      <c r="K361" s="25" t="s">
        <v>25</v>
      </c>
      <c r="M361" s="25" t="s">
        <v>32</v>
      </c>
      <c r="N361">
        <v>0</v>
      </c>
      <c r="O361">
        <v>0.5</v>
      </c>
    </row>
    <row r="362" spans="1:15" x14ac:dyDescent="0.3">
      <c r="A362">
        <v>361</v>
      </c>
      <c r="B362">
        <v>42</v>
      </c>
      <c r="C362" s="25" t="s">
        <v>16</v>
      </c>
      <c r="D362" s="25" t="s">
        <v>28</v>
      </c>
      <c r="E362">
        <v>160</v>
      </c>
      <c r="F362">
        <v>147</v>
      </c>
      <c r="G362" t="b">
        <v>0</v>
      </c>
      <c r="H362" s="25" t="s">
        <v>26</v>
      </c>
      <c r="I362">
        <v>146</v>
      </c>
      <c r="J362" t="b">
        <v>0</v>
      </c>
      <c r="K362" s="25" t="s">
        <v>32</v>
      </c>
      <c r="M362" s="25" t="s">
        <v>32</v>
      </c>
      <c r="N362">
        <v>0</v>
      </c>
      <c r="O362">
        <v>0</v>
      </c>
    </row>
    <row r="363" spans="1:15" x14ac:dyDescent="0.3">
      <c r="A363">
        <v>362</v>
      </c>
      <c r="B363">
        <v>42</v>
      </c>
      <c r="C363" s="25" t="s">
        <v>16</v>
      </c>
      <c r="D363" s="25" t="s">
        <v>24</v>
      </c>
      <c r="E363">
        <v>140</v>
      </c>
      <c r="F363">
        <v>358</v>
      </c>
      <c r="G363" t="b">
        <v>0</v>
      </c>
      <c r="H363" s="25" t="s">
        <v>26</v>
      </c>
      <c r="I363">
        <v>170</v>
      </c>
      <c r="J363" t="b">
        <v>0</v>
      </c>
      <c r="K363" s="25" t="s">
        <v>32</v>
      </c>
      <c r="M363" s="25" t="s">
        <v>32</v>
      </c>
      <c r="N363">
        <v>0</v>
      </c>
      <c r="O363">
        <v>0</v>
      </c>
    </row>
    <row r="364" spans="1:15" x14ac:dyDescent="0.3">
      <c r="A364">
        <v>363</v>
      </c>
      <c r="B364">
        <v>43</v>
      </c>
      <c r="C364" s="25" t="s">
        <v>29</v>
      </c>
      <c r="D364" s="25" t="s">
        <v>18</v>
      </c>
      <c r="E364">
        <v>100</v>
      </c>
      <c r="F364">
        <v>223</v>
      </c>
      <c r="G364" t="b">
        <v>0</v>
      </c>
      <c r="H364" s="25" t="s">
        <v>26</v>
      </c>
      <c r="I364">
        <v>142</v>
      </c>
      <c r="J364" t="b">
        <v>0</v>
      </c>
      <c r="K364" s="25" t="s">
        <v>32</v>
      </c>
      <c r="M364" s="25" t="s">
        <v>32</v>
      </c>
      <c r="N364">
        <v>0</v>
      </c>
      <c r="O364">
        <v>0</v>
      </c>
    </row>
    <row r="365" spans="1:15" x14ac:dyDescent="0.3">
      <c r="A365">
        <v>364</v>
      </c>
      <c r="B365">
        <v>43</v>
      </c>
      <c r="C365" s="25" t="s">
        <v>29</v>
      </c>
      <c r="D365" s="25" t="s">
        <v>30</v>
      </c>
      <c r="E365">
        <v>120</v>
      </c>
      <c r="F365">
        <v>201</v>
      </c>
      <c r="G365" t="b">
        <v>0</v>
      </c>
      <c r="H365" s="25" t="s">
        <v>26</v>
      </c>
      <c r="I365">
        <v>165</v>
      </c>
      <c r="J365" t="b">
        <v>0</v>
      </c>
      <c r="K365" s="25" t="s">
        <v>32</v>
      </c>
      <c r="M365" s="25" t="s">
        <v>32</v>
      </c>
      <c r="N365">
        <v>0</v>
      </c>
      <c r="O365">
        <v>0</v>
      </c>
    </row>
    <row r="366" spans="1:15" x14ac:dyDescent="0.3">
      <c r="A366">
        <v>365</v>
      </c>
      <c r="B366">
        <v>43</v>
      </c>
      <c r="C366" s="25" t="s">
        <v>29</v>
      </c>
      <c r="D366" s="25" t="s">
        <v>30</v>
      </c>
      <c r="E366">
        <v>120</v>
      </c>
      <c r="F366">
        <v>215</v>
      </c>
      <c r="G366" t="b">
        <v>0</v>
      </c>
      <c r="H366" s="25" t="s">
        <v>33</v>
      </c>
      <c r="I366">
        <v>175</v>
      </c>
      <c r="J366" t="b">
        <v>0</v>
      </c>
      <c r="K366" s="25" t="s">
        <v>32</v>
      </c>
      <c r="M366" s="25" t="s">
        <v>32</v>
      </c>
      <c r="N366">
        <v>0</v>
      </c>
      <c r="O366">
        <v>0</v>
      </c>
    </row>
    <row r="367" spans="1:15" x14ac:dyDescent="0.3">
      <c r="A367">
        <v>366</v>
      </c>
      <c r="B367">
        <v>43</v>
      </c>
      <c r="C367" s="25" t="s">
        <v>29</v>
      </c>
      <c r="D367" s="25" t="s">
        <v>30</v>
      </c>
      <c r="E367">
        <v>120</v>
      </c>
      <c r="F367">
        <v>249</v>
      </c>
      <c r="G367" t="b">
        <v>0</v>
      </c>
      <c r="H367" s="25" t="s">
        <v>33</v>
      </c>
      <c r="I367">
        <v>176</v>
      </c>
      <c r="J367" t="b">
        <v>0</v>
      </c>
      <c r="K367" s="25" t="s">
        <v>32</v>
      </c>
      <c r="M367" s="25" t="s">
        <v>32</v>
      </c>
      <c r="N367">
        <v>0</v>
      </c>
      <c r="O367">
        <v>0</v>
      </c>
    </row>
    <row r="368" spans="1:15" x14ac:dyDescent="0.3">
      <c r="A368">
        <v>367</v>
      </c>
      <c r="B368">
        <v>43</v>
      </c>
      <c r="C368" s="25" t="s">
        <v>29</v>
      </c>
      <c r="D368" s="25" t="s">
        <v>30</v>
      </c>
      <c r="E368">
        <v>120</v>
      </c>
      <c r="F368">
        <v>266</v>
      </c>
      <c r="G368" t="b">
        <v>0</v>
      </c>
      <c r="H368" s="25" t="s">
        <v>26</v>
      </c>
      <c r="I368">
        <v>118</v>
      </c>
      <c r="J368" t="b">
        <v>0</v>
      </c>
      <c r="K368" s="25" t="s">
        <v>32</v>
      </c>
      <c r="M368" s="25" t="s">
        <v>32</v>
      </c>
      <c r="N368">
        <v>0</v>
      </c>
      <c r="O368">
        <v>0</v>
      </c>
    </row>
    <row r="369" spans="1:15" x14ac:dyDescent="0.3">
      <c r="A369">
        <v>368</v>
      </c>
      <c r="B369">
        <v>43</v>
      </c>
      <c r="C369" s="25" t="s">
        <v>29</v>
      </c>
      <c r="D369" s="25" t="s">
        <v>30</v>
      </c>
      <c r="E369">
        <v>150</v>
      </c>
      <c r="F369">
        <v>186</v>
      </c>
      <c r="G369" t="b">
        <v>0</v>
      </c>
      <c r="H369" s="25" t="s">
        <v>26</v>
      </c>
      <c r="I369">
        <v>154</v>
      </c>
      <c r="J369" t="b">
        <v>0</v>
      </c>
      <c r="K369" s="25" t="s">
        <v>32</v>
      </c>
      <c r="M369" s="25" t="s">
        <v>32</v>
      </c>
      <c r="N369">
        <v>0</v>
      </c>
      <c r="O369">
        <v>0</v>
      </c>
    </row>
    <row r="370" spans="1:15" x14ac:dyDescent="0.3">
      <c r="A370">
        <v>369</v>
      </c>
      <c r="B370">
        <v>43</v>
      </c>
      <c r="C370" s="25" t="s">
        <v>29</v>
      </c>
      <c r="D370" s="25" t="s">
        <v>28</v>
      </c>
      <c r="E370">
        <v>150</v>
      </c>
      <c r="G370" t="b">
        <v>0</v>
      </c>
      <c r="H370" s="25" t="s">
        <v>26</v>
      </c>
      <c r="I370">
        <v>175</v>
      </c>
      <c r="J370" t="b">
        <v>0</v>
      </c>
      <c r="K370" s="25" t="s">
        <v>32</v>
      </c>
      <c r="M370" s="25" t="s">
        <v>26</v>
      </c>
      <c r="N370">
        <v>0</v>
      </c>
      <c r="O370">
        <v>0</v>
      </c>
    </row>
    <row r="371" spans="1:15" x14ac:dyDescent="0.3">
      <c r="A371">
        <v>370</v>
      </c>
      <c r="B371">
        <v>43</v>
      </c>
      <c r="C371" s="25" t="s">
        <v>16</v>
      </c>
      <c r="D371" s="25" t="s">
        <v>30</v>
      </c>
      <c r="E371">
        <v>142</v>
      </c>
      <c r="F371">
        <v>207</v>
      </c>
      <c r="G371" t="b">
        <v>0</v>
      </c>
      <c r="H371" s="25" t="s">
        <v>26</v>
      </c>
      <c r="I371">
        <v>138</v>
      </c>
      <c r="J371" t="b">
        <v>0</v>
      </c>
      <c r="K371" s="25" t="s">
        <v>32</v>
      </c>
      <c r="M371" s="25" t="s">
        <v>32</v>
      </c>
      <c r="N371">
        <v>0</v>
      </c>
      <c r="O371">
        <v>0</v>
      </c>
    </row>
    <row r="372" spans="1:15" x14ac:dyDescent="0.3">
      <c r="A372">
        <v>371</v>
      </c>
      <c r="B372">
        <v>44</v>
      </c>
      <c r="C372" s="25" t="s">
        <v>29</v>
      </c>
      <c r="D372" s="25" t="s">
        <v>24</v>
      </c>
      <c r="E372">
        <v>120</v>
      </c>
      <c r="F372">
        <v>218</v>
      </c>
      <c r="G372" t="b">
        <v>0</v>
      </c>
      <c r="H372" s="25" t="s">
        <v>33</v>
      </c>
      <c r="I372">
        <v>115</v>
      </c>
      <c r="J372" t="b">
        <v>0</v>
      </c>
      <c r="K372" s="25" t="s">
        <v>32</v>
      </c>
      <c r="M372" s="25" t="s">
        <v>32</v>
      </c>
      <c r="N372">
        <v>0</v>
      </c>
      <c r="O372">
        <v>0</v>
      </c>
    </row>
    <row r="373" spans="1:15" x14ac:dyDescent="0.3">
      <c r="A373">
        <v>372</v>
      </c>
      <c r="B373">
        <v>44</v>
      </c>
      <c r="C373" s="25" t="s">
        <v>16</v>
      </c>
      <c r="D373" s="25" t="s">
        <v>30</v>
      </c>
      <c r="E373">
        <v>120</v>
      </c>
      <c r="F373">
        <v>184</v>
      </c>
      <c r="G373" t="b">
        <v>0</v>
      </c>
      <c r="H373" s="25" t="s">
        <v>26</v>
      </c>
      <c r="I373">
        <v>142</v>
      </c>
      <c r="J373" t="b">
        <v>0</v>
      </c>
      <c r="K373" s="25" t="s">
        <v>25</v>
      </c>
      <c r="M373" s="25" t="s">
        <v>32</v>
      </c>
      <c r="N373">
        <v>0</v>
      </c>
      <c r="O373">
        <v>1</v>
      </c>
    </row>
    <row r="374" spans="1:15" x14ac:dyDescent="0.3">
      <c r="A374">
        <v>373</v>
      </c>
      <c r="B374">
        <v>44</v>
      </c>
      <c r="C374" s="25" t="s">
        <v>16</v>
      </c>
      <c r="D374" s="25" t="s">
        <v>30</v>
      </c>
      <c r="E374">
        <v>130</v>
      </c>
      <c r="F374">
        <v>215</v>
      </c>
      <c r="G374" t="b">
        <v>0</v>
      </c>
      <c r="H374" s="25" t="s">
        <v>26</v>
      </c>
      <c r="I374">
        <v>135</v>
      </c>
      <c r="J374" t="b">
        <v>0</v>
      </c>
      <c r="K374" s="25" t="s">
        <v>32</v>
      </c>
      <c r="M374" s="25" t="s">
        <v>32</v>
      </c>
      <c r="N374">
        <v>0</v>
      </c>
      <c r="O374">
        <v>0</v>
      </c>
    </row>
    <row r="375" spans="1:15" x14ac:dyDescent="0.3">
      <c r="A375">
        <v>374</v>
      </c>
      <c r="B375">
        <v>44</v>
      </c>
      <c r="C375" s="25" t="s">
        <v>16</v>
      </c>
      <c r="D375" s="25" t="s">
        <v>24</v>
      </c>
      <c r="E375">
        <v>150</v>
      </c>
      <c r="F375">
        <v>412</v>
      </c>
      <c r="G375" t="b">
        <v>0</v>
      </c>
      <c r="H375" s="25" t="s">
        <v>26</v>
      </c>
      <c r="I375">
        <v>170</v>
      </c>
      <c r="J375" t="b">
        <v>0</v>
      </c>
      <c r="K375" s="25" t="s">
        <v>32</v>
      </c>
      <c r="M375" s="25" t="s">
        <v>32</v>
      </c>
      <c r="N375">
        <v>0</v>
      </c>
      <c r="O375">
        <v>0</v>
      </c>
    </row>
    <row r="376" spans="1:15" x14ac:dyDescent="0.3">
      <c r="A376">
        <v>375</v>
      </c>
      <c r="B376">
        <v>45</v>
      </c>
      <c r="C376" s="25" t="s">
        <v>29</v>
      </c>
      <c r="D376" s="25" t="s">
        <v>30</v>
      </c>
      <c r="E376">
        <v>130</v>
      </c>
      <c r="F376">
        <v>237</v>
      </c>
      <c r="G376" t="b">
        <v>0</v>
      </c>
      <c r="H376" s="25" t="s">
        <v>26</v>
      </c>
      <c r="I376">
        <v>170</v>
      </c>
      <c r="J376" t="b">
        <v>0</v>
      </c>
      <c r="K376" s="25" t="s">
        <v>32</v>
      </c>
      <c r="M376" s="25" t="s">
        <v>32</v>
      </c>
      <c r="N376">
        <v>0</v>
      </c>
      <c r="O376">
        <v>0</v>
      </c>
    </row>
    <row r="377" spans="1:15" x14ac:dyDescent="0.3">
      <c r="A377">
        <v>376</v>
      </c>
      <c r="B377">
        <v>45</v>
      </c>
      <c r="C377" s="25" t="s">
        <v>29</v>
      </c>
      <c r="D377" s="25" t="s">
        <v>30</v>
      </c>
      <c r="E377">
        <v>180</v>
      </c>
      <c r="G377" t="b">
        <v>0</v>
      </c>
      <c r="H377" s="25" t="s">
        <v>26</v>
      </c>
      <c r="I377">
        <v>180</v>
      </c>
      <c r="J377" t="b">
        <v>0</v>
      </c>
      <c r="K377" s="25" t="s">
        <v>32</v>
      </c>
      <c r="M377" s="25" t="s">
        <v>32</v>
      </c>
      <c r="N377">
        <v>0</v>
      </c>
      <c r="O377">
        <v>0</v>
      </c>
    </row>
    <row r="378" spans="1:15" x14ac:dyDescent="0.3">
      <c r="A378">
        <v>377</v>
      </c>
      <c r="B378">
        <v>45</v>
      </c>
      <c r="C378" s="25" t="s">
        <v>29</v>
      </c>
      <c r="D378" s="25" t="s">
        <v>24</v>
      </c>
      <c r="E378">
        <v>132</v>
      </c>
      <c r="F378">
        <v>297</v>
      </c>
      <c r="G378" t="b">
        <v>0</v>
      </c>
      <c r="H378" s="25" t="s">
        <v>26</v>
      </c>
      <c r="I378">
        <v>144</v>
      </c>
      <c r="J378" t="b">
        <v>0</v>
      </c>
      <c r="K378" s="25" t="s">
        <v>32</v>
      </c>
      <c r="M378" s="25" t="s">
        <v>32</v>
      </c>
      <c r="N378">
        <v>0</v>
      </c>
      <c r="O378">
        <v>0</v>
      </c>
    </row>
    <row r="379" spans="1:15" x14ac:dyDescent="0.3">
      <c r="A379">
        <v>378</v>
      </c>
      <c r="B379">
        <v>45</v>
      </c>
      <c r="C379" s="25" t="s">
        <v>16</v>
      </c>
      <c r="D379" s="25" t="s">
        <v>30</v>
      </c>
      <c r="E379">
        <v>140</v>
      </c>
      <c r="F379">
        <v>224</v>
      </c>
      <c r="G379" t="b">
        <v>1</v>
      </c>
      <c r="H379" s="25" t="s">
        <v>26</v>
      </c>
      <c r="I379">
        <v>122</v>
      </c>
      <c r="J379" t="b">
        <v>0</v>
      </c>
      <c r="K379" s="25" t="s">
        <v>32</v>
      </c>
      <c r="M379" s="25" t="s">
        <v>32</v>
      </c>
      <c r="N379">
        <v>0</v>
      </c>
      <c r="O379">
        <v>0</v>
      </c>
    </row>
    <row r="380" spans="1:15" x14ac:dyDescent="0.3">
      <c r="A380">
        <v>379</v>
      </c>
      <c r="B380">
        <v>45</v>
      </c>
      <c r="C380" s="25" t="s">
        <v>16</v>
      </c>
      <c r="D380" s="25" t="s">
        <v>28</v>
      </c>
      <c r="E380">
        <v>135</v>
      </c>
      <c r="G380" t="b">
        <v>0</v>
      </c>
      <c r="H380" s="25" t="s">
        <v>26</v>
      </c>
      <c r="I380">
        <v>110</v>
      </c>
      <c r="J380" t="b">
        <v>0</v>
      </c>
      <c r="K380" s="25" t="s">
        <v>32</v>
      </c>
      <c r="M380" s="25" t="s">
        <v>32</v>
      </c>
      <c r="N380">
        <v>0</v>
      </c>
      <c r="O380">
        <v>0</v>
      </c>
    </row>
    <row r="381" spans="1:15" x14ac:dyDescent="0.3">
      <c r="A381">
        <v>380</v>
      </c>
      <c r="B381">
        <v>45</v>
      </c>
      <c r="C381" s="25" t="s">
        <v>16</v>
      </c>
      <c r="D381" s="25" t="s">
        <v>24</v>
      </c>
      <c r="E381">
        <v>120</v>
      </c>
      <c r="F381">
        <v>225</v>
      </c>
      <c r="G381" t="b">
        <v>0</v>
      </c>
      <c r="H381" s="25" t="s">
        <v>26</v>
      </c>
      <c r="I381">
        <v>140</v>
      </c>
      <c r="J381" t="b">
        <v>0</v>
      </c>
      <c r="K381" s="25" t="s">
        <v>32</v>
      </c>
      <c r="M381" s="25" t="s">
        <v>32</v>
      </c>
      <c r="N381">
        <v>0</v>
      </c>
      <c r="O381">
        <v>0</v>
      </c>
    </row>
    <row r="382" spans="1:15" x14ac:dyDescent="0.3">
      <c r="A382">
        <v>381</v>
      </c>
      <c r="B382">
        <v>45</v>
      </c>
      <c r="C382" s="25" t="s">
        <v>16</v>
      </c>
      <c r="D382" s="25" t="s">
        <v>24</v>
      </c>
      <c r="E382">
        <v>140</v>
      </c>
      <c r="F382">
        <v>224</v>
      </c>
      <c r="G382" t="b">
        <v>0</v>
      </c>
      <c r="H382" s="25" t="s">
        <v>26</v>
      </c>
      <c r="I382">
        <v>144</v>
      </c>
      <c r="J382" t="b">
        <v>0</v>
      </c>
      <c r="K382" s="25" t="s">
        <v>32</v>
      </c>
      <c r="M382" s="25" t="s">
        <v>32</v>
      </c>
      <c r="N382">
        <v>0</v>
      </c>
      <c r="O382">
        <v>0</v>
      </c>
    </row>
    <row r="383" spans="1:15" x14ac:dyDescent="0.3">
      <c r="A383">
        <v>382</v>
      </c>
      <c r="B383">
        <v>46</v>
      </c>
      <c r="C383" s="25" t="s">
        <v>29</v>
      </c>
      <c r="D383" s="25" t="s">
        <v>24</v>
      </c>
      <c r="E383">
        <v>130</v>
      </c>
      <c r="F383">
        <v>238</v>
      </c>
      <c r="G383" t="b">
        <v>0</v>
      </c>
      <c r="H383" s="25" t="s">
        <v>26</v>
      </c>
      <c r="I383">
        <v>90</v>
      </c>
      <c r="J383" t="b">
        <v>0</v>
      </c>
      <c r="K383" s="25" t="s">
        <v>32</v>
      </c>
      <c r="M383" s="25" t="s">
        <v>32</v>
      </c>
      <c r="N383">
        <v>0</v>
      </c>
      <c r="O383">
        <v>0</v>
      </c>
    </row>
    <row r="384" spans="1:15" x14ac:dyDescent="0.3">
      <c r="A384">
        <v>383</v>
      </c>
      <c r="B384">
        <v>46</v>
      </c>
      <c r="C384" s="25" t="s">
        <v>16</v>
      </c>
      <c r="D384" s="25" t="s">
        <v>30</v>
      </c>
      <c r="E384">
        <v>140</v>
      </c>
      <c r="F384">
        <v>275</v>
      </c>
      <c r="G384" t="b">
        <v>0</v>
      </c>
      <c r="H384" s="25" t="s">
        <v>26</v>
      </c>
      <c r="I384">
        <v>165</v>
      </c>
      <c r="J384" t="b">
        <v>1</v>
      </c>
      <c r="K384" s="25" t="s">
        <v>32</v>
      </c>
      <c r="M384" s="25" t="s">
        <v>32</v>
      </c>
      <c r="N384">
        <v>0</v>
      </c>
      <c r="O384">
        <v>0</v>
      </c>
    </row>
    <row r="385" spans="1:15" x14ac:dyDescent="0.3">
      <c r="A385">
        <v>384</v>
      </c>
      <c r="B385">
        <v>46</v>
      </c>
      <c r="C385" s="25" t="s">
        <v>16</v>
      </c>
      <c r="D385" s="25" t="s">
        <v>28</v>
      </c>
      <c r="E385">
        <v>120</v>
      </c>
      <c r="F385">
        <v>230</v>
      </c>
      <c r="G385" t="b">
        <v>0</v>
      </c>
      <c r="H385" s="25" t="s">
        <v>26</v>
      </c>
      <c r="I385">
        <v>150</v>
      </c>
      <c r="J385" t="b">
        <v>0</v>
      </c>
      <c r="K385" s="25" t="s">
        <v>32</v>
      </c>
      <c r="M385" s="25" t="s">
        <v>32</v>
      </c>
      <c r="N385">
        <v>0</v>
      </c>
      <c r="O385">
        <v>0</v>
      </c>
    </row>
    <row r="386" spans="1:15" x14ac:dyDescent="0.3">
      <c r="A386">
        <v>385</v>
      </c>
      <c r="B386">
        <v>46</v>
      </c>
      <c r="C386" s="25" t="s">
        <v>16</v>
      </c>
      <c r="D386" s="25" t="s">
        <v>28</v>
      </c>
      <c r="E386">
        <v>150</v>
      </c>
      <c r="F386">
        <v>163</v>
      </c>
      <c r="H386" s="25" t="s">
        <v>26</v>
      </c>
      <c r="I386">
        <v>116</v>
      </c>
      <c r="J386" t="b">
        <v>0</v>
      </c>
      <c r="K386" s="25" t="s">
        <v>32</v>
      </c>
      <c r="M386" s="25" t="s">
        <v>32</v>
      </c>
      <c r="N386">
        <v>0</v>
      </c>
      <c r="O386">
        <v>0</v>
      </c>
    </row>
    <row r="387" spans="1:15" x14ac:dyDescent="0.3">
      <c r="A387">
        <v>386</v>
      </c>
      <c r="B387">
        <v>46</v>
      </c>
      <c r="C387" s="25" t="s">
        <v>16</v>
      </c>
      <c r="D387" s="25" t="s">
        <v>24</v>
      </c>
      <c r="E387">
        <v>110</v>
      </c>
      <c r="F387">
        <v>238</v>
      </c>
      <c r="G387" t="b">
        <v>0</v>
      </c>
      <c r="H387" s="25" t="s">
        <v>33</v>
      </c>
      <c r="I387">
        <v>140</v>
      </c>
      <c r="J387" t="b">
        <v>1</v>
      </c>
      <c r="K387" s="25" t="s">
        <v>25</v>
      </c>
      <c r="M387" s="25" t="s">
        <v>26</v>
      </c>
      <c r="N387">
        <v>0</v>
      </c>
      <c r="O387">
        <v>1</v>
      </c>
    </row>
    <row r="388" spans="1:15" x14ac:dyDescent="0.3">
      <c r="A388">
        <v>387</v>
      </c>
      <c r="B388">
        <v>46</v>
      </c>
      <c r="C388" s="25" t="s">
        <v>16</v>
      </c>
      <c r="D388" s="25" t="s">
        <v>24</v>
      </c>
      <c r="E388">
        <v>110</v>
      </c>
      <c r="F388">
        <v>240</v>
      </c>
      <c r="G388" t="b">
        <v>0</v>
      </c>
      <c r="H388" s="25" t="s">
        <v>33</v>
      </c>
      <c r="I388">
        <v>140</v>
      </c>
      <c r="J388" t="b">
        <v>0</v>
      </c>
      <c r="K388" s="25" t="s">
        <v>32</v>
      </c>
      <c r="M388" s="25" t="s">
        <v>26</v>
      </c>
      <c r="N388">
        <v>0</v>
      </c>
      <c r="O388">
        <v>0</v>
      </c>
    </row>
    <row r="389" spans="1:15" x14ac:dyDescent="0.3">
      <c r="A389">
        <v>388</v>
      </c>
      <c r="B389">
        <v>46</v>
      </c>
      <c r="C389" s="25" t="s">
        <v>16</v>
      </c>
      <c r="D389" s="25" t="s">
        <v>24</v>
      </c>
      <c r="E389">
        <v>180</v>
      </c>
      <c r="F389">
        <v>280</v>
      </c>
      <c r="G389" t="b">
        <v>0</v>
      </c>
      <c r="H389" s="25" t="s">
        <v>33</v>
      </c>
      <c r="I389">
        <v>120</v>
      </c>
      <c r="J389" t="b">
        <v>0</v>
      </c>
      <c r="K389" s="25" t="s">
        <v>32</v>
      </c>
      <c r="M389" s="25" t="s">
        <v>32</v>
      </c>
      <c r="N389">
        <v>0</v>
      </c>
      <c r="O389">
        <v>0</v>
      </c>
    </row>
    <row r="390" spans="1:15" x14ac:dyDescent="0.3">
      <c r="A390">
        <v>389</v>
      </c>
      <c r="B390">
        <v>47</v>
      </c>
      <c r="C390" s="25" t="s">
        <v>29</v>
      </c>
      <c r="D390" s="25" t="s">
        <v>30</v>
      </c>
      <c r="E390">
        <v>140</v>
      </c>
      <c r="F390">
        <v>257</v>
      </c>
      <c r="G390" t="b">
        <v>0</v>
      </c>
      <c r="H390" s="25" t="s">
        <v>26</v>
      </c>
      <c r="I390">
        <v>135</v>
      </c>
      <c r="J390" t="b">
        <v>0</v>
      </c>
      <c r="K390" s="25" t="s">
        <v>31</v>
      </c>
      <c r="M390" s="25" t="s">
        <v>32</v>
      </c>
      <c r="N390">
        <v>0</v>
      </c>
      <c r="O390">
        <v>1</v>
      </c>
    </row>
    <row r="391" spans="1:15" x14ac:dyDescent="0.3">
      <c r="A391">
        <v>390</v>
      </c>
      <c r="B391">
        <v>47</v>
      </c>
      <c r="C391" s="25" t="s">
        <v>29</v>
      </c>
      <c r="D391" s="25" t="s">
        <v>28</v>
      </c>
      <c r="E391">
        <v>130</v>
      </c>
      <c r="G391" t="b">
        <v>0</v>
      </c>
      <c r="H391" s="25" t="s">
        <v>26</v>
      </c>
      <c r="I391">
        <v>145</v>
      </c>
      <c r="J391" t="b">
        <v>0</v>
      </c>
      <c r="K391" s="25" t="s">
        <v>25</v>
      </c>
      <c r="M391" s="25" t="s">
        <v>32</v>
      </c>
      <c r="N391">
        <v>0</v>
      </c>
      <c r="O391">
        <v>2</v>
      </c>
    </row>
    <row r="392" spans="1:15" x14ac:dyDescent="0.3">
      <c r="A392">
        <v>391</v>
      </c>
      <c r="B392">
        <v>47</v>
      </c>
      <c r="C392" s="25" t="s">
        <v>16</v>
      </c>
      <c r="D392" s="25" t="s">
        <v>18</v>
      </c>
      <c r="E392">
        <v>110</v>
      </c>
      <c r="F392">
        <v>249</v>
      </c>
      <c r="G392" t="b">
        <v>0</v>
      </c>
      <c r="H392" s="25" t="s">
        <v>26</v>
      </c>
      <c r="I392">
        <v>150</v>
      </c>
      <c r="J392" t="b">
        <v>0</v>
      </c>
      <c r="K392" s="25" t="s">
        <v>32</v>
      </c>
      <c r="M392" s="25" t="s">
        <v>32</v>
      </c>
      <c r="N392">
        <v>0</v>
      </c>
      <c r="O392">
        <v>0</v>
      </c>
    </row>
    <row r="393" spans="1:15" x14ac:dyDescent="0.3">
      <c r="A393">
        <v>392</v>
      </c>
      <c r="B393">
        <v>47</v>
      </c>
      <c r="C393" s="25" t="s">
        <v>16</v>
      </c>
      <c r="D393" s="25" t="s">
        <v>30</v>
      </c>
      <c r="E393">
        <v>160</v>
      </c>
      <c r="F393">
        <v>263</v>
      </c>
      <c r="G393" t="b">
        <v>0</v>
      </c>
      <c r="H393" s="25" t="s">
        <v>26</v>
      </c>
      <c r="I393">
        <v>174</v>
      </c>
      <c r="J393" t="b">
        <v>0</v>
      </c>
      <c r="K393" s="25" t="s">
        <v>32</v>
      </c>
      <c r="M393" s="25" t="s">
        <v>32</v>
      </c>
      <c r="N393">
        <v>0</v>
      </c>
      <c r="O393">
        <v>0</v>
      </c>
    </row>
    <row r="394" spans="1:15" x14ac:dyDescent="0.3">
      <c r="A394">
        <v>393</v>
      </c>
      <c r="B394">
        <v>47</v>
      </c>
      <c r="C394" s="25" t="s">
        <v>16</v>
      </c>
      <c r="D394" s="25" t="s">
        <v>24</v>
      </c>
      <c r="E394">
        <v>140</v>
      </c>
      <c r="F394">
        <v>276</v>
      </c>
      <c r="G394" t="b">
        <v>1</v>
      </c>
      <c r="H394" s="25" t="s">
        <v>26</v>
      </c>
      <c r="I394">
        <v>125</v>
      </c>
      <c r="J394" t="b">
        <v>1</v>
      </c>
      <c r="K394" s="25" t="s">
        <v>32</v>
      </c>
      <c r="M394" s="25" t="s">
        <v>32</v>
      </c>
      <c r="N394">
        <v>0</v>
      </c>
      <c r="O394">
        <v>0</v>
      </c>
    </row>
    <row r="395" spans="1:15" x14ac:dyDescent="0.3">
      <c r="A395">
        <v>394</v>
      </c>
      <c r="B395">
        <v>48</v>
      </c>
      <c r="C395" s="25" t="s">
        <v>29</v>
      </c>
      <c r="D395" s="25" t="s">
        <v>30</v>
      </c>
      <c r="F395">
        <v>308</v>
      </c>
      <c r="G395" t="b">
        <v>0</v>
      </c>
      <c r="H395" s="25" t="s">
        <v>33</v>
      </c>
      <c r="K395" s="25" t="s">
        <v>31</v>
      </c>
      <c r="M395" s="25" t="s">
        <v>32</v>
      </c>
      <c r="N395">
        <v>0</v>
      </c>
      <c r="O395">
        <v>2</v>
      </c>
    </row>
    <row r="396" spans="1:15" x14ac:dyDescent="0.3">
      <c r="A396">
        <v>395</v>
      </c>
      <c r="B396">
        <v>48</v>
      </c>
      <c r="C396" s="25" t="s">
        <v>29</v>
      </c>
      <c r="D396" s="25" t="s">
        <v>30</v>
      </c>
      <c r="E396">
        <v>120</v>
      </c>
      <c r="G396" t="b">
        <v>1</v>
      </c>
      <c r="H396" s="25" t="s">
        <v>33</v>
      </c>
      <c r="I396">
        <v>148</v>
      </c>
      <c r="J396" t="b">
        <v>0</v>
      </c>
      <c r="K396" s="25" t="s">
        <v>32</v>
      </c>
      <c r="M396" s="25" t="s">
        <v>32</v>
      </c>
      <c r="N396">
        <v>0</v>
      </c>
      <c r="O396">
        <v>0</v>
      </c>
    </row>
    <row r="397" spans="1:15" x14ac:dyDescent="0.3">
      <c r="A397">
        <v>396</v>
      </c>
      <c r="B397">
        <v>48</v>
      </c>
      <c r="C397" s="25" t="s">
        <v>29</v>
      </c>
      <c r="D397" s="25" t="s">
        <v>30</v>
      </c>
      <c r="E397">
        <v>120</v>
      </c>
      <c r="F397">
        <v>284</v>
      </c>
      <c r="G397" t="b">
        <v>0</v>
      </c>
      <c r="H397" s="25" t="s">
        <v>26</v>
      </c>
      <c r="I397">
        <v>120</v>
      </c>
      <c r="J397" t="b">
        <v>0</v>
      </c>
      <c r="K397" s="25" t="s">
        <v>32</v>
      </c>
      <c r="M397" s="25" t="s">
        <v>32</v>
      </c>
      <c r="N397">
        <v>0</v>
      </c>
      <c r="O397">
        <v>0</v>
      </c>
    </row>
    <row r="398" spans="1:15" x14ac:dyDescent="0.3">
      <c r="A398">
        <v>397</v>
      </c>
      <c r="B398">
        <v>48</v>
      </c>
      <c r="C398" s="25" t="s">
        <v>29</v>
      </c>
      <c r="D398" s="25" t="s">
        <v>28</v>
      </c>
      <c r="E398">
        <v>120</v>
      </c>
      <c r="F398">
        <v>195</v>
      </c>
      <c r="G398" t="b">
        <v>0</v>
      </c>
      <c r="H398" s="25" t="s">
        <v>26</v>
      </c>
      <c r="I398">
        <v>125</v>
      </c>
      <c r="J398" t="b">
        <v>0</v>
      </c>
      <c r="K398" s="25" t="s">
        <v>32</v>
      </c>
      <c r="M398" s="25" t="s">
        <v>32</v>
      </c>
      <c r="N398">
        <v>0</v>
      </c>
      <c r="O398">
        <v>0</v>
      </c>
    </row>
    <row r="399" spans="1:15" x14ac:dyDescent="0.3">
      <c r="A399">
        <v>398</v>
      </c>
      <c r="B399">
        <v>48</v>
      </c>
      <c r="C399" s="25" t="s">
        <v>29</v>
      </c>
      <c r="D399" s="25" t="s">
        <v>24</v>
      </c>
      <c r="E399">
        <v>108</v>
      </c>
      <c r="F399">
        <v>163</v>
      </c>
      <c r="G399" t="b">
        <v>0</v>
      </c>
      <c r="H399" s="25" t="s">
        <v>26</v>
      </c>
      <c r="I399">
        <v>175</v>
      </c>
      <c r="J399" t="b">
        <v>0</v>
      </c>
      <c r="K399" s="25" t="s">
        <v>31</v>
      </c>
      <c r="M399" s="25" t="s">
        <v>32</v>
      </c>
      <c r="N399">
        <v>0</v>
      </c>
      <c r="O399">
        <v>2</v>
      </c>
    </row>
    <row r="400" spans="1:15" x14ac:dyDescent="0.3">
      <c r="A400">
        <v>399</v>
      </c>
      <c r="B400">
        <v>48</v>
      </c>
      <c r="C400" s="25" t="s">
        <v>29</v>
      </c>
      <c r="D400" s="25" t="s">
        <v>24</v>
      </c>
      <c r="E400">
        <v>120</v>
      </c>
      <c r="F400">
        <v>254</v>
      </c>
      <c r="G400" t="b">
        <v>0</v>
      </c>
      <c r="H400" s="25" t="s">
        <v>33</v>
      </c>
      <c r="I400">
        <v>110</v>
      </c>
      <c r="J400" t="b">
        <v>0</v>
      </c>
      <c r="K400" s="25" t="s">
        <v>32</v>
      </c>
      <c r="M400" s="25" t="s">
        <v>32</v>
      </c>
      <c r="N400">
        <v>0</v>
      </c>
      <c r="O400">
        <v>0</v>
      </c>
    </row>
    <row r="401" spans="1:15" x14ac:dyDescent="0.3">
      <c r="A401">
        <v>400</v>
      </c>
      <c r="B401">
        <v>48</v>
      </c>
      <c r="C401" s="25" t="s">
        <v>29</v>
      </c>
      <c r="D401" s="25" t="s">
        <v>24</v>
      </c>
      <c r="E401">
        <v>150</v>
      </c>
      <c r="F401">
        <v>227</v>
      </c>
      <c r="G401" t="b">
        <v>0</v>
      </c>
      <c r="H401" s="25" t="s">
        <v>26</v>
      </c>
      <c r="I401">
        <v>130</v>
      </c>
      <c r="J401" t="b">
        <v>1</v>
      </c>
      <c r="K401" s="25" t="s">
        <v>25</v>
      </c>
      <c r="M401" s="25" t="s">
        <v>32</v>
      </c>
      <c r="N401">
        <v>0</v>
      </c>
      <c r="O401">
        <v>1</v>
      </c>
    </row>
    <row r="402" spans="1:15" x14ac:dyDescent="0.3">
      <c r="A402">
        <v>401</v>
      </c>
      <c r="B402">
        <v>48</v>
      </c>
      <c r="C402" s="25" t="s">
        <v>16</v>
      </c>
      <c r="D402" s="25" t="s">
        <v>30</v>
      </c>
      <c r="E402">
        <v>100</v>
      </c>
      <c r="G402" t="b">
        <v>0</v>
      </c>
      <c r="H402" s="25" t="s">
        <v>26</v>
      </c>
      <c r="I402">
        <v>100</v>
      </c>
      <c r="J402" t="b">
        <v>0</v>
      </c>
      <c r="K402" s="25" t="s">
        <v>32</v>
      </c>
      <c r="M402" s="25" t="s">
        <v>32</v>
      </c>
      <c r="N402">
        <v>0</v>
      </c>
      <c r="O402">
        <v>0</v>
      </c>
    </row>
    <row r="403" spans="1:15" x14ac:dyDescent="0.3">
      <c r="A403">
        <v>402</v>
      </c>
      <c r="B403">
        <v>48</v>
      </c>
      <c r="C403" s="25" t="s">
        <v>16</v>
      </c>
      <c r="D403" s="25" t="s">
        <v>30</v>
      </c>
      <c r="E403">
        <v>130</v>
      </c>
      <c r="F403">
        <v>245</v>
      </c>
      <c r="G403" t="b">
        <v>0</v>
      </c>
      <c r="H403" s="25" t="s">
        <v>26</v>
      </c>
      <c r="I403">
        <v>160</v>
      </c>
      <c r="J403" t="b">
        <v>0</v>
      </c>
      <c r="K403" s="25" t="s">
        <v>32</v>
      </c>
      <c r="M403" s="25" t="s">
        <v>32</v>
      </c>
      <c r="N403">
        <v>0</v>
      </c>
      <c r="O403">
        <v>0</v>
      </c>
    </row>
    <row r="404" spans="1:15" x14ac:dyDescent="0.3">
      <c r="A404">
        <v>403</v>
      </c>
      <c r="B404">
        <v>48</v>
      </c>
      <c r="C404" s="25" t="s">
        <v>16</v>
      </c>
      <c r="D404" s="25" t="s">
        <v>30</v>
      </c>
      <c r="E404">
        <v>140</v>
      </c>
      <c r="F404">
        <v>238</v>
      </c>
      <c r="G404" t="b">
        <v>0</v>
      </c>
      <c r="H404" s="25" t="s">
        <v>26</v>
      </c>
      <c r="I404">
        <v>118</v>
      </c>
      <c r="J404" t="b">
        <v>0</v>
      </c>
      <c r="K404" s="25" t="s">
        <v>32</v>
      </c>
      <c r="M404" s="25" t="s">
        <v>32</v>
      </c>
      <c r="N404">
        <v>0</v>
      </c>
      <c r="O404">
        <v>0</v>
      </c>
    </row>
    <row r="405" spans="1:15" x14ac:dyDescent="0.3">
      <c r="A405">
        <v>404</v>
      </c>
      <c r="B405">
        <v>48</v>
      </c>
      <c r="C405" s="25" t="s">
        <v>16</v>
      </c>
      <c r="D405" s="25" t="s">
        <v>28</v>
      </c>
      <c r="E405">
        <v>110</v>
      </c>
      <c r="F405">
        <v>211</v>
      </c>
      <c r="G405" t="b">
        <v>0</v>
      </c>
      <c r="H405" s="25" t="s">
        <v>26</v>
      </c>
      <c r="I405">
        <v>138</v>
      </c>
      <c r="J405" t="b">
        <v>0</v>
      </c>
      <c r="K405" s="25" t="s">
        <v>32</v>
      </c>
      <c r="M405" s="25" t="s">
        <v>23</v>
      </c>
      <c r="N405">
        <v>0</v>
      </c>
      <c r="O405">
        <v>0</v>
      </c>
    </row>
    <row r="406" spans="1:15" x14ac:dyDescent="0.3">
      <c r="A406">
        <v>405</v>
      </c>
      <c r="B406">
        <v>49</v>
      </c>
      <c r="C406" s="25" t="s">
        <v>29</v>
      </c>
      <c r="D406" s="25" t="s">
        <v>30</v>
      </c>
      <c r="E406">
        <v>110</v>
      </c>
      <c r="G406" t="b">
        <v>0</v>
      </c>
      <c r="H406" s="25" t="s">
        <v>26</v>
      </c>
      <c r="I406">
        <v>160</v>
      </c>
      <c r="J406" t="b">
        <v>0</v>
      </c>
      <c r="K406" s="25" t="s">
        <v>32</v>
      </c>
      <c r="M406" s="25" t="s">
        <v>32</v>
      </c>
      <c r="N406">
        <v>0</v>
      </c>
      <c r="O406">
        <v>0</v>
      </c>
    </row>
    <row r="407" spans="1:15" x14ac:dyDescent="0.3">
      <c r="A407">
        <v>406</v>
      </c>
      <c r="B407">
        <v>49</v>
      </c>
      <c r="C407" s="25" t="s">
        <v>29</v>
      </c>
      <c r="D407" s="25" t="s">
        <v>30</v>
      </c>
      <c r="E407">
        <v>110</v>
      </c>
      <c r="G407" t="b">
        <v>0</v>
      </c>
      <c r="H407" s="25" t="s">
        <v>26</v>
      </c>
      <c r="I407">
        <v>160</v>
      </c>
      <c r="J407" t="b">
        <v>0</v>
      </c>
      <c r="K407" s="25" t="s">
        <v>32</v>
      </c>
      <c r="M407" s="25" t="s">
        <v>32</v>
      </c>
      <c r="N407">
        <v>0</v>
      </c>
      <c r="O407">
        <v>0</v>
      </c>
    </row>
    <row r="408" spans="1:15" x14ac:dyDescent="0.3">
      <c r="A408">
        <v>407</v>
      </c>
      <c r="B408">
        <v>49</v>
      </c>
      <c r="C408" s="25" t="s">
        <v>29</v>
      </c>
      <c r="D408" s="25" t="s">
        <v>30</v>
      </c>
      <c r="E408">
        <v>124</v>
      </c>
      <c r="F408">
        <v>201</v>
      </c>
      <c r="G408" t="b">
        <v>0</v>
      </c>
      <c r="H408" s="25" t="s">
        <v>26</v>
      </c>
      <c r="I408">
        <v>164</v>
      </c>
      <c r="J408" t="b">
        <v>0</v>
      </c>
      <c r="K408" s="25" t="s">
        <v>32</v>
      </c>
      <c r="M408" s="25" t="s">
        <v>32</v>
      </c>
      <c r="N408">
        <v>0</v>
      </c>
      <c r="O408">
        <v>0</v>
      </c>
    </row>
    <row r="409" spans="1:15" x14ac:dyDescent="0.3">
      <c r="A409">
        <v>408</v>
      </c>
      <c r="B409">
        <v>49</v>
      </c>
      <c r="C409" s="25" t="s">
        <v>29</v>
      </c>
      <c r="D409" s="25" t="s">
        <v>28</v>
      </c>
      <c r="E409">
        <v>130</v>
      </c>
      <c r="F409">
        <v>207</v>
      </c>
      <c r="G409" t="b">
        <v>0</v>
      </c>
      <c r="H409" s="25" t="s">
        <v>33</v>
      </c>
      <c r="I409">
        <v>135</v>
      </c>
      <c r="J409" t="b">
        <v>0</v>
      </c>
      <c r="K409" s="25" t="s">
        <v>32</v>
      </c>
      <c r="M409" s="25" t="s">
        <v>32</v>
      </c>
      <c r="N409">
        <v>0</v>
      </c>
      <c r="O409">
        <v>0</v>
      </c>
    </row>
    <row r="410" spans="1:15" x14ac:dyDescent="0.3">
      <c r="A410">
        <v>409</v>
      </c>
      <c r="B410">
        <v>49</v>
      </c>
      <c r="C410" s="25" t="s">
        <v>16</v>
      </c>
      <c r="D410" s="25" t="s">
        <v>30</v>
      </c>
      <c r="E410">
        <v>100</v>
      </c>
      <c r="F410">
        <v>253</v>
      </c>
      <c r="G410" t="b">
        <v>0</v>
      </c>
      <c r="H410" s="25" t="s">
        <v>26</v>
      </c>
      <c r="I410">
        <v>174</v>
      </c>
      <c r="J410" t="b">
        <v>0</v>
      </c>
      <c r="K410" s="25" t="s">
        <v>32</v>
      </c>
      <c r="M410" s="25" t="s">
        <v>32</v>
      </c>
      <c r="N410">
        <v>0</v>
      </c>
      <c r="O410">
        <v>0</v>
      </c>
    </row>
    <row r="411" spans="1:15" x14ac:dyDescent="0.3">
      <c r="A411">
        <v>410</v>
      </c>
      <c r="B411">
        <v>49</v>
      </c>
      <c r="C411" s="25" t="s">
        <v>16</v>
      </c>
      <c r="D411" s="25" t="s">
        <v>28</v>
      </c>
      <c r="E411">
        <v>140</v>
      </c>
      <c r="F411">
        <v>187</v>
      </c>
      <c r="G411" t="b">
        <v>0</v>
      </c>
      <c r="H411" s="25" t="s">
        <v>26</v>
      </c>
      <c r="I411">
        <v>172</v>
      </c>
      <c r="J411" t="b">
        <v>0</v>
      </c>
      <c r="K411" s="25" t="s">
        <v>32</v>
      </c>
      <c r="M411" s="25" t="s">
        <v>32</v>
      </c>
      <c r="N411">
        <v>0</v>
      </c>
      <c r="O411">
        <v>0</v>
      </c>
    </row>
    <row r="412" spans="1:15" x14ac:dyDescent="0.3">
      <c r="A412">
        <v>411</v>
      </c>
      <c r="B412">
        <v>49</v>
      </c>
      <c r="C412" s="25" t="s">
        <v>16</v>
      </c>
      <c r="D412" s="25" t="s">
        <v>24</v>
      </c>
      <c r="E412">
        <v>120</v>
      </c>
      <c r="F412">
        <v>297</v>
      </c>
      <c r="H412" s="25" t="s">
        <v>26</v>
      </c>
      <c r="I412">
        <v>132</v>
      </c>
      <c r="J412" t="b">
        <v>0</v>
      </c>
      <c r="K412" s="25" t="s">
        <v>25</v>
      </c>
      <c r="M412" s="25" t="s">
        <v>32</v>
      </c>
      <c r="N412">
        <v>0</v>
      </c>
      <c r="O412">
        <v>1</v>
      </c>
    </row>
    <row r="413" spans="1:15" x14ac:dyDescent="0.3">
      <c r="A413">
        <v>412</v>
      </c>
      <c r="B413">
        <v>49</v>
      </c>
      <c r="C413" s="25" t="s">
        <v>16</v>
      </c>
      <c r="D413" s="25" t="s">
        <v>24</v>
      </c>
      <c r="E413">
        <v>140</v>
      </c>
      <c r="G413" t="b">
        <v>0</v>
      </c>
      <c r="H413" s="25" t="s">
        <v>26</v>
      </c>
      <c r="I413">
        <v>130</v>
      </c>
      <c r="J413" t="b">
        <v>0</v>
      </c>
      <c r="K413" s="25" t="s">
        <v>32</v>
      </c>
      <c r="M413" s="25" t="s">
        <v>32</v>
      </c>
      <c r="N413">
        <v>0</v>
      </c>
      <c r="O413">
        <v>0</v>
      </c>
    </row>
    <row r="414" spans="1:15" x14ac:dyDescent="0.3">
      <c r="A414">
        <v>413</v>
      </c>
      <c r="B414">
        <v>50</v>
      </c>
      <c r="C414" s="25" t="s">
        <v>29</v>
      </c>
      <c r="D414" s="25" t="s">
        <v>30</v>
      </c>
      <c r="E414">
        <v>110</v>
      </c>
      <c r="F414">
        <v>202</v>
      </c>
      <c r="G414" t="b">
        <v>0</v>
      </c>
      <c r="H414" s="25" t="s">
        <v>26</v>
      </c>
      <c r="I414">
        <v>145</v>
      </c>
      <c r="J414" t="b">
        <v>0</v>
      </c>
      <c r="K414" s="25" t="s">
        <v>32</v>
      </c>
      <c r="M414" s="25" t="s">
        <v>32</v>
      </c>
      <c r="N414">
        <v>0</v>
      </c>
      <c r="O414">
        <v>0</v>
      </c>
    </row>
    <row r="415" spans="1:15" x14ac:dyDescent="0.3">
      <c r="A415">
        <v>414</v>
      </c>
      <c r="B415">
        <v>50</v>
      </c>
      <c r="C415" s="25" t="s">
        <v>29</v>
      </c>
      <c r="D415" s="25" t="s">
        <v>24</v>
      </c>
      <c r="E415">
        <v>120</v>
      </c>
      <c r="F415">
        <v>328</v>
      </c>
      <c r="G415" t="b">
        <v>0</v>
      </c>
      <c r="H415" s="25" t="s">
        <v>26</v>
      </c>
      <c r="I415">
        <v>110</v>
      </c>
      <c r="J415" t="b">
        <v>1</v>
      </c>
      <c r="K415" s="25" t="s">
        <v>25</v>
      </c>
      <c r="M415" s="25" t="s">
        <v>32</v>
      </c>
      <c r="N415">
        <v>0</v>
      </c>
      <c r="O415">
        <v>1</v>
      </c>
    </row>
    <row r="416" spans="1:15" x14ac:dyDescent="0.3">
      <c r="A416">
        <v>415</v>
      </c>
      <c r="B416">
        <v>50</v>
      </c>
      <c r="C416" s="25" t="s">
        <v>16</v>
      </c>
      <c r="D416" s="25" t="s">
        <v>30</v>
      </c>
      <c r="E416">
        <v>120</v>
      </c>
      <c r="F416">
        <v>168</v>
      </c>
      <c r="G416" t="b">
        <v>0</v>
      </c>
      <c r="H416" s="25" t="s">
        <v>26</v>
      </c>
      <c r="I416">
        <v>160</v>
      </c>
      <c r="J416" t="b">
        <v>0</v>
      </c>
      <c r="K416" s="25" t="s">
        <v>32</v>
      </c>
      <c r="L416">
        <v>0</v>
      </c>
      <c r="M416" s="25" t="s">
        <v>32</v>
      </c>
      <c r="N416">
        <v>0</v>
      </c>
      <c r="O416">
        <v>0</v>
      </c>
    </row>
    <row r="417" spans="1:15" x14ac:dyDescent="0.3">
      <c r="A417">
        <v>416</v>
      </c>
      <c r="B417">
        <v>50</v>
      </c>
      <c r="C417" s="25" t="s">
        <v>16</v>
      </c>
      <c r="D417" s="25" t="s">
        <v>30</v>
      </c>
      <c r="E417">
        <v>140</v>
      </c>
      <c r="F417">
        <v>216</v>
      </c>
      <c r="G417" t="b">
        <v>0</v>
      </c>
      <c r="H417" s="25" t="s">
        <v>26</v>
      </c>
      <c r="I417">
        <v>170</v>
      </c>
      <c r="J417" t="b">
        <v>0</v>
      </c>
      <c r="K417" s="25" t="s">
        <v>32</v>
      </c>
      <c r="M417" s="25" t="s">
        <v>26</v>
      </c>
      <c r="N417">
        <v>0</v>
      </c>
      <c r="O417">
        <v>0</v>
      </c>
    </row>
    <row r="418" spans="1:15" x14ac:dyDescent="0.3">
      <c r="A418">
        <v>417</v>
      </c>
      <c r="B418">
        <v>50</v>
      </c>
      <c r="C418" s="25" t="s">
        <v>16</v>
      </c>
      <c r="D418" s="25" t="s">
        <v>30</v>
      </c>
      <c r="E418">
        <v>170</v>
      </c>
      <c r="F418">
        <v>209</v>
      </c>
      <c r="G418" t="b">
        <v>0</v>
      </c>
      <c r="H418" s="25" t="s">
        <v>33</v>
      </c>
      <c r="I418">
        <v>116</v>
      </c>
      <c r="J418" t="b">
        <v>0</v>
      </c>
      <c r="K418" s="25" t="s">
        <v>32</v>
      </c>
      <c r="M418" s="25" t="s">
        <v>32</v>
      </c>
      <c r="N418">
        <v>0</v>
      </c>
      <c r="O418">
        <v>0</v>
      </c>
    </row>
    <row r="419" spans="1:15" x14ac:dyDescent="0.3">
      <c r="A419">
        <v>418</v>
      </c>
      <c r="B419">
        <v>50</v>
      </c>
      <c r="C419" s="25" t="s">
        <v>16</v>
      </c>
      <c r="D419" s="25" t="s">
        <v>24</v>
      </c>
      <c r="E419">
        <v>140</v>
      </c>
      <c r="F419">
        <v>129</v>
      </c>
      <c r="G419" t="b">
        <v>0</v>
      </c>
      <c r="H419" s="25" t="s">
        <v>26</v>
      </c>
      <c r="I419">
        <v>135</v>
      </c>
      <c r="J419" t="b">
        <v>0</v>
      </c>
      <c r="K419" s="25" t="s">
        <v>32</v>
      </c>
      <c r="M419" s="25" t="s">
        <v>32</v>
      </c>
      <c r="N419">
        <v>0</v>
      </c>
      <c r="O419">
        <v>0</v>
      </c>
    </row>
    <row r="420" spans="1:15" x14ac:dyDescent="0.3">
      <c r="A420">
        <v>419</v>
      </c>
      <c r="B420">
        <v>50</v>
      </c>
      <c r="C420" s="25" t="s">
        <v>16</v>
      </c>
      <c r="D420" s="25" t="s">
        <v>24</v>
      </c>
      <c r="E420">
        <v>150</v>
      </c>
      <c r="F420">
        <v>215</v>
      </c>
      <c r="G420" t="b">
        <v>0</v>
      </c>
      <c r="H420" s="25" t="s">
        <v>26</v>
      </c>
      <c r="I420">
        <v>140</v>
      </c>
      <c r="J420" t="b">
        <v>1</v>
      </c>
      <c r="K420" s="25" t="s">
        <v>32</v>
      </c>
      <c r="M420" s="25" t="s">
        <v>32</v>
      </c>
      <c r="N420">
        <v>0</v>
      </c>
      <c r="O420">
        <v>0</v>
      </c>
    </row>
    <row r="421" spans="1:15" x14ac:dyDescent="0.3">
      <c r="A421">
        <v>420</v>
      </c>
      <c r="B421">
        <v>51</v>
      </c>
      <c r="C421" s="25" t="s">
        <v>29</v>
      </c>
      <c r="D421" s="25" t="s">
        <v>30</v>
      </c>
      <c r="E421">
        <v>160</v>
      </c>
      <c r="F421">
        <v>194</v>
      </c>
      <c r="G421" t="b">
        <v>0</v>
      </c>
      <c r="H421" s="25" t="s">
        <v>26</v>
      </c>
      <c r="I421">
        <v>170</v>
      </c>
      <c r="J421" t="b">
        <v>0</v>
      </c>
      <c r="K421" s="25" t="s">
        <v>32</v>
      </c>
      <c r="M421" s="25" t="s">
        <v>32</v>
      </c>
      <c r="N421">
        <v>0</v>
      </c>
      <c r="O421">
        <v>0</v>
      </c>
    </row>
    <row r="422" spans="1:15" x14ac:dyDescent="0.3">
      <c r="A422">
        <v>421</v>
      </c>
      <c r="B422">
        <v>51</v>
      </c>
      <c r="C422" s="25" t="s">
        <v>29</v>
      </c>
      <c r="D422" s="25" t="s">
        <v>28</v>
      </c>
      <c r="E422">
        <v>110</v>
      </c>
      <c r="F422">
        <v>190</v>
      </c>
      <c r="G422" t="b">
        <v>0</v>
      </c>
      <c r="H422" s="25" t="s">
        <v>26</v>
      </c>
      <c r="I422">
        <v>120</v>
      </c>
      <c r="J422" t="b">
        <v>0</v>
      </c>
      <c r="K422" s="25" t="s">
        <v>32</v>
      </c>
      <c r="M422" s="25" t="s">
        <v>32</v>
      </c>
      <c r="N422">
        <v>0</v>
      </c>
      <c r="O422">
        <v>0</v>
      </c>
    </row>
    <row r="423" spans="1:15" x14ac:dyDescent="0.3">
      <c r="A423">
        <v>422</v>
      </c>
      <c r="B423">
        <v>51</v>
      </c>
      <c r="C423" s="25" t="s">
        <v>29</v>
      </c>
      <c r="D423" s="25" t="s">
        <v>28</v>
      </c>
      <c r="E423">
        <v>130</v>
      </c>
      <c r="F423">
        <v>220</v>
      </c>
      <c r="G423" t="b">
        <v>0</v>
      </c>
      <c r="H423" s="25" t="s">
        <v>26</v>
      </c>
      <c r="I423">
        <v>160</v>
      </c>
      <c r="J423" t="b">
        <v>1</v>
      </c>
      <c r="K423" s="25" t="s">
        <v>31</v>
      </c>
      <c r="M423" s="25" t="s">
        <v>32</v>
      </c>
      <c r="N423">
        <v>0</v>
      </c>
      <c r="O423">
        <v>2</v>
      </c>
    </row>
    <row r="424" spans="1:15" x14ac:dyDescent="0.3">
      <c r="A424">
        <v>423</v>
      </c>
      <c r="B424">
        <v>51</v>
      </c>
      <c r="C424" s="25" t="s">
        <v>29</v>
      </c>
      <c r="D424" s="25" t="s">
        <v>28</v>
      </c>
      <c r="E424">
        <v>150</v>
      </c>
      <c r="F424">
        <v>200</v>
      </c>
      <c r="G424" t="b">
        <v>0</v>
      </c>
      <c r="H424" s="25" t="s">
        <v>26</v>
      </c>
      <c r="I424">
        <v>120</v>
      </c>
      <c r="J424" t="b">
        <v>0</v>
      </c>
      <c r="K424" s="25" t="s">
        <v>31</v>
      </c>
      <c r="M424" s="25" t="s">
        <v>32</v>
      </c>
      <c r="N424">
        <v>0</v>
      </c>
      <c r="O424">
        <v>0.5</v>
      </c>
    </row>
    <row r="425" spans="1:15" x14ac:dyDescent="0.3">
      <c r="A425">
        <v>424</v>
      </c>
      <c r="B425">
        <v>51</v>
      </c>
      <c r="C425" s="25" t="s">
        <v>16</v>
      </c>
      <c r="D425" s="25" t="s">
        <v>30</v>
      </c>
      <c r="E425">
        <v>125</v>
      </c>
      <c r="F425">
        <v>188</v>
      </c>
      <c r="G425" t="b">
        <v>0</v>
      </c>
      <c r="H425" s="25" t="s">
        <v>26</v>
      </c>
      <c r="I425">
        <v>145</v>
      </c>
      <c r="J425" t="b">
        <v>0</v>
      </c>
      <c r="K425" s="25" t="s">
        <v>32</v>
      </c>
      <c r="M425" s="25" t="s">
        <v>32</v>
      </c>
      <c r="N425">
        <v>0</v>
      </c>
      <c r="O425">
        <v>0</v>
      </c>
    </row>
    <row r="426" spans="1:15" x14ac:dyDescent="0.3">
      <c r="A426">
        <v>425</v>
      </c>
      <c r="B426">
        <v>51</v>
      </c>
      <c r="C426" s="25" t="s">
        <v>16</v>
      </c>
      <c r="D426" s="25" t="s">
        <v>30</v>
      </c>
      <c r="E426">
        <v>130</v>
      </c>
      <c r="F426">
        <v>224</v>
      </c>
      <c r="G426" t="b">
        <v>0</v>
      </c>
      <c r="H426" s="25" t="s">
        <v>26</v>
      </c>
      <c r="I426">
        <v>150</v>
      </c>
      <c r="J426" t="b">
        <v>0</v>
      </c>
      <c r="K426" s="25" t="s">
        <v>32</v>
      </c>
      <c r="M426" s="25" t="s">
        <v>32</v>
      </c>
      <c r="N426">
        <v>0</v>
      </c>
      <c r="O426">
        <v>0</v>
      </c>
    </row>
    <row r="427" spans="1:15" x14ac:dyDescent="0.3">
      <c r="A427">
        <v>426</v>
      </c>
      <c r="B427">
        <v>51</v>
      </c>
      <c r="C427" s="25" t="s">
        <v>16</v>
      </c>
      <c r="D427" s="25" t="s">
        <v>24</v>
      </c>
      <c r="E427">
        <v>130</v>
      </c>
      <c r="F427">
        <v>179</v>
      </c>
      <c r="G427" t="b">
        <v>0</v>
      </c>
      <c r="H427" s="25" t="s">
        <v>26</v>
      </c>
      <c r="I427">
        <v>100</v>
      </c>
      <c r="J427" t="b">
        <v>0</v>
      </c>
      <c r="K427" s="25" t="s">
        <v>32</v>
      </c>
      <c r="M427" s="25" t="s">
        <v>27</v>
      </c>
      <c r="N427">
        <v>0</v>
      </c>
      <c r="O427">
        <v>0</v>
      </c>
    </row>
    <row r="428" spans="1:15" x14ac:dyDescent="0.3">
      <c r="A428">
        <v>427</v>
      </c>
      <c r="B428">
        <v>52</v>
      </c>
      <c r="C428" s="25" t="s">
        <v>29</v>
      </c>
      <c r="D428" s="25" t="s">
        <v>30</v>
      </c>
      <c r="E428">
        <v>120</v>
      </c>
      <c r="F428">
        <v>210</v>
      </c>
      <c r="G428" t="b">
        <v>0</v>
      </c>
      <c r="H428" s="25" t="s">
        <v>26</v>
      </c>
      <c r="I428">
        <v>148</v>
      </c>
      <c r="J428" t="b">
        <v>0</v>
      </c>
      <c r="K428" s="25" t="s">
        <v>32</v>
      </c>
      <c r="M428" s="25" t="s">
        <v>32</v>
      </c>
      <c r="N428">
        <v>0</v>
      </c>
      <c r="O428">
        <v>0</v>
      </c>
    </row>
    <row r="429" spans="1:15" x14ac:dyDescent="0.3">
      <c r="A429">
        <v>428</v>
      </c>
      <c r="B429">
        <v>52</v>
      </c>
      <c r="C429" s="25" t="s">
        <v>29</v>
      </c>
      <c r="D429" s="25" t="s">
        <v>30</v>
      </c>
      <c r="E429">
        <v>140</v>
      </c>
      <c r="G429" t="b">
        <v>0</v>
      </c>
      <c r="H429" s="25" t="s">
        <v>26</v>
      </c>
      <c r="I429">
        <v>140</v>
      </c>
      <c r="J429" t="b">
        <v>0</v>
      </c>
      <c r="K429" s="25" t="s">
        <v>32</v>
      </c>
      <c r="M429" s="25" t="s">
        <v>32</v>
      </c>
      <c r="N429">
        <v>0</v>
      </c>
      <c r="O429">
        <v>0</v>
      </c>
    </row>
    <row r="430" spans="1:15" x14ac:dyDescent="0.3">
      <c r="A430">
        <v>429</v>
      </c>
      <c r="B430">
        <v>52</v>
      </c>
      <c r="C430" s="25" t="s">
        <v>29</v>
      </c>
      <c r="D430" s="25" t="s">
        <v>28</v>
      </c>
      <c r="E430">
        <v>125</v>
      </c>
      <c r="F430">
        <v>272</v>
      </c>
      <c r="G430" t="b">
        <v>0</v>
      </c>
      <c r="H430" s="25" t="s">
        <v>26</v>
      </c>
      <c r="I430">
        <v>139</v>
      </c>
      <c r="J430" t="b">
        <v>0</v>
      </c>
      <c r="K430" s="25" t="s">
        <v>32</v>
      </c>
      <c r="M430" s="25" t="s">
        <v>32</v>
      </c>
      <c r="N430">
        <v>0</v>
      </c>
      <c r="O430">
        <v>0</v>
      </c>
    </row>
    <row r="431" spans="1:15" x14ac:dyDescent="0.3">
      <c r="A431">
        <v>430</v>
      </c>
      <c r="B431">
        <v>52</v>
      </c>
      <c r="C431" s="25" t="s">
        <v>29</v>
      </c>
      <c r="D431" s="25" t="s">
        <v>24</v>
      </c>
      <c r="E431">
        <v>130</v>
      </c>
      <c r="F431">
        <v>180</v>
      </c>
      <c r="G431" t="b">
        <v>0</v>
      </c>
      <c r="H431" s="25" t="s">
        <v>26</v>
      </c>
      <c r="I431">
        <v>140</v>
      </c>
      <c r="J431" t="b">
        <v>1</v>
      </c>
      <c r="K431" s="25" t="s">
        <v>25</v>
      </c>
      <c r="M431" s="25" t="s">
        <v>32</v>
      </c>
      <c r="N431">
        <v>0</v>
      </c>
      <c r="O431">
        <v>0.5</v>
      </c>
    </row>
    <row r="432" spans="1:15" x14ac:dyDescent="0.3">
      <c r="A432">
        <v>431</v>
      </c>
      <c r="B432">
        <v>52</v>
      </c>
      <c r="C432" s="25" t="s">
        <v>16</v>
      </c>
      <c r="D432" s="25" t="s">
        <v>30</v>
      </c>
      <c r="E432">
        <v>120</v>
      </c>
      <c r="F432">
        <v>284</v>
      </c>
      <c r="G432" t="b">
        <v>0</v>
      </c>
      <c r="H432" s="25" t="s">
        <v>26</v>
      </c>
      <c r="I432">
        <v>118</v>
      </c>
      <c r="J432" t="b">
        <v>0</v>
      </c>
      <c r="K432" s="25" t="s">
        <v>32</v>
      </c>
      <c r="M432" s="25" t="s">
        <v>32</v>
      </c>
      <c r="N432">
        <v>0</v>
      </c>
      <c r="O432">
        <v>0</v>
      </c>
    </row>
    <row r="433" spans="1:15" x14ac:dyDescent="0.3">
      <c r="A433">
        <v>432</v>
      </c>
      <c r="B433">
        <v>52</v>
      </c>
      <c r="C433" s="25" t="s">
        <v>16</v>
      </c>
      <c r="D433" s="25" t="s">
        <v>30</v>
      </c>
      <c r="E433">
        <v>140</v>
      </c>
      <c r="F433">
        <v>100</v>
      </c>
      <c r="G433" t="b">
        <v>0</v>
      </c>
      <c r="H433" s="25" t="s">
        <v>26</v>
      </c>
      <c r="I433">
        <v>138</v>
      </c>
      <c r="J433" t="b">
        <v>1</v>
      </c>
      <c r="K433" s="25" t="s">
        <v>32</v>
      </c>
      <c r="M433" s="25" t="s">
        <v>32</v>
      </c>
      <c r="N433">
        <v>0</v>
      </c>
      <c r="O433">
        <v>0</v>
      </c>
    </row>
    <row r="434" spans="1:15" x14ac:dyDescent="0.3">
      <c r="A434">
        <v>433</v>
      </c>
      <c r="B434">
        <v>52</v>
      </c>
      <c r="C434" s="25" t="s">
        <v>16</v>
      </c>
      <c r="D434" s="25" t="s">
        <v>30</v>
      </c>
      <c r="E434">
        <v>160</v>
      </c>
      <c r="F434">
        <v>196</v>
      </c>
      <c r="G434" t="b">
        <v>0</v>
      </c>
      <c r="H434" s="25" t="s">
        <v>26</v>
      </c>
      <c r="I434">
        <v>165</v>
      </c>
      <c r="J434" t="b">
        <v>0</v>
      </c>
      <c r="K434" s="25" t="s">
        <v>32</v>
      </c>
      <c r="M434" s="25" t="s">
        <v>32</v>
      </c>
      <c r="N434">
        <v>0</v>
      </c>
      <c r="O434">
        <v>0</v>
      </c>
    </row>
    <row r="435" spans="1:15" x14ac:dyDescent="0.3">
      <c r="A435">
        <v>434</v>
      </c>
      <c r="B435">
        <v>52</v>
      </c>
      <c r="C435" s="25" t="s">
        <v>16</v>
      </c>
      <c r="D435" s="25" t="s">
        <v>28</v>
      </c>
      <c r="E435">
        <v>140</v>
      </c>
      <c r="F435">
        <v>259</v>
      </c>
      <c r="G435" t="b">
        <v>0</v>
      </c>
      <c r="H435" s="25" t="s">
        <v>33</v>
      </c>
      <c r="I435">
        <v>170</v>
      </c>
      <c r="J435" t="b">
        <v>0</v>
      </c>
      <c r="K435" s="25" t="s">
        <v>32</v>
      </c>
      <c r="M435" s="25" t="s">
        <v>32</v>
      </c>
      <c r="N435">
        <v>0</v>
      </c>
      <c r="O435">
        <v>0</v>
      </c>
    </row>
    <row r="436" spans="1:15" x14ac:dyDescent="0.3">
      <c r="A436">
        <v>435</v>
      </c>
      <c r="B436">
        <v>53</v>
      </c>
      <c r="C436" s="25" t="s">
        <v>29</v>
      </c>
      <c r="D436" s="25" t="s">
        <v>30</v>
      </c>
      <c r="E436">
        <v>113</v>
      </c>
      <c r="F436">
        <v>468</v>
      </c>
      <c r="H436" s="25" t="s">
        <v>26</v>
      </c>
      <c r="I436">
        <v>127</v>
      </c>
      <c r="J436" t="b">
        <v>0</v>
      </c>
      <c r="K436" s="25" t="s">
        <v>32</v>
      </c>
      <c r="M436" s="25" t="s">
        <v>32</v>
      </c>
      <c r="N436">
        <v>0</v>
      </c>
      <c r="O436">
        <v>0</v>
      </c>
    </row>
    <row r="437" spans="1:15" x14ac:dyDescent="0.3">
      <c r="A437">
        <v>436</v>
      </c>
      <c r="B437">
        <v>53</v>
      </c>
      <c r="C437" s="25" t="s">
        <v>29</v>
      </c>
      <c r="D437" s="25" t="s">
        <v>30</v>
      </c>
      <c r="E437">
        <v>140</v>
      </c>
      <c r="F437">
        <v>216</v>
      </c>
      <c r="G437" t="b">
        <v>0</v>
      </c>
      <c r="H437" s="25" t="s">
        <v>26</v>
      </c>
      <c r="I437">
        <v>142</v>
      </c>
      <c r="J437" t="b">
        <v>1</v>
      </c>
      <c r="K437" s="25" t="s">
        <v>25</v>
      </c>
      <c r="M437" s="25" t="s">
        <v>32</v>
      </c>
      <c r="N437">
        <v>0</v>
      </c>
      <c r="O437">
        <v>2</v>
      </c>
    </row>
    <row r="438" spans="1:15" x14ac:dyDescent="0.3">
      <c r="A438">
        <v>437</v>
      </c>
      <c r="B438">
        <v>53</v>
      </c>
      <c r="C438" s="25" t="s">
        <v>29</v>
      </c>
      <c r="D438" s="25" t="s">
        <v>28</v>
      </c>
      <c r="E438">
        <v>120</v>
      </c>
      <c r="F438">
        <v>274</v>
      </c>
      <c r="G438" t="b">
        <v>0</v>
      </c>
      <c r="H438" s="25" t="s">
        <v>26</v>
      </c>
      <c r="I438">
        <v>130</v>
      </c>
      <c r="J438" t="b">
        <v>0</v>
      </c>
      <c r="K438" s="25" t="s">
        <v>32</v>
      </c>
      <c r="M438" s="25" t="s">
        <v>32</v>
      </c>
      <c r="N438">
        <v>0</v>
      </c>
      <c r="O438">
        <v>0</v>
      </c>
    </row>
    <row r="439" spans="1:15" x14ac:dyDescent="0.3">
      <c r="A439">
        <v>438</v>
      </c>
      <c r="B439">
        <v>53</v>
      </c>
      <c r="C439" s="25" t="s">
        <v>16</v>
      </c>
      <c r="D439" s="25" t="s">
        <v>30</v>
      </c>
      <c r="E439">
        <v>120</v>
      </c>
      <c r="G439" t="b">
        <v>0</v>
      </c>
      <c r="H439" s="25" t="s">
        <v>26</v>
      </c>
      <c r="I439">
        <v>132</v>
      </c>
      <c r="J439" t="b">
        <v>0</v>
      </c>
      <c r="K439" s="25" t="s">
        <v>32</v>
      </c>
      <c r="M439" s="25" t="s">
        <v>32</v>
      </c>
      <c r="N439">
        <v>0</v>
      </c>
      <c r="O439">
        <v>0</v>
      </c>
    </row>
    <row r="440" spans="1:15" x14ac:dyDescent="0.3">
      <c r="A440">
        <v>439</v>
      </c>
      <c r="B440">
        <v>53</v>
      </c>
      <c r="C440" s="25" t="s">
        <v>16</v>
      </c>
      <c r="D440" s="25" t="s">
        <v>30</v>
      </c>
      <c r="E440">
        <v>140</v>
      </c>
      <c r="F440">
        <v>320</v>
      </c>
      <c r="G440" t="b">
        <v>0</v>
      </c>
      <c r="H440" s="25" t="s">
        <v>26</v>
      </c>
      <c r="I440">
        <v>162</v>
      </c>
      <c r="J440" t="b">
        <v>0</v>
      </c>
      <c r="K440" s="25" t="s">
        <v>32</v>
      </c>
      <c r="M440" s="25" t="s">
        <v>32</v>
      </c>
      <c r="N440">
        <v>0</v>
      </c>
      <c r="O440">
        <v>0</v>
      </c>
    </row>
    <row r="441" spans="1:15" x14ac:dyDescent="0.3">
      <c r="A441">
        <v>440</v>
      </c>
      <c r="B441">
        <v>53</v>
      </c>
      <c r="C441" s="25" t="s">
        <v>16</v>
      </c>
      <c r="D441" s="25" t="s">
        <v>28</v>
      </c>
      <c r="E441">
        <v>120</v>
      </c>
      <c r="F441">
        <v>195</v>
      </c>
      <c r="G441" t="b">
        <v>0</v>
      </c>
      <c r="H441" s="25" t="s">
        <v>26</v>
      </c>
      <c r="I441">
        <v>140</v>
      </c>
      <c r="J441" t="b">
        <v>0</v>
      </c>
      <c r="K441" s="25" t="s">
        <v>32</v>
      </c>
      <c r="M441" s="25" t="s">
        <v>32</v>
      </c>
      <c r="N441">
        <v>0</v>
      </c>
      <c r="O441">
        <v>0</v>
      </c>
    </row>
    <row r="442" spans="1:15" x14ac:dyDescent="0.3">
      <c r="A442">
        <v>441</v>
      </c>
      <c r="B442">
        <v>53</v>
      </c>
      <c r="C442" s="25" t="s">
        <v>16</v>
      </c>
      <c r="D442" s="25" t="s">
        <v>24</v>
      </c>
      <c r="E442">
        <v>124</v>
      </c>
      <c r="F442">
        <v>260</v>
      </c>
      <c r="G442" t="b">
        <v>0</v>
      </c>
      <c r="H442" s="25" t="s">
        <v>33</v>
      </c>
      <c r="I442">
        <v>112</v>
      </c>
      <c r="J442" t="b">
        <v>1</v>
      </c>
      <c r="K442" s="25" t="s">
        <v>25</v>
      </c>
      <c r="M442" s="25" t="s">
        <v>32</v>
      </c>
      <c r="N442">
        <v>0</v>
      </c>
      <c r="O442">
        <v>3</v>
      </c>
    </row>
    <row r="443" spans="1:15" x14ac:dyDescent="0.3">
      <c r="A443">
        <v>442</v>
      </c>
      <c r="B443">
        <v>53</v>
      </c>
      <c r="C443" s="25" t="s">
        <v>16</v>
      </c>
      <c r="D443" s="25" t="s">
        <v>24</v>
      </c>
      <c r="E443">
        <v>130</v>
      </c>
      <c r="F443">
        <v>182</v>
      </c>
      <c r="G443" t="b">
        <v>0</v>
      </c>
      <c r="H443" s="25" t="s">
        <v>26</v>
      </c>
      <c r="I443">
        <v>148</v>
      </c>
      <c r="J443" t="b">
        <v>0</v>
      </c>
      <c r="K443" s="25" t="s">
        <v>32</v>
      </c>
      <c r="M443" s="25" t="s">
        <v>32</v>
      </c>
      <c r="N443">
        <v>0</v>
      </c>
      <c r="O443">
        <v>0</v>
      </c>
    </row>
    <row r="444" spans="1:15" x14ac:dyDescent="0.3">
      <c r="A444">
        <v>443</v>
      </c>
      <c r="B444">
        <v>53</v>
      </c>
      <c r="C444" s="25" t="s">
        <v>16</v>
      </c>
      <c r="D444" s="25" t="s">
        <v>24</v>
      </c>
      <c r="E444">
        <v>140</v>
      </c>
      <c r="F444">
        <v>243</v>
      </c>
      <c r="G444" t="b">
        <v>0</v>
      </c>
      <c r="H444" s="25" t="s">
        <v>26</v>
      </c>
      <c r="I444">
        <v>155</v>
      </c>
      <c r="J444" t="b">
        <v>0</v>
      </c>
      <c r="K444" s="25" t="s">
        <v>32</v>
      </c>
      <c r="M444" s="25" t="s">
        <v>32</v>
      </c>
      <c r="N444">
        <v>0</v>
      </c>
      <c r="O444">
        <v>0</v>
      </c>
    </row>
    <row r="445" spans="1:15" x14ac:dyDescent="0.3">
      <c r="A445">
        <v>444</v>
      </c>
      <c r="B445">
        <v>54</v>
      </c>
      <c r="C445" s="25" t="s">
        <v>29</v>
      </c>
      <c r="D445" s="25" t="s">
        <v>30</v>
      </c>
      <c r="E445">
        <v>120</v>
      </c>
      <c r="F445">
        <v>221</v>
      </c>
      <c r="G445" t="b">
        <v>0</v>
      </c>
      <c r="H445" s="25" t="s">
        <v>26</v>
      </c>
      <c r="I445">
        <v>138</v>
      </c>
      <c r="J445" t="b">
        <v>0</v>
      </c>
      <c r="K445" s="25" t="s">
        <v>31</v>
      </c>
      <c r="M445" s="25" t="s">
        <v>32</v>
      </c>
      <c r="N445">
        <v>0</v>
      </c>
      <c r="O445">
        <v>1</v>
      </c>
    </row>
    <row r="446" spans="1:15" x14ac:dyDescent="0.3">
      <c r="A446">
        <v>445</v>
      </c>
      <c r="B446">
        <v>54</v>
      </c>
      <c r="C446" s="25" t="s">
        <v>29</v>
      </c>
      <c r="D446" s="25" t="s">
        <v>30</v>
      </c>
      <c r="E446">
        <v>120</v>
      </c>
      <c r="F446">
        <v>230</v>
      </c>
      <c r="G446" t="b">
        <v>1</v>
      </c>
      <c r="H446" s="25" t="s">
        <v>26</v>
      </c>
      <c r="I446">
        <v>140</v>
      </c>
      <c r="J446" t="b">
        <v>0</v>
      </c>
      <c r="K446" s="25" t="s">
        <v>32</v>
      </c>
      <c r="M446" s="25" t="s">
        <v>32</v>
      </c>
      <c r="N446">
        <v>0</v>
      </c>
      <c r="O446">
        <v>0</v>
      </c>
    </row>
    <row r="447" spans="1:15" x14ac:dyDescent="0.3">
      <c r="A447">
        <v>446</v>
      </c>
      <c r="B447">
        <v>54</v>
      </c>
      <c r="C447" s="25" t="s">
        <v>29</v>
      </c>
      <c r="D447" s="25" t="s">
        <v>30</v>
      </c>
      <c r="E447">
        <v>120</v>
      </c>
      <c r="F447">
        <v>273</v>
      </c>
      <c r="G447" t="b">
        <v>0</v>
      </c>
      <c r="H447" s="25" t="s">
        <v>26</v>
      </c>
      <c r="I447">
        <v>150</v>
      </c>
      <c r="J447" t="b">
        <v>0</v>
      </c>
      <c r="K447" s="25" t="s">
        <v>25</v>
      </c>
      <c r="M447" s="25" t="s">
        <v>32</v>
      </c>
      <c r="N447">
        <v>0</v>
      </c>
      <c r="O447">
        <v>0.5</v>
      </c>
    </row>
    <row r="448" spans="1:15" x14ac:dyDescent="0.3">
      <c r="A448">
        <v>447</v>
      </c>
      <c r="B448">
        <v>54</v>
      </c>
      <c r="C448" s="25" t="s">
        <v>29</v>
      </c>
      <c r="D448" s="25" t="s">
        <v>30</v>
      </c>
      <c r="E448">
        <v>130</v>
      </c>
      <c r="F448">
        <v>253</v>
      </c>
      <c r="G448" t="b">
        <v>0</v>
      </c>
      <c r="H448" s="25" t="s">
        <v>33</v>
      </c>
      <c r="I448">
        <v>155</v>
      </c>
      <c r="J448" t="b">
        <v>0</v>
      </c>
      <c r="K448" s="25" t="s">
        <v>32</v>
      </c>
      <c r="M448" s="25" t="s">
        <v>32</v>
      </c>
      <c r="N448">
        <v>0</v>
      </c>
      <c r="O448">
        <v>0</v>
      </c>
    </row>
    <row r="449" spans="1:15" x14ac:dyDescent="0.3">
      <c r="A449">
        <v>448</v>
      </c>
      <c r="B449">
        <v>54</v>
      </c>
      <c r="C449" s="25" t="s">
        <v>29</v>
      </c>
      <c r="D449" s="25" t="s">
        <v>30</v>
      </c>
      <c r="E449">
        <v>140</v>
      </c>
      <c r="F449">
        <v>309</v>
      </c>
      <c r="H449" s="25" t="s">
        <v>33</v>
      </c>
      <c r="I449">
        <v>140</v>
      </c>
      <c r="J449" t="b">
        <v>0</v>
      </c>
      <c r="K449" s="25" t="s">
        <v>32</v>
      </c>
      <c r="M449" s="25" t="s">
        <v>32</v>
      </c>
      <c r="N449">
        <v>0</v>
      </c>
      <c r="O449">
        <v>0</v>
      </c>
    </row>
    <row r="450" spans="1:15" x14ac:dyDescent="0.3">
      <c r="A450">
        <v>449</v>
      </c>
      <c r="B450">
        <v>54</v>
      </c>
      <c r="C450" s="25" t="s">
        <v>29</v>
      </c>
      <c r="D450" s="25" t="s">
        <v>30</v>
      </c>
      <c r="E450">
        <v>150</v>
      </c>
      <c r="F450">
        <v>230</v>
      </c>
      <c r="G450" t="b">
        <v>0</v>
      </c>
      <c r="H450" s="25" t="s">
        <v>26</v>
      </c>
      <c r="I450">
        <v>130</v>
      </c>
      <c r="J450" t="b">
        <v>0</v>
      </c>
      <c r="K450" s="25" t="s">
        <v>32</v>
      </c>
      <c r="M450" s="25" t="s">
        <v>32</v>
      </c>
      <c r="N450">
        <v>0</v>
      </c>
      <c r="O450">
        <v>0</v>
      </c>
    </row>
    <row r="451" spans="1:15" x14ac:dyDescent="0.3">
      <c r="A451">
        <v>450</v>
      </c>
      <c r="B451">
        <v>54</v>
      </c>
      <c r="C451" s="25" t="s">
        <v>29</v>
      </c>
      <c r="D451" s="25" t="s">
        <v>30</v>
      </c>
      <c r="E451">
        <v>160</v>
      </c>
      <c r="F451">
        <v>312</v>
      </c>
      <c r="G451" t="b">
        <v>0</v>
      </c>
      <c r="H451" s="25" t="s">
        <v>26</v>
      </c>
      <c r="I451">
        <v>130</v>
      </c>
      <c r="J451" t="b">
        <v>0</v>
      </c>
      <c r="K451" s="25" t="s">
        <v>32</v>
      </c>
      <c r="M451" s="25" t="s">
        <v>32</v>
      </c>
      <c r="N451">
        <v>0</v>
      </c>
      <c r="O451">
        <v>0</v>
      </c>
    </row>
    <row r="452" spans="1:15" x14ac:dyDescent="0.3">
      <c r="A452">
        <v>451</v>
      </c>
      <c r="B452">
        <v>54</v>
      </c>
      <c r="C452" s="25" t="s">
        <v>16</v>
      </c>
      <c r="D452" s="25" t="s">
        <v>18</v>
      </c>
      <c r="E452">
        <v>120</v>
      </c>
      <c r="F452">
        <v>171</v>
      </c>
      <c r="G452" t="b">
        <v>0</v>
      </c>
      <c r="H452" s="25" t="s">
        <v>26</v>
      </c>
      <c r="I452">
        <v>137</v>
      </c>
      <c r="J452" t="b">
        <v>0</v>
      </c>
      <c r="K452" s="25" t="s">
        <v>31</v>
      </c>
      <c r="M452" s="25" t="s">
        <v>32</v>
      </c>
      <c r="N452">
        <v>0</v>
      </c>
      <c r="O452">
        <v>2</v>
      </c>
    </row>
    <row r="453" spans="1:15" x14ac:dyDescent="0.3">
      <c r="A453">
        <v>452</v>
      </c>
      <c r="B453">
        <v>54</v>
      </c>
      <c r="C453" s="25" t="s">
        <v>16</v>
      </c>
      <c r="D453" s="25" t="s">
        <v>30</v>
      </c>
      <c r="E453">
        <v>110</v>
      </c>
      <c r="F453">
        <v>208</v>
      </c>
      <c r="G453" t="b">
        <v>0</v>
      </c>
      <c r="H453" s="25" t="s">
        <v>26</v>
      </c>
      <c r="I453">
        <v>142</v>
      </c>
      <c r="J453" t="b">
        <v>0</v>
      </c>
      <c r="K453" s="25" t="s">
        <v>32</v>
      </c>
      <c r="M453" s="25" t="s">
        <v>32</v>
      </c>
      <c r="N453">
        <v>0</v>
      </c>
      <c r="O453">
        <v>0</v>
      </c>
    </row>
    <row r="454" spans="1:15" x14ac:dyDescent="0.3">
      <c r="A454">
        <v>453</v>
      </c>
      <c r="B454">
        <v>54</v>
      </c>
      <c r="C454" s="25" t="s">
        <v>16</v>
      </c>
      <c r="D454" s="25" t="s">
        <v>30</v>
      </c>
      <c r="E454">
        <v>120</v>
      </c>
      <c r="F454">
        <v>238</v>
      </c>
      <c r="G454" t="b">
        <v>0</v>
      </c>
      <c r="H454" s="25" t="s">
        <v>26</v>
      </c>
      <c r="I454">
        <v>154</v>
      </c>
      <c r="J454" t="b">
        <v>0</v>
      </c>
      <c r="K454" s="25" t="s">
        <v>32</v>
      </c>
      <c r="M454" s="25" t="s">
        <v>32</v>
      </c>
      <c r="N454">
        <v>0</v>
      </c>
      <c r="O454">
        <v>0</v>
      </c>
    </row>
    <row r="455" spans="1:15" x14ac:dyDescent="0.3">
      <c r="A455">
        <v>454</v>
      </c>
      <c r="B455">
        <v>54</v>
      </c>
      <c r="C455" s="25" t="s">
        <v>16</v>
      </c>
      <c r="D455" s="25" t="s">
        <v>30</v>
      </c>
      <c r="E455">
        <v>120</v>
      </c>
      <c r="F455">
        <v>246</v>
      </c>
      <c r="G455" t="b">
        <v>0</v>
      </c>
      <c r="H455" s="25" t="s">
        <v>26</v>
      </c>
      <c r="I455">
        <v>110</v>
      </c>
      <c r="J455" t="b">
        <v>0</v>
      </c>
      <c r="K455" s="25" t="s">
        <v>32</v>
      </c>
      <c r="M455" s="25" t="s">
        <v>32</v>
      </c>
      <c r="N455">
        <v>0</v>
      </c>
      <c r="O455">
        <v>0</v>
      </c>
    </row>
    <row r="456" spans="1:15" x14ac:dyDescent="0.3">
      <c r="A456">
        <v>455</v>
      </c>
      <c r="B456">
        <v>54</v>
      </c>
      <c r="C456" s="25" t="s">
        <v>16</v>
      </c>
      <c r="D456" s="25" t="s">
        <v>30</v>
      </c>
      <c r="E456">
        <v>160</v>
      </c>
      <c r="F456">
        <v>195</v>
      </c>
      <c r="G456" t="b">
        <v>0</v>
      </c>
      <c r="H456" s="25" t="s">
        <v>33</v>
      </c>
      <c r="I456">
        <v>130</v>
      </c>
      <c r="J456" t="b">
        <v>0</v>
      </c>
      <c r="K456" s="25" t="s">
        <v>31</v>
      </c>
      <c r="M456" s="25" t="s">
        <v>32</v>
      </c>
      <c r="N456">
        <v>0</v>
      </c>
      <c r="O456">
        <v>1</v>
      </c>
    </row>
    <row r="457" spans="1:15" x14ac:dyDescent="0.3">
      <c r="A457">
        <v>456</v>
      </c>
      <c r="B457">
        <v>54</v>
      </c>
      <c r="C457" s="25" t="s">
        <v>16</v>
      </c>
      <c r="D457" s="25" t="s">
        <v>30</v>
      </c>
      <c r="E457">
        <v>160</v>
      </c>
      <c r="F457">
        <v>305</v>
      </c>
      <c r="G457" t="b">
        <v>0</v>
      </c>
      <c r="H457" s="25" t="s">
        <v>26</v>
      </c>
      <c r="I457">
        <v>175</v>
      </c>
      <c r="J457" t="b">
        <v>0</v>
      </c>
      <c r="K457" s="25" t="s">
        <v>32</v>
      </c>
      <c r="M457" s="25" t="s">
        <v>32</v>
      </c>
      <c r="N457">
        <v>0</v>
      </c>
      <c r="O457">
        <v>0</v>
      </c>
    </row>
    <row r="458" spans="1:15" x14ac:dyDescent="0.3">
      <c r="A458">
        <v>457</v>
      </c>
      <c r="B458">
        <v>54</v>
      </c>
      <c r="C458" s="25" t="s">
        <v>16</v>
      </c>
      <c r="D458" s="25" t="s">
        <v>28</v>
      </c>
      <c r="E458">
        <v>120</v>
      </c>
      <c r="F458">
        <v>217</v>
      </c>
      <c r="G458" t="b">
        <v>0</v>
      </c>
      <c r="H458" s="25" t="s">
        <v>26</v>
      </c>
      <c r="I458">
        <v>137</v>
      </c>
      <c r="J458" t="b">
        <v>0</v>
      </c>
      <c r="K458" s="25" t="s">
        <v>32</v>
      </c>
      <c r="M458" s="25" t="s">
        <v>32</v>
      </c>
      <c r="N458">
        <v>0</v>
      </c>
      <c r="O458">
        <v>0</v>
      </c>
    </row>
    <row r="459" spans="1:15" x14ac:dyDescent="0.3">
      <c r="A459">
        <v>458</v>
      </c>
      <c r="B459">
        <v>54</v>
      </c>
      <c r="C459" s="25" t="s">
        <v>16</v>
      </c>
      <c r="D459" s="25" t="s">
        <v>28</v>
      </c>
      <c r="E459">
        <v>150</v>
      </c>
      <c r="G459" t="b">
        <v>0</v>
      </c>
      <c r="H459" s="25" t="s">
        <v>26</v>
      </c>
      <c r="I459">
        <v>122</v>
      </c>
      <c r="J459" t="b">
        <v>0</v>
      </c>
      <c r="K459" s="25" t="s">
        <v>32</v>
      </c>
      <c r="M459" s="25" t="s">
        <v>32</v>
      </c>
      <c r="N459">
        <v>0</v>
      </c>
      <c r="O459">
        <v>0</v>
      </c>
    </row>
    <row r="460" spans="1:15" x14ac:dyDescent="0.3">
      <c r="A460">
        <v>459</v>
      </c>
      <c r="B460">
        <v>54</v>
      </c>
      <c r="C460" s="25" t="s">
        <v>16</v>
      </c>
      <c r="D460" s="25" t="s">
        <v>24</v>
      </c>
      <c r="E460">
        <v>150</v>
      </c>
      <c r="F460">
        <v>365</v>
      </c>
      <c r="G460" t="b">
        <v>0</v>
      </c>
      <c r="H460" s="25" t="s">
        <v>33</v>
      </c>
      <c r="I460">
        <v>134</v>
      </c>
      <c r="J460" t="b">
        <v>0</v>
      </c>
      <c r="K460" s="25" t="s">
        <v>31</v>
      </c>
      <c r="M460" s="25" t="s">
        <v>32</v>
      </c>
      <c r="N460">
        <v>0</v>
      </c>
      <c r="O460">
        <v>1</v>
      </c>
    </row>
    <row r="461" spans="1:15" x14ac:dyDescent="0.3">
      <c r="A461">
        <v>460</v>
      </c>
      <c r="B461">
        <v>55</v>
      </c>
      <c r="C461" s="25" t="s">
        <v>29</v>
      </c>
      <c r="D461" s="25" t="s">
        <v>30</v>
      </c>
      <c r="E461">
        <v>110</v>
      </c>
      <c r="F461">
        <v>344</v>
      </c>
      <c r="G461" t="b">
        <v>0</v>
      </c>
      <c r="H461" s="25" t="s">
        <v>33</v>
      </c>
      <c r="I461">
        <v>160</v>
      </c>
      <c r="J461" t="b">
        <v>0</v>
      </c>
      <c r="K461" s="25" t="s">
        <v>32</v>
      </c>
      <c r="M461" s="25" t="s">
        <v>32</v>
      </c>
      <c r="N461">
        <v>0</v>
      </c>
      <c r="O461">
        <v>0</v>
      </c>
    </row>
    <row r="462" spans="1:15" x14ac:dyDescent="0.3">
      <c r="A462">
        <v>461</v>
      </c>
      <c r="B462">
        <v>55</v>
      </c>
      <c r="C462" s="25" t="s">
        <v>29</v>
      </c>
      <c r="D462" s="25" t="s">
        <v>30</v>
      </c>
      <c r="E462">
        <v>122</v>
      </c>
      <c r="F462">
        <v>320</v>
      </c>
      <c r="G462" t="b">
        <v>0</v>
      </c>
      <c r="H462" s="25" t="s">
        <v>26</v>
      </c>
      <c r="I462">
        <v>155</v>
      </c>
      <c r="J462" t="b">
        <v>0</v>
      </c>
      <c r="K462" s="25" t="s">
        <v>32</v>
      </c>
      <c r="M462" s="25" t="s">
        <v>32</v>
      </c>
      <c r="N462">
        <v>0</v>
      </c>
      <c r="O462">
        <v>0</v>
      </c>
    </row>
    <row r="463" spans="1:15" x14ac:dyDescent="0.3">
      <c r="A463">
        <v>462</v>
      </c>
      <c r="B463">
        <v>55</v>
      </c>
      <c r="C463" s="25" t="s">
        <v>29</v>
      </c>
      <c r="D463" s="25" t="s">
        <v>30</v>
      </c>
      <c r="E463">
        <v>130</v>
      </c>
      <c r="F463">
        <v>394</v>
      </c>
      <c r="G463" t="b">
        <v>0</v>
      </c>
      <c r="H463" s="25" t="s">
        <v>20</v>
      </c>
      <c r="I463">
        <v>150</v>
      </c>
      <c r="J463" t="b">
        <v>0</v>
      </c>
      <c r="K463" s="25" t="s">
        <v>32</v>
      </c>
      <c r="M463" s="25" t="s">
        <v>32</v>
      </c>
      <c r="N463">
        <v>0</v>
      </c>
      <c r="O463">
        <v>0</v>
      </c>
    </row>
    <row r="464" spans="1:15" x14ac:dyDescent="0.3">
      <c r="A464">
        <v>463</v>
      </c>
      <c r="B464">
        <v>55</v>
      </c>
      <c r="C464" s="25" t="s">
        <v>16</v>
      </c>
      <c r="D464" s="25" t="s">
        <v>30</v>
      </c>
      <c r="E464">
        <v>120</v>
      </c>
      <c r="F464">
        <v>256</v>
      </c>
      <c r="G464" t="b">
        <v>1</v>
      </c>
      <c r="H464" s="25" t="s">
        <v>26</v>
      </c>
      <c r="I464">
        <v>137</v>
      </c>
      <c r="J464" t="b">
        <v>0</v>
      </c>
      <c r="K464" s="25" t="s">
        <v>32</v>
      </c>
      <c r="M464" s="25" t="s">
        <v>27</v>
      </c>
      <c r="N464">
        <v>0</v>
      </c>
      <c r="O464">
        <v>0</v>
      </c>
    </row>
    <row r="465" spans="1:15" x14ac:dyDescent="0.3">
      <c r="A465">
        <v>464</v>
      </c>
      <c r="B465">
        <v>55</v>
      </c>
      <c r="C465" s="25" t="s">
        <v>16</v>
      </c>
      <c r="D465" s="25" t="s">
        <v>30</v>
      </c>
      <c r="E465">
        <v>140</v>
      </c>
      <c r="F465">
        <v>196</v>
      </c>
      <c r="G465" t="b">
        <v>0</v>
      </c>
      <c r="H465" s="25" t="s">
        <v>26</v>
      </c>
      <c r="I465">
        <v>150</v>
      </c>
      <c r="J465" t="b">
        <v>0</v>
      </c>
      <c r="K465" s="25" t="s">
        <v>32</v>
      </c>
      <c r="M465" s="25" t="s">
        <v>27</v>
      </c>
      <c r="N465">
        <v>0</v>
      </c>
      <c r="O465">
        <v>0</v>
      </c>
    </row>
    <row r="466" spans="1:15" x14ac:dyDescent="0.3">
      <c r="A466">
        <v>465</v>
      </c>
      <c r="B466">
        <v>55</v>
      </c>
      <c r="C466" s="25" t="s">
        <v>16</v>
      </c>
      <c r="D466" s="25" t="s">
        <v>30</v>
      </c>
      <c r="E466">
        <v>145</v>
      </c>
      <c r="F466">
        <v>326</v>
      </c>
      <c r="G466" t="b">
        <v>0</v>
      </c>
      <c r="H466" s="25" t="s">
        <v>26</v>
      </c>
      <c r="I466">
        <v>155</v>
      </c>
      <c r="J466" t="b">
        <v>0</v>
      </c>
      <c r="K466" s="25" t="s">
        <v>32</v>
      </c>
      <c r="M466" s="25" t="s">
        <v>32</v>
      </c>
      <c r="N466">
        <v>0</v>
      </c>
      <c r="O466">
        <v>0</v>
      </c>
    </row>
    <row r="467" spans="1:15" x14ac:dyDescent="0.3">
      <c r="A467">
        <v>466</v>
      </c>
      <c r="B467">
        <v>55</v>
      </c>
      <c r="C467" s="25" t="s">
        <v>16</v>
      </c>
      <c r="D467" s="25" t="s">
        <v>28</v>
      </c>
      <c r="E467">
        <v>110</v>
      </c>
      <c r="F467">
        <v>277</v>
      </c>
      <c r="G467" t="b">
        <v>0</v>
      </c>
      <c r="H467" s="25" t="s">
        <v>26</v>
      </c>
      <c r="I467">
        <v>160</v>
      </c>
      <c r="J467" t="b">
        <v>0</v>
      </c>
      <c r="K467" s="25" t="s">
        <v>32</v>
      </c>
      <c r="M467" s="25" t="s">
        <v>32</v>
      </c>
      <c r="N467">
        <v>0</v>
      </c>
      <c r="O467">
        <v>0</v>
      </c>
    </row>
    <row r="468" spans="1:15" x14ac:dyDescent="0.3">
      <c r="A468">
        <v>467</v>
      </c>
      <c r="B468">
        <v>55</v>
      </c>
      <c r="C468" s="25" t="s">
        <v>16</v>
      </c>
      <c r="D468" s="25" t="s">
        <v>28</v>
      </c>
      <c r="E468">
        <v>120</v>
      </c>
      <c r="F468">
        <v>220</v>
      </c>
      <c r="G468" t="b">
        <v>0</v>
      </c>
      <c r="H468" s="25" t="s">
        <v>20</v>
      </c>
      <c r="I468">
        <v>134</v>
      </c>
      <c r="J468" t="b">
        <v>0</v>
      </c>
      <c r="K468" s="25" t="s">
        <v>32</v>
      </c>
      <c r="M468" s="25" t="s">
        <v>32</v>
      </c>
      <c r="N468">
        <v>0</v>
      </c>
      <c r="O468">
        <v>0</v>
      </c>
    </row>
    <row r="469" spans="1:15" x14ac:dyDescent="0.3">
      <c r="A469">
        <v>468</v>
      </c>
      <c r="B469">
        <v>55</v>
      </c>
      <c r="C469" s="25" t="s">
        <v>16</v>
      </c>
      <c r="D469" s="25" t="s">
        <v>24</v>
      </c>
      <c r="E469">
        <v>120</v>
      </c>
      <c r="F469">
        <v>270</v>
      </c>
      <c r="G469" t="b">
        <v>0</v>
      </c>
      <c r="H469" s="25" t="s">
        <v>26</v>
      </c>
      <c r="I469">
        <v>140</v>
      </c>
      <c r="J469" t="b">
        <v>0</v>
      </c>
      <c r="K469" s="25" t="s">
        <v>32</v>
      </c>
      <c r="M469" s="25" t="s">
        <v>32</v>
      </c>
      <c r="N469">
        <v>0</v>
      </c>
      <c r="O469">
        <v>0</v>
      </c>
    </row>
    <row r="470" spans="1:15" x14ac:dyDescent="0.3">
      <c r="A470">
        <v>469</v>
      </c>
      <c r="B470">
        <v>55</v>
      </c>
      <c r="C470" s="25" t="s">
        <v>16</v>
      </c>
      <c r="D470" s="25" t="s">
        <v>24</v>
      </c>
      <c r="E470">
        <v>140</v>
      </c>
      <c r="F470">
        <v>229</v>
      </c>
      <c r="G470" t="b">
        <v>0</v>
      </c>
      <c r="H470" s="25" t="s">
        <v>26</v>
      </c>
      <c r="I470">
        <v>110</v>
      </c>
      <c r="J470" t="b">
        <v>1</v>
      </c>
      <c r="K470" s="25" t="s">
        <v>25</v>
      </c>
      <c r="M470" s="25" t="s">
        <v>32</v>
      </c>
      <c r="N470">
        <v>0</v>
      </c>
      <c r="O470">
        <v>0.5</v>
      </c>
    </row>
    <row r="471" spans="1:15" x14ac:dyDescent="0.3">
      <c r="A471">
        <v>470</v>
      </c>
      <c r="B471">
        <v>56</v>
      </c>
      <c r="C471" s="25" t="s">
        <v>29</v>
      </c>
      <c r="D471" s="25" t="s">
        <v>28</v>
      </c>
      <c r="E471">
        <v>130</v>
      </c>
      <c r="F471">
        <v>219</v>
      </c>
      <c r="H471" s="25" t="s">
        <v>33</v>
      </c>
      <c r="I471">
        <v>164</v>
      </c>
      <c r="J471" t="b">
        <v>0</v>
      </c>
      <c r="K471" s="25" t="s">
        <v>32</v>
      </c>
      <c r="M471" s="25" t="s">
        <v>27</v>
      </c>
      <c r="N471">
        <v>0</v>
      </c>
      <c r="O471">
        <v>0</v>
      </c>
    </row>
    <row r="472" spans="1:15" x14ac:dyDescent="0.3">
      <c r="A472">
        <v>471</v>
      </c>
      <c r="B472">
        <v>56</v>
      </c>
      <c r="C472" s="25" t="s">
        <v>16</v>
      </c>
      <c r="D472" s="25" t="s">
        <v>30</v>
      </c>
      <c r="E472">
        <v>130</v>
      </c>
      <c r="F472">
        <v>184</v>
      </c>
      <c r="G472" t="b">
        <v>0</v>
      </c>
      <c r="H472" s="25" t="s">
        <v>26</v>
      </c>
      <c r="I472">
        <v>100</v>
      </c>
      <c r="J472" t="b">
        <v>0</v>
      </c>
      <c r="K472" s="25" t="s">
        <v>32</v>
      </c>
      <c r="M472" s="25" t="s">
        <v>32</v>
      </c>
      <c r="N472">
        <v>0</v>
      </c>
      <c r="O472">
        <v>0</v>
      </c>
    </row>
    <row r="473" spans="1:15" x14ac:dyDescent="0.3">
      <c r="A473">
        <v>472</v>
      </c>
      <c r="B473">
        <v>56</v>
      </c>
      <c r="C473" s="25" t="s">
        <v>16</v>
      </c>
      <c r="D473" s="25" t="s">
        <v>28</v>
      </c>
      <c r="E473">
        <v>130</v>
      </c>
      <c r="G473" t="b">
        <v>0</v>
      </c>
      <c r="H473" s="25" t="s">
        <v>26</v>
      </c>
      <c r="I473">
        <v>114</v>
      </c>
      <c r="J473" t="b">
        <v>0</v>
      </c>
      <c r="K473" s="25" t="s">
        <v>32</v>
      </c>
      <c r="M473" s="25" t="s">
        <v>32</v>
      </c>
      <c r="N473">
        <v>0</v>
      </c>
      <c r="O473">
        <v>0</v>
      </c>
    </row>
    <row r="474" spans="1:15" x14ac:dyDescent="0.3">
      <c r="A474">
        <v>473</v>
      </c>
      <c r="B474">
        <v>56</v>
      </c>
      <c r="C474" s="25" t="s">
        <v>16</v>
      </c>
      <c r="D474" s="25" t="s">
        <v>28</v>
      </c>
      <c r="E474">
        <v>130</v>
      </c>
      <c r="F474">
        <v>276</v>
      </c>
      <c r="G474" t="b">
        <v>0</v>
      </c>
      <c r="H474" s="25" t="s">
        <v>26</v>
      </c>
      <c r="I474">
        <v>128</v>
      </c>
      <c r="J474" t="b">
        <v>1</v>
      </c>
      <c r="K474" s="25" t="s">
        <v>31</v>
      </c>
      <c r="M474" s="25" t="s">
        <v>23</v>
      </c>
      <c r="N474">
        <v>0</v>
      </c>
      <c r="O474">
        <v>1</v>
      </c>
    </row>
    <row r="475" spans="1:15" x14ac:dyDescent="0.3">
      <c r="A475">
        <v>474</v>
      </c>
      <c r="B475">
        <v>56</v>
      </c>
      <c r="C475" s="25" t="s">
        <v>16</v>
      </c>
      <c r="D475" s="25" t="s">
        <v>24</v>
      </c>
      <c r="E475">
        <v>120</v>
      </c>
      <c r="F475">
        <v>85</v>
      </c>
      <c r="G475" t="b">
        <v>0</v>
      </c>
      <c r="H475" s="25" t="s">
        <v>26</v>
      </c>
      <c r="I475">
        <v>140</v>
      </c>
      <c r="J475" t="b">
        <v>0</v>
      </c>
      <c r="K475" s="25" t="s">
        <v>32</v>
      </c>
      <c r="M475" s="25" t="s">
        <v>32</v>
      </c>
      <c r="N475">
        <v>0</v>
      </c>
      <c r="O475">
        <v>0</v>
      </c>
    </row>
    <row r="476" spans="1:15" x14ac:dyDescent="0.3">
      <c r="A476">
        <v>475</v>
      </c>
      <c r="B476">
        <v>57</v>
      </c>
      <c r="C476" s="25" t="s">
        <v>29</v>
      </c>
      <c r="D476" s="25" t="s">
        <v>18</v>
      </c>
      <c r="E476">
        <v>130</v>
      </c>
      <c r="F476">
        <v>308</v>
      </c>
      <c r="G476" t="b">
        <v>0</v>
      </c>
      <c r="H476" s="25" t="s">
        <v>26</v>
      </c>
      <c r="I476">
        <v>98</v>
      </c>
      <c r="J476" t="b">
        <v>0</v>
      </c>
      <c r="K476" s="25" t="s">
        <v>25</v>
      </c>
      <c r="M476" s="25" t="s">
        <v>32</v>
      </c>
      <c r="N476">
        <v>0</v>
      </c>
      <c r="O476">
        <v>1</v>
      </c>
    </row>
    <row r="477" spans="1:15" x14ac:dyDescent="0.3">
      <c r="A477">
        <v>476</v>
      </c>
      <c r="B477">
        <v>57</v>
      </c>
      <c r="C477" s="25" t="s">
        <v>29</v>
      </c>
      <c r="D477" s="25" t="s">
        <v>24</v>
      </c>
      <c r="E477">
        <v>180</v>
      </c>
      <c r="F477">
        <v>347</v>
      </c>
      <c r="G477" t="b">
        <v>0</v>
      </c>
      <c r="H477" s="25" t="s">
        <v>33</v>
      </c>
      <c r="I477">
        <v>126</v>
      </c>
      <c r="J477" t="b">
        <v>1</v>
      </c>
      <c r="K477" s="25" t="s">
        <v>25</v>
      </c>
      <c r="M477" s="25" t="s">
        <v>32</v>
      </c>
      <c r="N477">
        <v>0</v>
      </c>
      <c r="O477">
        <v>0.8</v>
      </c>
    </row>
    <row r="478" spans="1:15" x14ac:dyDescent="0.3">
      <c r="A478">
        <v>477</v>
      </c>
      <c r="B478">
        <v>57</v>
      </c>
      <c r="C478" s="25" t="s">
        <v>16</v>
      </c>
      <c r="D478" s="25" t="s">
        <v>30</v>
      </c>
      <c r="E478">
        <v>140</v>
      </c>
      <c r="F478">
        <v>260</v>
      </c>
      <c r="G478" t="b">
        <v>1</v>
      </c>
      <c r="H478" s="25" t="s">
        <v>26</v>
      </c>
      <c r="I478">
        <v>140</v>
      </c>
      <c r="J478" t="b">
        <v>0</v>
      </c>
      <c r="K478" s="25" t="s">
        <v>32</v>
      </c>
      <c r="M478" s="25" t="s">
        <v>23</v>
      </c>
      <c r="N478">
        <v>0</v>
      </c>
      <c r="O478">
        <v>0</v>
      </c>
    </row>
    <row r="479" spans="1:15" x14ac:dyDescent="0.3">
      <c r="A479">
        <v>478</v>
      </c>
      <c r="B479">
        <v>58</v>
      </c>
      <c r="C479" s="25" t="s">
        <v>16</v>
      </c>
      <c r="D479" s="25" t="s">
        <v>30</v>
      </c>
      <c r="E479">
        <v>130</v>
      </c>
      <c r="F479">
        <v>230</v>
      </c>
      <c r="G479" t="b">
        <v>0</v>
      </c>
      <c r="H479" s="25" t="s">
        <v>26</v>
      </c>
      <c r="I479">
        <v>150</v>
      </c>
      <c r="J479" t="b">
        <v>0</v>
      </c>
      <c r="K479" s="25" t="s">
        <v>32</v>
      </c>
      <c r="M479" s="25" t="s">
        <v>32</v>
      </c>
      <c r="N479">
        <v>0</v>
      </c>
      <c r="O479">
        <v>0</v>
      </c>
    </row>
    <row r="480" spans="1:15" x14ac:dyDescent="0.3">
      <c r="A480">
        <v>479</v>
      </c>
      <c r="B480">
        <v>58</v>
      </c>
      <c r="C480" s="25" t="s">
        <v>16</v>
      </c>
      <c r="D480" s="25" t="s">
        <v>30</v>
      </c>
      <c r="E480">
        <v>130</v>
      </c>
      <c r="F480">
        <v>251</v>
      </c>
      <c r="G480" t="b">
        <v>0</v>
      </c>
      <c r="H480" s="25" t="s">
        <v>26</v>
      </c>
      <c r="I480">
        <v>110</v>
      </c>
      <c r="J480" t="b">
        <v>0</v>
      </c>
      <c r="K480" s="25" t="s">
        <v>32</v>
      </c>
      <c r="M480" s="25" t="s">
        <v>32</v>
      </c>
      <c r="N480">
        <v>0</v>
      </c>
      <c r="O480">
        <v>0</v>
      </c>
    </row>
    <row r="481" spans="1:15" x14ac:dyDescent="0.3">
      <c r="A481">
        <v>480</v>
      </c>
      <c r="B481">
        <v>58</v>
      </c>
      <c r="C481" s="25" t="s">
        <v>16</v>
      </c>
      <c r="D481" s="25" t="s">
        <v>28</v>
      </c>
      <c r="E481">
        <v>140</v>
      </c>
      <c r="F481">
        <v>179</v>
      </c>
      <c r="G481" t="b">
        <v>0</v>
      </c>
      <c r="H481" s="25" t="s">
        <v>26</v>
      </c>
      <c r="I481">
        <v>160</v>
      </c>
      <c r="J481" t="b">
        <v>0</v>
      </c>
      <c r="K481" s="25" t="s">
        <v>32</v>
      </c>
      <c r="M481" s="25" t="s">
        <v>32</v>
      </c>
      <c r="N481">
        <v>0</v>
      </c>
      <c r="O481">
        <v>0</v>
      </c>
    </row>
    <row r="482" spans="1:15" x14ac:dyDescent="0.3">
      <c r="A482">
        <v>481</v>
      </c>
      <c r="B482">
        <v>58</v>
      </c>
      <c r="C482" s="25" t="s">
        <v>16</v>
      </c>
      <c r="D482" s="25" t="s">
        <v>24</v>
      </c>
      <c r="E482">
        <v>135</v>
      </c>
      <c r="F482">
        <v>222</v>
      </c>
      <c r="G482" t="b">
        <v>0</v>
      </c>
      <c r="H482" s="25" t="s">
        <v>26</v>
      </c>
      <c r="I482">
        <v>100</v>
      </c>
      <c r="J482" t="b">
        <v>0</v>
      </c>
      <c r="K482" s="25" t="s">
        <v>32</v>
      </c>
      <c r="M482" s="25" t="s">
        <v>32</v>
      </c>
      <c r="N482">
        <v>0</v>
      </c>
      <c r="O482">
        <v>0</v>
      </c>
    </row>
    <row r="483" spans="1:15" x14ac:dyDescent="0.3">
      <c r="A483">
        <v>482</v>
      </c>
      <c r="B483">
        <v>59</v>
      </c>
      <c r="C483" s="25" t="s">
        <v>29</v>
      </c>
      <c r="D483" s="25" t="s">
        <v>30</v>
      </c>
      <c r="E483">
        <v>130</v>
      </c>
      <c r="F483">
        <v>188</v>
      </c>
      <c r="G483" t="b">
        <v>0</v>
      </c>
      <c r="H483" s="25" t="s">
        <v>26</v>
      </c>
      <c r="I483">
        <v>124</v>
      </c>
      <c r="J483" t="b">
        <v>0</v>
      </c>
      <c r="K483" s="25" t="s">
        <v>25</v>
      </c>
      <c r="M483" s="25" t="s">
        <v>32</v>
      </c>
      <c r="N483">
        <v>0</v>
      </c>
      <c r="O483">
        <v>1</v>
      </c>
    </row>
    <row r="484" spans="1:15" x14ac:dyDescent="0.3">
      <c r="A484">
        <v>483</v>
      </c>
      <c r="B484">
        <v>59</v>
      </c>
      <c r="C484" s="25" t="s">
        <v>16</v>
      </c>
      <c r="D484" s="25" t="s">
        <v>30</v>
      </c>
      <c r="E484">
        <v>140</v>
      </c>
      <c r="F484">
        <v>287</v>
      </c>
      <c r="G484" t="b">
        <v>0</v>
      </c>
      <c r="H484" s="25" t="s">
        <v>26</v>
      </c>
      <c r="I484">
        <v>150</v>
      </c>
      <c r="J484" t="b">
        <v>0</v>
      </c>
      <c r="K484" s="25" t="s">
        <v>32</v>
      </c>
      <c r="M484" s="25" t="s">
        <v>32</v>
      </c>
      <c r="N484">
        <v>0</v>
      </c>
      <c r="O484">
        <v>0</v>
      </c>
    </row>
    <row r="485" spans="1:15" x14ac:dyDescent="0.3">
      <c r="A485">
        <v>484</v>
      </c>
      <c r="B485">
        <v>59</v>
      </c>
      <c r="C485" s="25" t="s">
        <v>16</v>
      </c>
      <c r="D485" s="25" t="s">
        <v>28</v>
      </c>
      <c r="E485">
        <v>130</v>
      </c>
      <c r="F485">
        <v>318</v>
      </c>
      <c r="G485" t="b">
        <v>0</v>
      </c>
      <c r="H485" s="25" t="s">
        <v>26</v>
      </c>
      <c r="I485">
        <v>120</v>
      </c>
      <c r="J485" t="b">
        <v>1</v>
      </c>
      <c r="K485" s="25" t="s">
        <v>25</v>
      </c>
      <c r="M485" s="25" t="s">
        <v>26</v>
      </c>
      <c r="N485">
        <v>0</v>
      </c>
      <c r="O485">
        <v>1</v>
      </c>
    </row>
    <row r="486" spans="1:15" x14ac:dyDescent="0.3">
      <c r="A486">
        <v>485</v>
      </c>
      <c r="B486">
        <v>59</v>
      </c>
      <c r="C486" s="25" t="s">
        <v>16</v>
      </c>
      <c r="D486" s="25" t="s">
        <v>28</v>
      </c>
      <c r="E486">
        <v>180</v>
      </c>
      <c r="F486">
        <v>213</v>
      </c>
      <c r="G486" t="b">
        <v>0</v>
      </c>
      <c r="H486" s="25" t="s">
        <v>26</v>
      </c>
      <c r="I486">
        <v>100</v>
      </c>
      <c r="J486" t="b">
        <v>0</v>
      </c>
      <c r="K486" s="25" t="s">
        <v>32</v>
      </c>
      <c r="M486" s="25" t="s">
        <v>32</v>
      </c>
      <c r="N486">
        <v>0</v>
      </c>
      <c r="O486">
        <v>0</v>
      </c>
    </row>
    <row r="487" spans="1:15" x14ac:dyDescent="0.3">
      <c r="A487">
        <v>486</v>
      </c>
      <c r="B487">
        <v>59</v>
      </c>
      <c r="C487" s="25" t="s">
        <v>16</v>
      </c>
      <c r="D487" s="25" t="s">
        <v>24</v>
      </c>
      <c r="E487">
        <v>140</v>
      </c>
      <c r="G487" t="b">
        <v>0</v>
      </c>
      <c r="H487" s="25" t="s">
        <v>26</v>
      </c>
      <c r="I487">
        <v>140</v>
      </c>
      <c r="J487" t="b">
        <v>0</v>
      </c>
      <c r="K487" s="25" t="s">
        <v>32</v>
      </c>
      <c r="L487">
        <v>0</v>
      </c>
      <c r="M487" s="25" t="s">
        <v>32</v>
      </c>
      <c r="N487">
        <v>0</v>
      </c>
      <c r="O487">
        <v>0</v>
      </c>
    </row>
    <row r="488" spans="1:15" x14ac:dyDescent="0.3">
      <c r="A488">
        <v>487</v>
      </c>
      <c r="B488">
        <v>60</v>
      </c>
      <c r="C488" s="25" t="s">
        <v>16</v>
      </c>
      <c r="D488" s="25" t="s">
        <v>28</v>
      </c>
      <c r="E488">
        <v>120</v>
      </c>
      <c r="F488">
        <v>246</v>
      </c>
      <c r="G488" t="b">
        <v>0</v>
      </c>
      <c r="H488" s="25" t="s">
        <v>20</v>
      </c>
      <c r="I488">
        <v>135</v>
      </c>
      <c r="J488" t="b">
        <v>0</v>
      </c>
      <c r="K488" s="25" t="s">
        <v>32</v>
      </c>
      <c r="M488" s="25" t="s">
        <v>32</v>
      </c>
      <c r="N488">
        <v>0</v>
      </c>
      <c r="O488">
        <v>0</v>
      </c>
    </row>
    <row r="489" spans="1:15" x14ac:dyDescent="0.3">
      <c r="A489">
        <v>488</v>
      </c>
      <c r="B489">
        <v>61</v>
      </c>
      <c r="C489" s="25" t="s">
        <v>29</v>
      </c>
      <c r="D489" s="25" t="s">
        <v>24</v>
      </c>
      <c r="E489">
        <v>130</v>
      </c>
      <c r="F489">
        <v>294</v>
      </c>
      <c r="G489" t="b">
        <v>0</v>
      </c>
      <c r="H489" s="25" t="s">
        <v>33</v>
      </c>
      <c r="I489">
        <v>120</v>
      </c>
      <c r="J489" t="b">
        <v>1</v>
      </c>
      <c r="K489" s="25" t="s">
        <v>25</v>
      </c>
      <c r="M489" s="25" t="s">
        <v>32</v>
      </c>
      <c r="N489">
        <v>0</v>
      </c>
      <c r="O489">
        <v>1</v>
      </c>
    </row>
    <row r="490" spans="1:15" x14ac:dyDescent="0.3">
      <c r="A490">
        <v>489</v>
      </c>
      <c r="B490">
        <v>61</v>
      </c>
      <c r="C490" s="25" t="s">
        <v>16</v>
      </c>
      <c r="D490" s="25" t="s">
        <v>24</v>
      </c>
      <c r="E490">
        <v>125</v>
      </c>
      <c r="F490">
        <v>292</v>
      </c>
      <c r="G490" t="b">
        <v>0</v>
      </c>
      <c r="H490" s="25" t="s">
        <v>33</v>
      </c>
      <c r="I490">
        <v>115</v>
      </c>
      <c r="J490" t="b">
        <v>1</v>
      </c>
      <c r="K490" s="25" t="s">
        <v>32</v>
      </c>
      <c r="M490" s="25" t="s">
        <v>32</v>
      </c>
      <c r="N490">
        <v>0</v>
      </c>
      <c r="O490">
        <v>0</v>
      </c>
    </row>
    <row r="491" spans="1:15" x14ac:dyDescent="0.3">
      <c r="A491">
        <v>490</v>
      </c>
      <c r="B491">
        <v>62</v>
      </c>
      <c r="C491" s="25" t="s">
        <v>29</v>
      </c>
      <c r="D491" s="25" t="s">
        <v>18</v>
      </c>
      <c r="E491">
        <v>160</v>
      </c>
      <c r="F491">
        <v>193</v>
      </c>
      <c r="G491" t="b">
        <v>0</v>
      </c>
      <c r="H491" s="25" t="s">
        <v>26</v>
      </c>
      <c r="I491">
        <v>116</v>
      </c>
      <c r="J491" t="b">
        <v>0</v>
      </c>
      <c r="K491" s="25" t="s">
        <v>32</v>
      </c>
      <c r="M491" s="25" t="s">
        <v>32</v>
      </c>
      <c r="N491">
        <v>0</v>
      </c>
      <c r="O491">
        <v>0</v>
      </c>
    </row>
    <row r="492" spans="1:15" x14ac:dyDescent="0.3">
      <c r="A492">
        <v>491</v>
      </c>
      <c r="B492">
        <v>62</v>
      </c>
      <c r="C492" s="25" t="s">
        <v>16</v>
      </c>
      <c r="D492" s="25" t="s">
        <v>30</v>
      </c>
      <c r="E492">
        <v>140</v>
      </c>
      <c r="F492">
        <v>271</v>
      </c>
      <c r="G492" t="b">
        <v>0</v>
      </c>
      <c r="H492" s="25" t="s">
        <v>26</v>
      </c>
      <c r="I492">
        <v>152</v>
      </c>
      <c r="J492" t="b">
        <v>0</v>
      </c>
      <c r="K492" s="25" t="s">
        <v>31</v>
      </c>
      <c r="M492" s="25" t="s">
        <v>32</v>
      </c>
      <c r="N492">
        <v>0</v>
      </c>
      <c r="O492">
        <v>1</v>
      </c>
    </row>
    <row r="493" spans="1:15" x14ac:dyDescent="0.3">
      <c r="A493">
        <v>492</v>
      </c>
      <c r="B493">
        <v>31</v>
      </c>
      <c r="C493" s="25" t="s">
        <v>16</v>
      </c>
      <c r="D493" s="25" t="s">
        <v>24</v>
      </c>
      <c r="E493">
        <v>120</v>
      </c>
      <c r="F493">
        <v>270</v>
      </c>
      <c r="G493" t="b">
        <v>0</v>
      </c>
      <c r="H493" s="25" t="s">
        <v>26</v>
      </c>
      <c r="I493">
        <v>153</v>
      </c>
      <c r="J493" t="b">
        <v>1</v>
      </c>
      <c r="K493" s="25" t="s">
        <v>25</v>
      </c>
      <c r="M493" s="25" t="s">
        <v>32</v>
      </c>
      <c r="N493">
        <v>1</v>
      </c>
      <c r="O493">
        <v>0.5</v>
      </c>
    </row>
    <row r="494" spans="1:15" x14ac:dyDescent="0.3">
      <c r="A494">
        <v>493</v>
      </c>
      <c r="B494">
        <v>33</v>
      </c>
      <c r="C494" s="25" t="s">
        <v>29</v>
      </c>
      <c r="D494" s="25" t="s">
        <v>24</v>
      </c>
      <c r="E494">
        <v>100</v>
      </c>
      <c r="F494">
        <v>246</v>
      </c>
      <c r="G494" t="b">
        <v>0</v>
      </c>
      <c r="H494" s="25" t="s">
        <v>26</v>
      </c>
      <c r="I494">
        <v>150</v>
      </c>
      <c r="J494" t="b">
        <v>1</v>
      </c>
      <c r="K494" s="25" t="s">
        <v>25</v>
      </c>
      <c r="M494" s="25" t="s">
        <v>32</v>
      </c>
      <c r="N494">
        <v>1</v>
      </c>
      <c r="O494">
        <v>1</v>
      </c>
    </row>
    <row r="495" spans="1:15" x14ac:dyDescent="0.3">
      <c r="A495">
        <v>494</v>
      </c>
      <c r="B495">
        <v>34</v>
      </c>
      <c r="C495" s="25" t="s">
        <v>16</v>
      </c>
      <c r="D495" s="25" t="s">
        <v>18</v>
      </c>
      <c r="E495">
        <v>140</v>
      </c>
      <c r="F495">
        <v>156</v>
      </c>
      <c r="G495" t="b">
        <v>0</v>
      </c>
      <c r="H495" s="25" t="s">
        <v>26</v>
      </c>
      <c r="I495">
        <v>180</v>
      </c>
      <c r="J495" t="b">
        <v>0</v>
      </c>
      <c r="K495" s="25" t="s">
        <v>32</v>
      </c>
      <c r="M495" s="25" t="s">
        <v>32</v>
      </c>
      <c r="N495">
        <v>1</v>
      </c>
      <c r="O495">
        <v>0</v>
      </c>
    </row>
    <row r="496" spans="1:15" x14ac:dyDescent="0.3">
      <c r="A496">
        <v>495</v>
      </c>
      <c r="B496">
        <v>35</v>
      </c>
      <c r="C496" s="25" t="s">
        <v>16</v>
      </c>
      <c r="D496" s="25" t="s">
        <v>30</v>
      </c>
      <c r="E496">
        <v>110</v>
      </c>
      <c r="F496">
        <v>257</v>
      </c>
      <c r="G496" t="b">
        <v>0</v>
      </c>
      <c r="H496" s="25" t="s">
        <v>26</v>
      </c>
      <c r="I496">
        <v>140</v>
      </c>
      <c r="J496" t="b">
        <v>0</v>
      </c>
      <c r="K496" s="25" t="s">
        <v>32</v>
      </c>
      <c r="M496" s="25" t="s">
        <v>32</v>
      </c>
      <c r="N496">
        <v>1</v>
      </c>
      <c r="O496">
        <v>0</v>
      </c>
    </row>
    <row r="497" spans="1:15" x14ac:dyDescent="0.3">
      <c r="A497">
        <v>496</v>
      </c>
      <c r="B497">
        <v>36</v>
      </c>
      <c r="C497" s="25" t="s">
        <v>16</v>
      </c>
      <c r="D497" s="25" t="s">
        <v>30</v>
      </c>
      <c r="E497">
        <v>120</v>
      </c>
      <c r="F497">
        <v>267</v>
      </c>
      <c r="G497" t="b">
        <v>0</v>
      </c>
      <c r="H497" s="25" t="s">
        <v>26</v>
      </c>
      <c r="I497">
        <v>160</v>
      </c>
      <c r="J497" t="b">
        <v>0</v>
      </c>
      <c r="K497" s="25" t="s">
        <v>25</v>
      </c>
      <c r="M497" s="25" t="s">
        <v>32</v>
      </c>
      <c r="N497">
        <v>1</v>
      </c>
      <c r="O497">
        <v>3</v>
      </c>
    </row>
    <row r="498" spans="1:15" x14ac:dyDescent="0.3">
      <c r="A498">
        <v>497</v>
      </c>
      <c r="B498">
        <v>37</v>
      </c>
      <c r="C498" s="25" t="s">
        <v>16</v>
      </c>
      <c r="D498" s="25" t="s">
        <v>24</v>
      </c>
      <c r="E498">
        <v>140</v>
      </c>
      <c r="F498">
        <v>207</v>
      </c>
      <c r="G498" t="b">
        <v>0</v>
      </c>
      <c r="H498" s="25" t="s">
        <v>26</v>
      </c>
      <c r="I498">
        <v>130</v>
      </c>
      <c r="J498" t="b">
        <v>1</v>
      </c>
      <c r="K498" s="25" t="s">
        <v>25</v>
      </c>
      <c r="M498" s="25" t="s">
        <v>32</v>
      </c>
      <c r="N498">
        <v>1</v>
      </c>
      <c r="O498">
        <v>0.5</v>
      </c>
    </row>
    <row r="499" spans="1:15" x14ac:dyDescent="0.3">
      <c r="A499">
        <v>498</v>
      </c>
      <c r="B499">
        <v>38</v>
      </c>
      <c r="C499" s="25" t="s">
        <v>16</v>
      </c>
      <c r="D499" s="25" t="s">
        <v>24</v>
      </c>
      <c r="E499">
        <v>110</v>
      </c>
      <c r="F499">
        <v>196</v>
      </c>
      <c r="G499" t="b">
        <v>0</v>
      </c>
      <c r="H499" s="25" t="s">
        <v>26</v>
      </c>
      <c r="I499">
        <v>166</v>
      </c>
      <c r="J499" t="b">
        <v>0</v>
      </c>
      <c r="K499" s="25" t="s">
        <v>32</v>
      </c>
      <c r="M499" s="25" t="s">
        <v>32</v>
      </c>
      <c r="N499">
        <v>1</v>
      </c>
      <c r="O499">
        <v>0</v>
      </c>
    </row>
    <row r="500" spans="1:15" x14ac:dyDescent="0.3">
      <c r="A500">
        <v>499</v>
      </c>
      <c r="B500">
        <v>38</v>
      </c>
      <c r="C500" s="25" t="s">
        <v>16</v>
      </c>
      <c r="D500" s="25" t="s">
        <v>24</v>
      </c>
      <c r="E500">
        <v>120</v>
      </c>
      <c r="F500">
        <v>282</v>
      </c>
      <c r="G500" t="b">
        <v>0</v>
      </c>
      <c r="H500" s="25" t="s">
        <v>26</v>
      </c>
      <c r="I500">
        <v>170</v>
      </c>
      <c r="J500" t="b">
        <v>0</v>
      </c>
      <c r="K500" s="25" t="s">
        <v>32</v>
      </c>
      <c r="M500" s="25" t="s">
        <v>32</v>
      </c>
      <c r="N500">
        <v>1</v>
      </c>
      <c r="O500">
        <v>0</v>
      </c>
    </row>
    <row r="501" spans="1:15" x14ac:dyDescent="0.3">
      <c r="A501">
        <v>500</v>
      </c>
      <c r="B501">
        <v>38</v>
      </c>
      <c r="C501" s="25" t="s">
        <v>16</v>
      </c>
      <c r="D501" s="25" t="s">
        <v>24</v>
      </c>
      <c r="E501">
        <v>92</v>
      </c>
      <c r="F501">
        <v>117</v>
      </c>
      <c r="G501" t="b">
        <v>0</v>
      </c>
      <c r="H501" s="25" t="s">
        <v>26</v>
      </c>
      <c r="I501">
        <v>134</v>
      </c>
      <c r="J501" t="b">
        <v>1</v>
      </c>
      <c r="K501" s="25" t="s">
        <v>25</v>
      </c>
      <c r="M501" s="25" t="s">
        <v>32</v>
      </c>
      <c r="N501">
        <v>1</v>
      </c>
      <c r="O501">
        <v>0.5</v>
      </c>
    </row>
    <row r="502" spans="1:15" x14ac:dyDescent="0.3">
      <c r="A502">
        <v>501</v>
      </c>
      <c r="B502">
        <v>40</v>
      </c>
      <c r="C502" s="25" t="s">
        <v>16</v>
      </c>
      <c r="D502" s="25" t="s">
        <v>24</v>
      </c>
      <c r="E502">
        <v>120</v>
      </c>
      <c r="F502">
        <v>466</v>
      </c>
      <c r="H502" s="25" t="s">
        <v>26</v>
      </c>
      <c r="I502">
        <v>152</v>
      </c>
      <c r="J502" t="b">
        <v>1</v>
      </c>
      <c r="K502" s="25" t="s">
        <v>25</v>
      </c>
      <c r="M502" s="25" t="s">
        <v>23</v>
      </c>
      <c r="N502">
        <v>1</v>
      </c>
      <c r="O502">
        <v>1</v>
      </c>
    </row>
    <row r="503" spans="1:15" x14ac:dyDescent="0.3">
      <c r="A503">
        <v>502</v>
      </c>
      <c r="B503">
        <v>41</v>
      </c>
      <c r="C503" s="25" t="s">
        <v>16</v>
      </c>
      <c r="D503" s="25" t="s">
        <v>24</v>
      </c>
      <c r="E503">
        <v>110</v>
      </c>
      <c r="F503">
        <v>289</v>
      </c>
      <c r="G503" t="b">
        <v>0</v>
      </c>
      <c r="H503" s="25" t="s">
        <v>26</v>
      </c>
      <c r="I503">
        <v>170</v>
      </c>
      <c r="J503" t="b">
        <v>0</v>
      </c>
      <c r="K503" s="25" t="s">
        <v>32</v>
      </c>
      <c r="M503" s="25" t="s">
        <v>23</v>
      </c>
      <c r="N503">
        <v>1</v>
      </c>
      <c r="O503">
        <v>0</v>
      </c>
    </row>
    <row r="504" spans="1:15" x14ac:dyDescent="0.3">
      <c r="A504">
        <v>503</v>
      </c>
      <c r="B504">
        <v>41</v>
      </c>
      <c r="C504" s="25" t="s">
        <v>16</v>
      </c>
      <c r="D504" s="25" t="s">
        <v>24</v>
      </c>
      <c r="E504">
        <v>120</v>
      </c>
      <c r="F504">
        <v>237</v>
      </c>
      <c r="H504" s="25" t="s">
        <v>26</v>
      </c>
      <c r="I504">
        <v>138</v>
      </c>
      <c r="J504" t="b">
        <v>1</v>
      </c>
      <c r="K504" s="25" t="s">
        <v>25</v>
      </c>
      <c r="M504" s="25" t="s">
        <v>32</v>
      </c>
      <c r="N504">
        <v>1</v>
      </c>
      <c r="O504">
        <v>1</v>
      </c>
    </row>
    <row r="505" spans="1:15" x14ac:dyDescent="0.3">
      <c r="A505">
        <v>504</v>
      </c>
      <c r="B505">
        <v>43</v>
      </c>
      <c r="C505" s="25" t="s">
        <v>16</v>
      </c>
      <c r="D505" s="25" t="s">
        <v>24</v>
      </c>
      <c r="E505">
        <v>150</v>
      </c>
      <c r="F505">
        <v>247</v>
      </c>
      <c r="G505" t="b">
        <v>0</v>
      </c>
      <c r="H505" s="25" t="s">
        <v>26</v>
      </c>
      <c r="I505">
        <v>130</v>
      </c>
      <c r="J505" t="b">
        <v>1</v>
      </c>
      <c r="K505" s="25" t="s">
        <v>25</v>
      </c>
      <c r="M505" s="25" t="s">
        <v>32</v>
      </c>
      <c r="N505">
        <v>1</v>
      </c>
      <c r="O505">
        <v>2</v>
      </c>
    </row>
    <row r="506" spans="1:15" x14ac:dyDescent="0.3">
      <c r="A506">
        <v>505</v>
      </c>
      <c r="B506">
        <v>46</v>
      </c>
      <c r="C506" s="25" t="s">
        <v>16</v>
      </c>
      <c r="D506" s="25" t="s">
        <v>24</v>
      </c>
      <c r="E506">
        <v>110</v>
      </c>
      <c r="F506">
        <v>202</v>
      </c>
      <c r="G506" t="b">
        <v>0</v>
      </c>
      <c r="H506" s="25" t="s">
        <v>26</v>
      </c>
      <c r="I506">
        <v>150</v>
      </c>
      <c r="J506" t="b">
        <v>1</v>
      </c>
      <c r="K506" s="25" t="s">
        <v>32</v>
      </c>
      <c r="M506" s="25" t="s">
        <v>32</v>
      </c>
      <c r="N506">
        <v>1</v>
      </c>
      <c r="O506">
        <v>0</v>
      </c>
    </row>
    <row r="507" spans="1:15" x14ac:dyDescent="0.3">
      <c r="A507">
        <v>506</v>
      </c>
      <c r="B507">
        <v>46</v>
      </c>
      <c r="C507" s="25" t="s">
        <v>16</v>
      </c>
      <c r="D507" s="25" t="s">
        <v>24</v>
      </c>
      <c r="E507">
        <v>118</v>
      </c>
      <c r="F507">
        <v>186</v>
      </c>
      <c r="G507" t="b">
        <v>0</v>
      </c>
      <c r="H507" s="25" t="s">
        <v>26</v>
      </c>
      <c r="I507">
        <v>124</v>
      </c>
      <c r="J507" t="b">
        <v>0</v>
      </c>
      <c r="K507" s="25" t="s">
        <v>32</v>
      </c>
      <c r="M507" s="25" t="s">
        <v>27</v>
      </c>
      <c r="N507">
        <v>1</v>
      </c>
      <c r="O507">
        <v>0</v>
      </c>
    </row>
    <row r="508" spans="1:15" x14ac:dyDescent="0.3">
      <c r="A508">
        <v>507</v>
      </c>
      <c r="B508">
        <v>46</v>
      </c>
      <c r="C508" s="25" t="s">
        <v>16</v>
      </c>
      <c r="D508" s="25" t="s">
        <v>24</v>
      </c>
      <c r="E508">
        <v>120</v>
      </c>
      <c r="F508">
        <v>277</v>
      </c>
      <c r="G508" t="b">
        <v>0</v>
      </c>
      <c r="H508" s="25" t="s">
        <v>26</v>
      </c>
      <c r="I508">
        <v>125</v>
      </c>
      <c r="J508" t="b">
        <v>1</v>
      </c>
      <c r="K508" s="25" t="s">
        <v>25</v>
      </c>
      <c r="M508" s="25" t="s">
        <v>32</v>
      </c>
      <c r="N508">
        <v>1</v>
      </c>
      <c r="O508">
        <v>1</v>
      </c>
    </row>
    <row r="509" spans="1:15" x14ac:dyDescent="0.3">
      <c r="A509">
        <v>508</v>
      </c>
      <c r="B509">
        <v>47</v>
      </c>
      <c r="C509" s="25" t="s">
        <v>16</v>
      </c>
      <c r="D509" s="25" t="s">
        <v>28</v>
      </c>
      <c r="E509">
        <v>140</v>
      </c>
      <c r="F509">
        <v>193</v>
      </c>
      <c r="G509" t="b">
        <v>0</v>
      </c>
      <c r="H509" s="25" t="s">
        <v>26</v>
      </c>
      <c r="I509">
        <v>145</v>
      </c>
      <c r="J509" t="b">
        <v>1</v>
      </c>
      <c r="K509" s="25" t="s">
        <v>25</v>
      </c>
      <c r="M509" s="25" t="s">
        <v>32</v>
      </c>
      <c r="N509">
        <v>1</v>
      </c>
      <c r="O509">
        <v>1</v>
      </c>
    </row>
    <row r="510" spans="1:15" x14ac:dyDescent="0.3">
      <c r="A510">
        <v>509</v>
      </c>
      <c r="B510">
        <v>47</v>
      </c>
      <c r="C510" s="25" t="s">
        <v>16</v>
      </c>
      <c r="D510" s="25" t="s">
        <v>24</v>
      </c>
      <c r="E510">
        <v>150</v>
      </c>
      <c r="F510">
        <v>226</v>
      </c>
      <c r="G510" t="b">
        <v>0</v>
      </c>
      <c r="H510" s="25" t="s">
        <v>26</v>
      </c>
      <c r="I510">
        <v>98</v>
      </c>
      <c r="J510" t="b">
        <v>1</v>
      </c>
      <c r="K510" s="25" t="s">
        <v>25</v>
      </c>
      <c r="L510">
        <v>0</v>
      </c>
      <c r="M510" s="25" t="s">
        <v>27</v>
      </c>
      <c r="N510">
        <v>1</v>
      </c>
      <c r="O510">
        <v>0.5</v>
      </c>
    </row>
    <row r="511" spans="1:15" x14ac:dyDescent="0.3">
      <c r="A511">
        <v>510</v>
      </c>
      <c r="B511">
        <v>48</v>
      </c>
      <c r="C511" s="25" t="s">
        <v>16</v>
      </c>
      <c r="D511" s="25" t="s">
        <v>24</v>
      </c>
      <c r="E511">
        <v>106</v>
      </c>
      <c r="F511">
        <v>263</v>
      </c>
      <c r="G511" t="b">
        <v>1</v>
      </c>
      <c r="H511" s="25" t="s">
        <v>26</v>
      </c>
      <c r="I511">
        <v>110</v>
      </c>
      <c r="J511" t="b">
        <v>0</v>
      </c>
      <c r="K511" s="25" t="s">
        <v>32</v>
      </c>
      <c r="M511" s="25" t="s">
        <v>32</v>
      </c>
      <c r="N511">
        <v>1</v>
      </c>
      <c r="O511">
        <v>0</v>
      </c>
    </row>
    <row r="512" spans="1:15" x14ac:dyDescent="0.3">
      <c r="A512">
        <v>511</v>
      </c>
      <c r="B512">
        <v>48</v>
      </c>
      <c r="C512" s="25" t="s">
        <v>16</v>
      </c>
      <c r="D512" s="25" t="s">
        <v>24</v>
      </c>
      <c r="E512">
        <v>120</v>
      </c>
      <c r="F512">
        <v>260</v>
      </c>
      <c r="G512" t="b">
        <v>0</v>
      </c>
      <c r="H512" s="25" t="s">
        <v>26</v>
      </c>
      <c r="I512">
        <v>115</v>
      </c>
      <c r="J512" t="b">
        <v>0</v>
      </c>
      <c r="K512" s="25" t="s">
        <v>25</v>
      </c>
      <c r="M512" s="25" t="s">
        <v>32</v>
      </c>
      <c r="N512">
        <v>1</v>
      </c>
      <c r="O512">
        <v>2</v>
      </c>
    </row>
    <row r="513" spans="1:15" x14ac:dyDescent="0.3">
      <c r="A513">
        <v>512</v>
      </c>
      <c r="B513">
        <v>48</v>
      </c>
      <c r="C513" s="25" t="s">
        <v>16</v>
      </c>
      <c r="D513" s="25" t="s">
        <v>24</v>
      </c>
      <c r="E513">
        <v>160</v>
      </c>
      <c r="F513">
        <v>268</v>
      </c>
      <c r="G513" t="b">
        <v>0</v>
      </c>
      <c r="H513" s="25" t="s">
        <v>26</v>
      </c>
      <c r="I513">
        <v>103</v>
      </c>
      <c r="J513" t="b">
        <v>1</v>
      </c>
      <c r="K513" s="25" t="s">
        <v>25</v>
      </c>
      <c r="M513" s="25" t="s">
        <v>32</v>
      </c>
      <c r="N513">
        <v>1</v>
      </c>
      <c r="O513">
        <v>1</v>
      </c>
    </row>
    <row r="514" spans="1:15" x14ac:dyDescent="0.3">
      <c r="A514">
        <v>513</v>
      </c>
      <c r="B514">
        <v>49</v>
      </c>
      <c r="C514" s="25" t="s">
        <v>29</v>
      </c>
      <c r="D514" s="25" t="s">
        <v>28</v>
      </c>
      <c r="E514">
        <v>160</v>
      </c>
      <c r="F514">
        <v>180</v>
      </c>
      <c r="G514" t="b">
        <v>0</v>
      </c>
      <c r="H514" s="25" t="s">
        <v>26</v>
      </c>
      <c r="I514">
        <v>156</v>
      </c>
      <c r="J514" t="b">
        <v>0</v>
      </c>
      <c r="K514" s="25" t="s">
        <v>25</v>
      </c>
      <c r="M514" s="25" t="s">
        <v>32</v>
      </c>
      <c r="N514">
        <v>1</v>
      </c>
      <c r="O514">
        <v>1</v>
      </c>
    </row>
    <row r="515" spans="1:15" x14ac:dyDescent="0.3">
      <c r="A515">
        <v>514</v>
      </c>
      <c r="B515">
        <v>49</v>
      </c>
      <c r="C515" s="25" t="s">
        <v>16</v>
      </c>
      <c r="D515" s="25" t="s">
        <v>28</v>
      </c>
      <c r="E515">
        <v>115</v>
      </c>
      <c r="F515">
        <v>265</v>
      </c>
      <c r="G515" t="b">
        <v>0</v>
      </c>
      <c r="H515" s="25" t="s">
        <v>26</v>
      </c>
      <c r="I515">
        <v>175</v>
      </c>
      <c r="J515" t="b">
        <v>0</v>
      </c>
      <c r="K515" s="25" t="s">
        <v>32</v>
      </c>
      <c r="M515" s="25" t="s">
        <v>32</v>
      </c>
      <c r="N515">
        <v>1</v>
      </c>
      <c r="O515">
        <v>0</v>
      </c>
    </row>
    <row r="516" spans="1:15" x14ac:dyDescent="0.3">
      <c r="A516">
        <v>515</v>
      </c>
      <c r="B516">
        <v>49</v>
      </c>
      <c r="C516" s="25" t="s">
        <v>16</v>
      </c>
      <c r="D516" s="25" t="s">
        <v>24</v>
      </c>
      <c r="E516">
        <v>130</v>
      </c>
      <c r="F516">
        <v>206</v>
      </c>
      <c r="G516" t="b">
        <v>0</v>
      </c>
      <c r="H516" s="25" t="s">
        <v>26</v>
      </c>
      <c r="I516">
        <v>170</v>
      </c>
      <c r="J516" t="b">
        <v>0</v>
      </c>
      <c r="K516" s="25" t="s">
        <v>32</v>
      </c>
      <c r="M516" s="25" t="s">
        <v>32</v>
      </c>
      <c r="N516">
        <v>1</v>
      </c>
      <c r="O516">
        <v>0</v>
      </c>
    </row>
    <row r="517" spans="1:15" x14ac:dyDescent="0.3">
      <c r="A517">
        <v>516</v>
      </c>
      <c r="B517">
        <v>50</v>
      </c>
      <c r="C517" s="25" t="s">
        <v>29</v>
      </c>
      <c r="D517" s="25" t="s">
        <v>28</v>
      </c>
      <c r="E517">
        <v>140</v>
      </c>
      <c r="F517">
        <v>288</v>
      </c>
      <c r="G517" t="b">
        <v>0</v>
      </c>
      <c r="H517" s="25" t="s">
        <v>26</v>
      </c>
      <c r="I517">
        <v>140</v>
      </c>
      <c r="J517" t="b">
        <v>1</v>
      </c>
      <c r="K517" s="25" t="s">
        <v>32</v>
      </c>
      <c r="M517" s="25" t="s">
        <v>27</v>
      </c>
      <c r="N517">
        <v>1</v>
      </c>
      <c r="O517">
        <v>0</v>
      </c>
    </row>
    <row r="518" spans="1:15" x14ac:dyDescent="0.3">
      <c r="A518">
        <v>517</v>
      </c>
      <c r="B518">
        <v>50</v>
      </c>
      <c r="C518" s="25" t="s">
        <v>16</v>
      </c>
      <c r="D518" s="25" t="s">
        <v>24</v>
      </c>
      <c r="E518">
        <v>145</v>
      </c>
      <c r="F518">
        <v>264</v>
      </c>
      <c r="G518" t="b">
        <v>0</v>
      </c>
      <c r="H518" s="25" t="s">
        <v>26</v>
      </c>
      <c r="I518">
        <v>150</v>
      </c>
      <c r="J518" t="b">
        <v>0</v>
      </c>
      <c r="K518" s="25" t="s">
        <v>32</v>
      </c>
      <c r="M518" s="25" t="s">
        <v>32</v>
      </c>
      <c r="N518">
        <v>1</v>
      </c>
      <c r="O518">
        <v>0</v>
      </c>
    </row>
    <row r="519" spans="1:15" x14ac:dyDescent="0.3">
      <c r="A519">
        <v>518</v>
      </c>
      <c r="B519">
        <v>51</v>
      </c>
      <c r="C519" s="25" t="s">
        <v>29</v>
      </c>
      <c r="D519" s="25" t="s">
        <v>24</v>
      </c>
      <c r="E519">
        <v>160</v>
      </c>
      <c r="F519">
        <v>303</v>
      </c>
      <c r="G519" t="b">
        <v>0</v>
      </c>
      <c r="H519" s="25" t="s">
        <v>26</v>
      </c>
      <c r="I519">
        <v>150</v>
      </c>
      <c r="J519" t="b">
        <v>1</v>
      </c>
      <c r="K519" s="25" t="s">
        <v>25</v>
      </c>
      <c r="M519" s="25" t="s">
        <v>32</v>
      </c>
      <c r="N519">
        <v>1</v>
      </c>
      <c r="O519">
        <v>1</v>
      </c>
    </row>
    <row r="520" spans="1:15" x14ac:dyDescent="0.3">
      <c r="A520">
        <v>519</v>
      </c>
      <c r="B520">
        <v>52</v>
      </c>
      <c r="C520" s="25" t="s">
        <v>16</v>
      </c>
      <c r="D520" s="25" t="s">
        <v>24</v>
      </c>
      <c r="E520">
        <v>130</v>
      </c>
      <c r="F520">
        <v>225</v>
      </c>
      <c r="G520" t="b">
        <v>0</v>
      </c>
      <c r="H520" s="25" t="s">
        <v>26</v>
      </c>
      <c r="I520">
        <v>120</v>
      </c>
      <c r="J520" t="b">
        <v>1</v>
      </c>
      <c r="K520" s="25" t="s">
        <v>25</v>
      </c>
      <c r="M520" s="25" t="s">
        <v>32</v>
      </c>
      <c r="N520">
        <v>1</v>
      </c>
      <c r="O520">
        <v>2</v>
      </c>
    </row>
    <row r="521" spans="1:15" x14ac:dyDescent="0.3">
      <c r="A521">
        <v>520</v>
      </c>
      <c r="B521">
        <v>54</v>
      </c>
      <c r="C521" s="25" t="s">
        <v>16</v>
      </c>
      <c r="D521" s="25" t="s">
        <v>24</v>
      </c>
      <c r="E521">
        <v>125</v>
      </c>
      <c r="F521">
        <v>216</v>
      </c>
      <c r="G521" t="b">
        <v>0</v>
      </c>
      <c r="H521" s="25" t="s">
        <v>26</v>
      </c>
      <c r="I521">
        <v>140</v>
      </c>
      <c r="J521" t="b">
        <v>0</v>
      </c>
      <c r="K521" s="25" t="s">
        <v>32</v>
      </c>
      <c r="M521" s="25" t="s">
        <v>32</v>
      </c>
      <c r="N521">
        <v>1</v>
      </c>
      <c r="O521">
        <v>0</v>
      </c>
    </row>
    <row r="522" spans="1:15" x14ac:dyDescent="0.3">
      <c r="A522">
        <v>521</v>
      </c>
      <c r="B522">
        <v>54</v>
      </c>
      <c r="C522" s="25" t="s">
        <v>16</v>
      </c>
      <c r="D522" s="25" t="s">
        <v>24</v>
      </c>
      <c r="E522">
        <v>125</v>
      </c>
      <c r="F522">
        <v>224</v>
      </c>
      <c r="G522" t="b">
        <v>0</v>
      </c>
      <c r="H522" s="25" t="s">
        <v>26</v>
      </c>
      <c r="I522">
        <v>122</v>
      </c>
      <c r="J522" t="b">
        <v>0</v>
      </c>
      <c r="K522" s="25" t="s">
        <v>25</v>
      </c>
      <c r="M522" s="25" t="s">
        <v>32</v>
      </c>
      <c r="N522">
        <v>1</v>
      </c>
      <c r="O522">
        <v>2</v>
      </c>
    </row>
    <row r="523" spans="1:15" x14ac:dyDescent="0.3">
      <c r="A523">
        <v>522</v>
      </c>
      <c r="B523">
        <v>55</v>
      </c>
      <c r="C523" s="25" t="s">
        <v>16</v>
      </c>
      <c r="D523" s="25" t="s">
        <v>24</v>
      </c>
      <c r="E523">
        <v>140</v>
      </c>
      <c r="F523">
        <v>201</v>
      </c>
      <c r="G523" t="b">
        <v>0</v>
      </c>
      <c r="H523" s="25" t="s">
        <v>26</v>
      </c>
      <c r="I523">
        <v>130</v>
      </c>
      <c r="J523" t="b">
        <v>1</v>
      </c>
      <c r="K523" s="25" t="s">
        <v>25</v>
      </c>
      <c r="M523" s="25" t="s">
        <v>32</v>
      </c>
      <c r="N523">
        <v>1</v>
      </c>
      <c r="O523">
        <v>3</v>
      </c>
    </row>
    <row r="524" spans="1:15" x14ac:dyDescent="0.3">
      <c r="A524">
        <v>523</v>
      </c>
      <c r="B524">
        <v>57</v>
      </c>
      <c r="C524" s="25" t="s">
        <v>16</v>
      </c>
      <c r="D524" s="25" t="s">
        <v>30</v>
      </c>
      <c r="E524">
        <v>140</v>
      </c>
      <c r="F524">
        <v>265</v>
      </c>
      <c r="G524" t="b">
        <v>0</v>
      </c>
      <c r="H524" s="25" t="s">
        <v>33</v>
      </c>
      <c r="I524">
        <v>145</v>
      </c>
      <c r="J524" t="b">
        <v>1</v>
      </c>
      <c r="K524" s="25" t="s">
        <v>25</v>
      </c>
      <c r="M524" s="25" t="s">
        <v>32</v>
      </c>
      <c r="N524">
        <v>1</v>
      </c>
      <c r="O524">
        <v>1</v>
      </c>
    </row>
    <row r="525" spans="1:15" x14ac:dyDescent="0.3">
      <c r="A525">
        <v>524</v>
      </c>
      <c r="B525">
        <v>58</v>
      </c>
      <c r="C525" s="25" t="s">
        <v>16</v>
      </c>
      <c r="D525" s="25" t="s">
        <v>28</v>
      </c>
      <c r="E525">
        <v>130</v>
      </c>
      <c r="F525">
        <v>213</v>
      </c>
      <c r="G525" t="b">
        <v>0</v>
      </c>
      <c r="H525" s="25" t="s">
        <v>33</v>
      </c>
      <c r="I525">
        <v>140</v>
      </c>
      <c r="J525" t="b">
        <v>0</v>
      </c>
      <c r="K525" s="25" t="s">
        <v>32</v>
      </c>
      <c r="M525" s="25" t="s">
        <v>23</v>
      </c>
      <c r="N525">
        <v>1</v>
      </c>
      <c r="O525">
        <v>0</v>
      </c>
    </row>
    <row r="526" spans="1:15" x14ac:dyDescent="0.3">
      <c r="A526">
        <v>525</v>
      </c>
      <c r="B526">
        <v>59</v>
      </c>
      <c r="C526" s="25" t="s">
        <v>29</v>
      </c>
      <c r="D526" s="25" t="s">
        <v>24</v>
      </c>
      <c r="E526">
        <v>130</v>
      </c>
      <c r="F526">
        <v>338</v>
      </c>
      <c r="G526" t="b">
        <v>1</v>
      </c>
      <c r="H526" s="25" t="s">
        <v>33</v>
      </c>
      <c r="I526">
        <v>130</v>
      </c>
      <c r="J526" t="b">
        <v>1</v>
      </c>
      <c r="K526" s="25" t="s">
        <v>25</v>
      </c>
      <c r="M526" s="25" t="s">
        <v>32</v>
      </c>
      <c r="N526">
        <v>1</v>
      </c>
      <c r="O526">
        <v>0.5</v>
      </c>
    </row>
    <row r="527" spans="1:15" x14ac:dyDescent="0.3">
      <c r="A527">
        <v>526</v>
      </c>
      <c r="B527">
        <v>60</v>
      </c>
      <c r="C527" s="25" t="s">
        <v>16</v>
      </c>
      <c r="D527" s="25" t="s">
        <v>24</v>
      </c>
      <c r="E527">
        <v>100</v>
      </c>
      <c r="F527">
        <v>248</v>
      </c>
      <c r="G527" t="b">
        <v>0</v>
      </c>
      <c r="H527" s="25" t="s">
        <v>26</v>
      </c>
      <c r="I527">
        <v>125</v>
      </c>
      <c r="J527" t="b">
        <v>0</v>
      </c>
      <c r="K527" s="25" t="s">
        <v>25</v>
      </c>
      <c r="M527" s="25" t="s">
        <v>32</v>
      </c>
      <c r="N527">
        <v>1</v>
      </c>
      <c r="O527">
        <v>1</v>
      </c>
    </row>
    <row r="528" spans="1:15" x14ac:dyDescent="0.3">
      <c r="A528">
        <v>527</v>
      </c>
      <c r="B528">
        <v>63</v>
      </c>
      <c r="C528" s="25" t="s">
        <v>16</v>
      </c>
      <c r="D528" s="25" t="s">
        <v>24</v>
      </c>
      <c r="E528">
        <v>150</v>
      </c>
      <c r="F528">
        <v>223</v>
      </c>
      <c r="G528" t="b">
        <v>0</v>
      </c>
      <c r="H528" s="25" t="s">
        <v>26</v>
      </c>
      <c r="I528">
        <v>115</v>
      </c>
      <c r="J528" t="b">
        <v>0</v>
      </c>
      <c r="K528" s="25" t="s">
        <v>32</v>
      </c>
      <c r="M528" s="25" t="s">
        <v>32</v>
      </c>
      <c r="N528">
        <v>1</v>
      </c>
      <c r="O528">
        <v>0</v>
      </c>
    </row>
    <row r="529" spans="1:15" x14ac:dyDescent="0.3">
      <c r="A529">
        <v>528</v>
      </c>
      <c r="B529">
        <v>65</v>
      </c>
      <c r="C529" s="25" t="s">
        <v>16</v>
      </c>
      <c r="D529" s="25" t="s">
        <v>24</v>
      </c>
      <c r="E529">
        <v>140</v>
      </c>
      <c r="F529">
        <v>306</v>
      </c>
      <c r="G529" t="b">
        <v>1</v>
      </c>
      <c r="H529" s="25" t="s">
        <v>26</v>
      </c>
      <c r="I529">
        <v>87</v>
      </c>
      <c r="J529" t="b">
        <v>1</v>
      </c>
      <c r="K529" s="25" t="s">
        <v>25</v>
      </c>
      <c r="M529" s="25" t="s">
        <v>32</v>
      </c>
      <c r="N529">
        <v>1</v>
      </c>
      <c r="O529">
        <v>0.5</v>
      </c>
    </row>
    <row r="530" spans="1:15" x14ac:dyDescent="0.3">
      <c r="A530">
        <v>529</v>
      </c>
      <c r="B530">
        <v>32</v>
      </c>
      <c r="C530" s="25" t="s">
        <v>16</v>
      </c>
      <c r="D530" s="25" t="s">
        <v>24</v>
      </c>
      <c r="E530">
        <v>118</v>
      </c>
      <c r="F530">
        <v>529</v>
      </c>
      <c r="G530" t="b">
        <v>0</v>
      </c>
      <c r="H530" s="25" t="s">
        <v>26</v>
      </c>
      <c r="I530">
        <v>130</v>
      </c>
      <c r="J530" t="b">
        <v>0</v>
      </c>
      <c r="K530" s="25" t="s">
        <v>32</v>
      </c>
      <c r="M530" s="25" t="s">
        <v>32</v>
      </c>
      <c r="N530">
        <v>1</v>
      </c>
      <c r="O530">
        <v>0</v>
      </c>
    </row>
    <row r="531" spans="1:15" x14ac:dyDescent="0.3">
      <c r="A531">
        <v>530</v>
      </c>
      <c r="B531">
        <v>38</v>
      </c>
      <c r="C531" s="25" t="s">
        <v>16</v>
      </c>
      <c r="D531" s="25" t="s">
        <v>24</v>
      </c>
      <c r="E531">
        <v>110</v>
      </c>
      <c r="G531" t="b">
        <v>0</v>
      </c>
      <c r="H531" s="25" t="s">
        <v>26</v>
      </c>
      <c r="I531">
        <v>150</v>
      </c>
      <c r="J531" t="b">
        <v>1</v>
      </c>
      <c r="K531" s="25" t="s">
        <v>25</v>
      </c>
      <c r="M531" s="25" t="s">
        <v>32</v>
      </c>
      <c r="N531">
        <v>1</v>
      </c>
      <c r="O531">
        <v>1</v>
      </c>
    </row>
    <row r="532" spans="1:15" x14ac:dyDescent="0.3">
      <c r="A532">
        <v>531</v>
      </c>
      <c r="B532">
        <v>39</v>
      </c>
      <c r="C532" s="25" t="s">
        <v>16</v>
      </c>
      <c r="D532" s="25" t="s">
        <v>24</v>
      </c>
      <c r="E532">
        <v>110</v>
      </c>
      <c r="F532">
        <v>280</v>
      </c>
      <c r="G532" t="b">
        <v>0</v>
      </c>
      <c r="H532" s="25" t="s">
        <v>26</v>
      </c>
      <c r="I532">
        <v>150</v>
      </c>
      <c r="J532" t="b">
        <v>0</v>
      </c>
      <c r="K532" s="25" t="s">
        <v>32</v>
      </c>
      <c r="M532" s="25" t="s">
        <v>23</v>
      </c>
      <c r="N532">
        <v>1</v>
      </c>
      <c r="O532">
        <v>0</v>
      </c>
    </row>
    <row r="533" spans="1:15" x14ac:dyDescent="0.3">
      <c r="A533">
        <v>532</v>
      </c>
      <c r="B533">
        <v>40</v>
      </c>
      <c r="C533" s="25" t="s">
        <v>29</v>
      </c>
      <c r="D533" s="25" t="s">
        <v>24</v>
      </c>
      <c r="E533">
        <v>150</v>
      </c>
      <c r="F533">
        <v>392</v>
      </c>
      <c r="G533" t="b">
        <v>0</v>
      </c>
      <c r="H533" s="25" t="s">
        <v>26</v>
      </c>
      <c r="I533">
        <v>130</v>
      </c>
      <c r="J533" t="b">
        <v>0</v>
      </c>
      <c r="K533" s="25" t="s">
        <v>25</v>
      </c>
      <c r="M533" s="25" t="s">
        <v>23</v>
      </c>
      <c r="N533">
        <v>1</v>
      </c>
      <c r="O533">
        <v>2</v>
      </c>
    </row>
    <row r="534" spans="1:15" x14ac:dyDescent="0.3">
      <c r="A534">
        <v>533</v>
      </c>
      <c r="B534">
        <v>43</v>
      </c>
      <c r="C534" s="25" t="s">
        <v>16</v>
      </c>
      <c r="D534" s="25" t="s">
        <v>18</v>
      </c>
      <c r="E534">
        <v>120</v>
      </c>
      <c r="F534">
        <v>291</v>
      </c>
      <c r="G534" t="b">
        <v>0</v>
      </c>
      <c r="H534" s="25" t="s">
        <v>33</v>
      </c>
      <c r="I534">
        <v>155</v>
      </c>
      <c r="J534" t="b">
        <v>0</v>
      </c>
      <c r="K534" s="25" t="s">
        <v>32</v>
      </c>
      <c r="M534" s="25" t="s">
        <v>32</v>
      </c>
      <c r="N534">
        <v>1</v>
      </c>
      <c r="O534">
        <v>0</v>
      </c>
    </row>
    <row r="535" spans="1:15" x14ac:dyDescent="0.3">
      <c r="A535">
        <v>534</v>
      </c>
      <c r="B535">
        <v>45</v>
      </c>
      <c r="C535" s="25" t="s">
        <v>16</v>
      </c>
      <c r="D535" s="25" t="s">
        <v>24</v>
      </c>
      <c r="E535">
        <v>130</v>
      </c>
      <c r="F535">
        <v>219</v>
      </c>
      <c r="G535" t="b">
        <v>0</v>
      </c>
      <c r="H535" s="25" t="s">
        <v>33</v>
      </c>
      <c r="I535">
        <v>130</v>
      </c>
      <c r="J535" t="b">
        <v>1</v>
      </c>
      <c r="K535" s="25" t="s">
        <v>25</v>
      </c>
      <c r="M535" s="25" t="s">
        <v>32</v>
      </c>
      <c r="N535">
        <v>1</v>
      </c>
      <c r="O535">
        <v>1</v>
      </c>
    </row>
    <row r="536" spans="1:15" x14ac:dyDescent="0.3">
      <c r="A536">
        <v>535</v>
      </c>
      <c r="B536">
        <v>46</v>
      </c>
      <c r="C536" s="25" t="s">
        <v>16</v>
      </c>
      <c r="D536" s="25" t="s">
        <v>24</v>
      </c>
      <c r="E536">
        <v>120</v>
      </c>
      <c r="F536">
        <v>231</v>
      </c>
      <c r="G536" t="b">
        <v>0</v>
      </c>
      <c r="H536" s="25" t="s">
        <v>26</v>
      </c>
      <c r="I536">
        <v>115</v>
      </c>
      <c r="J536" t="b">
        <v>1</v>
      </c>
      <c r="K536" s="25" t="s">
        <v>32</v>
      </c>
      <c r="M536" s="25" t="s">
        <v>32</v>
      </c>
      <c r="N536">
        <v>1</v>
      </c>
      <c r="O536">
        <v>0</v>
      </c>
    </row>
    <row r="537" spans="1:15" x14ac:dyDescent="0.3">
      <c r="A537">
        <v>536</v>
      </c>
      <c r="B537">
        <v>46</v>
      </c>
      <c r="C537" s="25" t="s">
        <v>16</v>
      </c>
      <c r="D537" s="25" t="s">
        <v>24</v>
      </c>
      <c r="E537">
        <v>130</v>
      </c>
      <c r="F537">
        <v>222</v>
      </c>
      <c r="G537" t="b">
        <v>0</v>
      </c>
      <c r="H537" s="25" t="s">
        <v>26</v>
      </c>
      <c r="I537">
        <v>112</v>
      </c>
      <c r="J537" t="b">
        <v>0</v>
      </c>
      <c r="K537" s="25" t="s">
        <v>32</v>
      </c>
      <c r="M537" s="25" t="s">
        <v>32</v>
      </c>
      <c r="N537">
        <v>1</v>
      </c>
      <c r="O537">
        <v>0</v>
      </c>
    </row>
    <row r="538" spans="1:15" x14ac:dyDescent="0.3">
      <c r="A538">
        <v>537</v>
      </c>
      <c r="B538">
        <v>48</v>
      </c>
      <c r="C538" s="25" t="s">
        <v>16</v>
      </c>
      <c r="D538" s="25" t="s">
        <v>24</v>
      </c>
      <c r="E538">
        <v>122</v>
      </c>
      <c r="F538">
        <v>275</v>
      </c>
      <c r="G538" t="b">
        <v>1</v>
      </c>
      <c r="H538" s="25" t="s">
        <v>33</v>
      </c>
      <c r="I538">
        <v>150</v>
      </c>
      <c r="J538" t="b">
        <v>1</v>
      </c>
      <c r="K538" s="25" t="s">
        <v>22</v>
      </c>
      <c r="M538" s="25" t="s">
        <v>32</v>
      </c>
      <c r="N538">
        <v>1</v>
      </c>
      <c r="O538">
        <v>2</v>
      </c>
    </row>
    <row r="539" spans="1:15" x14ac:dyDescent="0.3">
      <c r="A539">
        <v>538</v>
      </c>
      <c r="B539">
        <v>48</v>
      </c>
      <c r="C539" s="25" t="s">
        <v>16</v>
      </c>
      <c r="D539" s="25" t="s">
        <v>24</v>
      </c>
      <c r="E539">
        <v>160</v>
      </c>
      <c r="F539">
        <v>193</v>
      </c>
      <c r="G539" t="b">
        <v>0</v>
      </c>
      <c r="H539" s="25" t="s">
        <v>26</v>
      </c>
      <c r="I539">
        <v>102</v>
      </c>
      <c r="J539" t="b">
        <v>1</v>
      </c>
      <c r="K539" s="25" t="s">
        <v>25</v>
      </c>
      <c r="M539" s="25" t="s">
        <v>32</v>
      </c>
      <c r="N539">
        <v>1</v>
      </c>
      <c r="O539">
        <v>3</v>
      </c>
    </row>
    <row r="540" spans="1:15" x14ac:dyDescent="0.3">
      <c r="A540">
        <v>539</v>
      </c>
      <c r="B540">
        <v>48</v>
      </c>
      <c r="C540" s="25" t="s">
        <v>16</v>
      </c>
      <c r="D540" s="25" t="s">
        <v>24</v>
      </c>
      <c r="E540">
        <v>160</v>
      </c>
      <c r="F540">
        <v>329</v>
      </c>
      <c r="G540" t="b">
        <v>0</v>
      </c>
      <c r="H540" s="25" t="s">
        <v>26</v>
      </c>
      <c r="I540">
        <v>92</v>
      </c>
      <c r="J540" t="b">
        <v>1</v>
      </c>
      <c r="K540" s="25" t="s">
        <v>25</v>
      </c>
      <c r="M540" s="25" t="s">
        <v>32</v>
      </c>
      <c r="N540">
        <v>1</v>
      </c>
      <c r="O540">
        <v>0.5</v>
      </c>
    </row>
    <row r="541" spans="1:15" x14ac:dyDescent="0.3">
      <c r="A541">
        <v>540</v>
      </c>
      <c r="B541">
        <v>48</v>
      </c>
      <c r="C541" s="25" t="s">
        <v>16</v>
      </c>
      <c r="D541" s="25" t="s">
        <v>24</v>
      </c>
      <c r="E541">
        <v>160</v>
      </c>
      <c r="F541">
        <v>355</v>
      </c>
      <c r="G541" t="b">
        <v>0</v>
      </c>
      <c r="H541" s="25" t="s">
        <v>26</v>
      </c>
      <c r="I541">
        <v>99</v>
      </c>
      <c r="J541" t="b">
        <v>1</v>
      </c>
      <c r="K541" s="25" t="s">
        <v>25</v>
      </c>
      <c r="M541" s="25" t="s">
        <v>32</v>
      </c>
      <c r="N541">
        <v>1</v>
      </c>
      <c r="O541">
        <v>2</v>
      </c>
    </row>
    <row r="542" spans="1:15" x14ac:dyDescent="0.3">
      <c r="A542">
        <v>541</v>
      </c>
      <c r="B542">
        <v>50</v>
      </c>
      <c r="C542" s="25" t="s">
        <v>16</v>
      </c>
      <c r="D542" s="25" t="s">
        <v>24</v>
      </c>
      <c r="E542">
        <v>130</v>
      </c>
      <c r="F542">
        <v>233</v>
      </c>
      <c r="G542" t="b">
        <v>0</v>
      </c>
      <c r="H542" s="25" t="s">
        <v>26</v>
      </c>
      <c r="I542">
        <v>121</v>
      </c>
      <c r="J542" t="b">
        <v>1</v>
      </c>
      <c r="K542" s="25" t="s">
        <v>25</v>
      </c>
      <c r="M542" s="25" t="s">
        <v>27</v>
      </c>
      <c r="N542">
        <v>1</v>
      </c>
      <c r="O542">
        <v>2</v>
      </c>
    </row>
    <row r="543" spans="1:15" x14ac:dyDescent="0.3">
      <c r="A543">
        <v>542</v>
      </c>
      <c r="B543">
        <v>52</v>
      </c>
      <c r="C543" s="25" t="s">
        <v>16</v>
      </c>
      <c r="D543" s="25" t="s">
        <v>24</v>
      </c>
      <c r="E543">
        <v>120</v>
      </c>
      <c r="F543">
        <v>182</v>
      </c>
      <c r="G543" t="b">
        <v>0</v>
      </c>
      <c r="H543" s="25" t="s">
        <v>26</v>
      </c>
      <c r="I543">
        <v>150</v>
      </c>
      <c r="J543" t="b">
        <v>0</v>
      </c>
      <c r="K543" s="25" t="s">
        <v>32</v>
      </c>
      <c r="M543" s="25" t="s">
        <v>32</v>
      </c>
      <c r="N543">
        <v>1</v>
      </c>
      <c r="O543">
        <v>0</v>
      </c>
    </row>
    <row r="544" spans="1:15" x14ac:dyDescent="0.3">
      <c r="A544">
        <v>543</v>
      </c>
      <c r="B544">
        <v>52</v>
      </c>
      <c r="C544" s="25" t="s">
        <v>16</v>
      </c>
      <c r="D544" s="25" t="s">
        <v>24</v>
      </c>
      <c r="E544">
        <v>170</v>
      </c>
      <c r="G544" t="b">
        <v>0</v>
      </c>
      <c r="H544" s="25" t="s">
        <v>26</v>
      </c>
      <c r="I544">
        <v>126</v>
      </c>
      <c r="J544" t="b">
        <v>1</v>
      </c>
      <c r="K544" s="25" t="s">
        <v>25</v>
      </c>
      <c r="M544" s="25" t="s">
        <v>32</v>
      </c>
      <c r="N544">
        <v>1</v>
      </c>
      <c r="O544">
        <v>0.5</v>
      </c>
    </row>
    <row r="545" spans="1:15" x14ac:dyDescent="0.3">
      <c r="A545">
        <v>544</v>
      </c>
      <c r="B545">
        <v>53</v>
      </c>
      <c r="C545" s="25" t="s">
        <v>16</v>
      </c>
      <c r="D545" s="25" t="s">
        <v>24</v>
      </c>
      <c r="E545">
        <v>120</v>
      </c>
      <c r="F545">
        <v>246</v>
      </c>
      <c r="G545" t="b">
        <v>0</v>
      </c>
      <c r="H545" s="25" t="s">
        <v>26</v>
      </c>
      <c r="I545">
        <v>116</v>
      </c>
      <c r="J545" t="b">
        <v>1</v>
      </c>
      <c r="K545" s="25" t="s">
        <v>32</v>
      </c>
      <c r="M545" s="25" t="s">
        <v>32</v>
      </c>
      <c r="N545">
        <v>1</v>
      </c>
      <c r="O545">
        <v>0</v>
      </c>
    </row>
    <row r="546" spans="1:15" x14ac:dyDescent="0.3">
      <c r="A546">
        <v>545</v>
      </c>
      <c r="B546">
        <v>54</v>
      </c>
      <c r="C546" s="25" t="s">
        <v>16</v>
      </c>
      <c r="D546" s="25" t="s">
        <v>28</v>
      </c>
      <c r="E546">
        <v>120</v>
      </c>
      <c r="F546">
        <v>237</v>
      </c>
      <c r="G546" t="b">
        <v>0</v>
      </c>
      <c r="H546" s="25" t="s">
        <v>26</v>
      </c>
      <c r="I546">
        <v>150</v>
      </c>
      <c r="J546" t="b">
        <v>1</v>
      </c>
      <c r="K546" s="25" t="s">
        <v>32</v>
      </c>
      <c r="M546" s="25" t="s">
        <v>27</v>
      </c>
      <c r="N546">
        <v>1</v>
      </c>
      <c r="O546">
        <v>0.5</v>
      </c>
    </row>
    <row r="547" spans="1:15" x14ac:dyDescent="0.3">
      <c r="A547">
        <v>546</v>
      </c>
      <c r="B547">
        <v>54</v>
      </c>
      <c r="C547" s="25" t="s">
        <v>16</v>
      </c>
      <c r="D547" s="25" t="s">
        <v>24</v>
      </c>
      <c r="E547">
        <v>130</v>
      </c>
      <c r="F547">
        <v>242</v>
      </c>
      <c r="G547" t="b">
        <v>0</v>
      </c>
      <c r="H547" s="25" t="s">
        <v>26</v>
      </c>
      <c r="I547">
        <v>91</v>
      </c>
      <c r="J547" t="b">
        <v>1</v>
      </c>
      <c r="K547" s="25" t="s">
        <v>25</v>
      </c>
      <c r="M547" s="25" t="s">
        <v>32</v>
      </c>
      <c r="N547">
        <v>1</v>
      </c>
      <c r="O547">
        <v>1</v>
      </c>
    </row>
    <row r="548" spans="1:15" x14ac:dyDescent="0.3">
      <c r="A548">
        <v>547</v>
      </c>
      <c r="B548">
        <v>54</v>
      </c>
      <c r="C548" s="25" t="s">
        <v>16</v>
      </c>
      <c r="D548" s="25" t="s">
        <v>24</v>
      </c>
      <c r="E548">
        <v>130</v>
      </c>
      <c r="F548">
        <v>603</v>
      </c>
      <c r="G548" t="b">
        <v>1</v>
      </c>
      <c r="H548" s="25" t="s">
        <v>26</v>
      </c>
      <c r="I548">
        <v>125</v>
      </c>
      <c r="J548" t="b">
        <v>1</v>
      </c>
      <c r="K548" s="25" t="s">
        <v>25</v>
      </c>
      <c r="M548" s="25" t="s">
        <v>32</v>
      </c>
      <c r="N548">
        <v>1</v>
      </c>
      <c r="O548">
        <v>1</v>
      </c>
    </row>
    <row r="549" spans="1:15" x14ac:dyDescent="0.3">
      <c r="A549">
        <v>548</v>
      </c>
      <c r="B549">
        <v>54</v>
      </c>
      <c r="C549" s="25" t="s">
        <v>16</v>
      </c>
      <c r="D549" s="25" t="s">
        <v>24</v>
      </c>
      <c r="E549">
        <v>140</v>
      </c>
      <c r="G549" t="b">
        <v>0</v>
      </c>
      <c r="H549" s="25" t="s">
        <v>26</v>
      </c>
      <c r="I549">
        <v>118</v>
      </c>
      <c r="J549" t="b">
        <v>1</v>
      </c>
      <c r="K549" s="25" t="s">
        <v>32</v>
      </c>
      <c r="M549" s="25" t="s">
        <v>32</v>
      </c>
      <c r="N549">
        <v>1</v>
      </c>
      <c r="O549">
        <v>0</v>
      </c>
    </row>
    <row r="550" spans="1:15" x14ac:dyDescent="0.3">
      <c r="A550">
        <v>549</v>
      </c>
      <c r="B550">
        <v>54</v>
      </c>
      <c r="C550" s="25" t="s">
        <v>16</v>
      </c>
      <c r="D550" s="25" t="s">
        <v>24</v>
      </c>
      <c r="E550">
        <v>200</v>
      </c>
      <c r="F550">
        <v>198</v>
      </c>
      <c r="G550" t="b">
        <v>0</v>
      </c>
      <c r="H550" s="25" t="s">
        <v>26</v>
      </c>
      <c r="I550">
        <v>142</v>
      </c>
      <c r="J550" t="b">
        <v>1</v>
      </c>
      <c r="K550" s="25" t="s">
        <v>25</v>
      </c>
      <c r="M550" s="25" t="s">
        <v>32</v>
      </c>
      <c r="N550">
        <v>1</v>
      </c>
      <c r="O550">
        <v>2</v>
      </c>
    </row>
    <row r="551" spans="1:15" x14ac:dyDescent="0.3">
      <c r="A551">
        <v>550</v>
      </c>
      <c r="B551">
        <v>55</v>
      </c>
      <c r="C551" s="25" t="s">
        <v>16</v>
      </c>
      <c r="D551" s="25" t="s">
        <v>24</v>
      </c>
      <c r="E551">
        <v>140</v>
      </c>
      <c r="F551">
        <v>268</v>
      </c>
      <c r="G551" t="b">
        <v>0</v>
      </c>
      <c r="H551" s="25" t="s">
        <v>26</v>
      </c>
      <c r="I551">
        <v>128</v>
      </c>
      <c r="J551" t="b">
        <v>1</v>
      </c>
      <c r="K551" s="25" t="s">
        <v>25</v>
      </c>
      <c r="M551" s="25" t="s">
        <v>32</v>
      </c>
      <c r="N551">
        <v>1</v>
      </c>
      <c r="O551">
        <v>0.5</v>
      </c>
    </row>
    <row r="552" spans="1:15" x14ac:dyDescent="0.3">
      <c r="A552">
        <v>551</v>
      </c>
      <c r="B552">
        <v>56</v>
      </c>
      <c r="C552" s="25" t="s">
        <v>16</v>
      </c>
      <c r="D552" s="25" t="s">
        <v>24</v>
      </c>
      <c r="E552">
        <v>150</v>
      </c>
      <c r="F552">
        <v>213</v>
      </c>
      <c r="G552" t="b">
        <v>1</v>
      </c>
      <c r="H552" s="25" t="s">
        <v>26</v>
      </c>
      <c r="I552">
        <v>125</v>
      </c>
      <c r="J552" t="b">
        <v>1</v>
      </c>
      <c r="K552" s="25" t="s">
        <v>25</v>
      </c>
      <c r="M552" s="25" t="s">
        <v>32</v>
      </c>
      <c r="N552">
        <v>1</v>
      </c>
      <c r="O552">
        <v>1</v>
      </c>
    </row>
    <row r="553" spans="1:15" x14ac:dyDescent="0.3">
      <c r="A553">
        <v>552</v>
      </c>
      <c r="B553">
        <v>57</v>
      </c>
      <c r="C553" s="25" t="s">
        <v>16</v>
      </c>
      <c r="D553" s="25" t="s">
        <v>24</v>
      </c>
      <c r="E553">
        <v>150</v>
      </c>
      <c r="F553">
        <v>255</v>
      </c>
      <c r="G553" t="b">
        <v>0</v>
      </c>
      <c r="H553" s="25" t="s">
        <v>26</v>
      </c>
      <c r="I553">
        <v>92</v>
      </c>
      <c r="J553" t="b">
        <v>1</v>
      </c>
      <c r="K553" s="25" t="s">
        <v>25</v>
      </c>
      <c r="M553" s="25" t="s">
        <v>32</v>
      </c>
      <c r="N553">
        <v>1</v>
      </c>
      <c r="O553">
        <v>3</v>
      </c>
    </row>
    <row r="554" spans="1:15" x14ac:dyDescent="0.3">
      <c r="A554">
        <v>553</v>
      </c>
      <c r="B554">
        <v>58</v>
      </c>
      <c r="C554" s="25" t="s">
        <v>16</v>
      </c>
      <c r="D554" s="25" t="s">
        <v>28</v>
      </c>
      <c r="E554">
        <v>160</v>
      </c>
      <c r="F554">
        <v>211</v>
      </c>
      <c r="G554" t="b">
        <v>1</v>
      </c>
      <c r="H554" s="25" t="s">
        <v>33</v>
      </c>
      <c r="I554">
        <v>92</v>
      </c>
      <c r="J554" t="b">
        <v>0</v>
      </c>
      <c r="K554" s="25" t="s">
        <v>32</v>
      </c>
      <c r="M554" s="25" t="s">
        <v>32</v>
      </c>
      <c r="N554">
        <v>1</v>
      </c>
      <c r="O554">
        <v>0</v>
      </c>
    </row>
    <row r="555" spans="1:15" x14ac:dyDescent="0.3">
      <c r="A555">
        <v>554</v>
      </c>
      <c r="B555">
        <v>58</v>
      </c>
      <c r="C555" s="25" t="s">
        <v>16</v>
      </c>
      <c r="D555" s="25" t="s">
        <v>24</v>
      </c>
      <c r="E555">
        <v>130</v>
      </c>
      <c r="F555">
        <v>263</v>
      </c>
      <c r="G555" t="b">
        <v>0</v>
      </c>
      <c r="H555" s="25" t="s">
        <v>26</v>
      </c>
      <c r="I555">
        <v>140</v>
      </c>
      <c r="J555" t="b">
        <v>1</v>
      </c>
      <c r="K555" s="25" t="s">
        <v>25</v>
      </c>
      <c r="M555" s="25" t="s">
        <v>32</v>
      </c>
      <c r="N555">
        <v>1</v>
      </c>
      <c r="O555">
        <v>2</v>
      </c>
    </row>
    <row r="556" spans="1:15" x14ac:dyDescent="0.3">
      <c r="A556">
        <v>555</v>
      </c>
      <c r="B556">
        <v>41</v>
      </c>
      <c r="C556" s="25" t="s">
        <v>16</v>
      </c>
      <c r="D556" s="25" t="s">
        <v>24</v>
      </c>
      <c r="E556">
        <v>130</v>
      </c>
      <c r="F556">
        <v>172</v>
      </c>
      <c r="G556" t="b">
        <v>0</v>
      </c>
      <c r="H556" s="25" t="s">
        <v>33</v>
      </c>
      <c r="I556">
        <v>130</v>
      </c>
      <c r="J556" t="b">
        <v>0</v>
      </c>
      <c r="K556" s="25" t="s">
        <v>25</v>
      </c>
      <c r="M556" s="25" t="s">
        <v>32</v>
      </c>
      <c r="N556">
        <v>1</v>
      </c>
      <c r="O556">
        <v>2</v>
      </c>
    </row>
    <row r="557" spans="1:15" x14ac:dyDescent="0.3">
      <c r="A557">
        <v>556</v>
      </c>
      <c r="B557">
        <v>43</v>
      </c>
      <c r="C557" s="25" t="s">
        <v>16</v>
      </c>
      <c r="D557" s="25" t="s">
        <v>24</v>
      </c>
      <c r="E557">
        <v>120</v>
      </c>
      <c r="F557">
        <v>175</v>
      </c>
      <c r="G557" t="b">
        <v>0</v>
      </c>
      <c r="H557" s="25" t="s">
        <v>26</v>
      </c>
      <c r="I557">
        <v>120</v>
      </c>
      <c r="J557" t="b">
        <v>1</v>
      </c>
      <c r="K557" s="25" t="s">
        <v>25</v>
      </c>
      <c r="M557" s="25" t="s">
        <v>27</v>
      </c>
      <c r="N557">
        <v>1</v>
      </c>
      <c r="O557">
        <v>1</v>
      </c>
    </row>
    <row r="558" spans="1:15" x14ac:dyDescent="0.3">
      <c r="A558">
        <v>557</v>
      </c>
      <c r="B558">
        <v>44</v>
      </c>
      <c r="C558" s="25" t="s">
        <v>16</v>
      </c>
      <c r="D558" s="25" t="s">
        <v>30</v>
      </c>
      <c r="E558">
        <v>150</v>
      </c>
      <c r="F558">
        <v>288</v>
      </c>
      <c r="G558" t="b">
        <v>0</v>
      </c>
      <c r="H558" s="25" t="s">
        <v>26</v>
      </c>
      <c r="I558">
        <v>150</v>
      </c>
      <c r="J558" t="b">
        <v>1</v>
      </c>
      <c r="K558" s="25" t="s">
        <v>25</v>
      </c>
      <c r="M558" s="25" t="s">
        <v>32</v>
      </c>
      <c r="N558">
        <v>1</v>
      </c>
      <c r="O558">
        <v>3</v>
      </c>
    </row>
    <row r="559" spans="1:15" x14ac:dyDescent="0.3">
      <c r="A559">
        <v>558</v>
      </c>
      <c r="B559">
        <v>44</v>
      </c>
      <c r="C559" s="25" t="s">
        <v>16</v>
      </c>
      <c r="D559" s="25" t="s">
        <v>24</v>
      </c>
      <c r="E559">
        <v>130</v>
      </c>
      <c r="F559">
        <v>290</v>
      </c>
      <c r="G559" t="b">
        <v>0</v>
      </c>
      <c r="H559" s="25" t="s">
        <v>26</v>
      </c>
      <c r="I559">
        <v>100</v>
      </c>
      <c r="J559" t="b">
        <v>1</v>
      </c>
      <c r="K559" s="25" t="s">
        <v>25</v>
      </c>
      <c r="M559" s="25" t="s">
        <v>32</v>
      </c>
      <c r="N559">
        <v>1</v>
      </c>
      <c r="O559">
        <v>2</v>
      </c>
    </row>
    <row r="560" spans="1:15" x14ac:dyDescent="0.3">
      <c r="A560">
        <v>559</v>
      </c>
      <c r="B560">
        <v>46</v>
      </c>
      <c r="C560" s="25" t="s">
        <v>16</v>
      </c>
      <c r="D560" s="25" t="s">
        <v>18</v>
      </c>
      <c r="E560">
        <v>140</v>
      </c>
      <c r="F560">
        <v>272</v>
      </c>
      <c r="G560" t="b">
        <v>1</v>
      </c>
      <c r="H560" s="25" t="s">
        <v>26</v>
      </c>
      <c r="I560">
        <v>175</v>
      </c>
      <c r="J560" t="b">
        <v>0</v>
      </c>
      <c r="K560" s="25" t="s">
        <v>25</v>
      </c>
      <c r="M560" s="25" t="s">
        <v>32</v>
      </c>
      <c r="N560">
        <v>1</v>
      </c>
      <c r="O560">
        <v>2</v>
      </c>
    </row>
    <row r="561" spans="1:15" x14ac:dyDescent="0.3">
      <c r="A561">
        <v>560</v>
      </c>
      <c r="B561">
        <v>47</v>
      </c>
      <c r="C561" s="25" t="s">
        <v>29</v>
      </c>
      <c r="D561" s="25" t="s">
        <v>28</v>
      </c>
      <c r="E561">
        <v>135</v>
      </c>
      <c r="F561">
        <v>248</v>
      </c>
      <c r="G561" t="b">
        <v>1</v>
      </c>
      <c r="H561" s="25" t="s">
        <v>26</v>
      </c>
      <c r="I561">
        <v>170</v>
      </c>
      <c r="J561" t="b">
        <v>0</v>
      </c>
      <c r="K561" s="25" t="s">
        <v>32</v>
      </c>
      <c r="M561" s="25" t="s">
        <v>32</v>
      </c>
      <c r="N561">
        <v>1</v>
      </c>
      <c r="O561">
        <v>0</v>
      </c>
    </row>
    <row r="562" spans="1:15" x14ac:dyDescent="0.3">
      <c r="A562">
        <v>561</v>
      </c>
      <c r="B562">
        <v>48</v>
      </c>
      <c r="C562" s="25" t="s">
        <v>29</v>
      </c>
      <c r="D562" s="25" t="s">
        <v>24</v>
      </c>
      <c r="E562">
        <v>138</v>
      </c>
      <c r="F562">
        <v>214</v>
      </c>
      <c r="G562" t="b">
        <v>0</v>
      </c>
      <c r="H562" s="25" t="s">
        <v>26</v>
      </c>
      <c r="I562">
        <v>108</v>
      </c>
      <c r="J562" t="b">
        <v>1</v>
      </c>
      <c r="K562" s="25" t="s">
        <v>25</v>
      </c>
      <c r="M562" s="25" t="s">
        <v>32</v>
      </c>
      <c r="N562">
        <v>1</v>
      </c>
      <c r="O562">
        <v>0.5</v>
      </c>
    </row>
    <row r="563" spans="1:15" x14ac:dyDescent="0.3">
      <c r="A563">
        <v>562</v>
      </c>
      <c r="B563">
        <v>49</v>
      </c>
      <c r="C563" s="25" t="s">
        <v>16</v>
      </c>
      <c r="D563" s="25" t="s">
        <v>24</v>
      </c>
      <c r="E563">
        <v>130</v>
      </c>
      <c r="F563">
        <v>341</v>
      </c>
      <c r="G563" t="b">
        <v>0</v>
      </c>
      <c r="H563" s="25" t="s">
        <v>26</v>
      </c>
      <c r="I563">
        <v>120</v>
      </c>
      <c r="J563" t="b">
        <v>1</v>
      </c>
      <c r="K563" s="25" t="s">
        <v>25</v>
      </c>
      <c r="M563" s="25" t="s">
        <v>32</v>
      </c>
      <c r="N563">
        <v>1</v>
      </c>
      <c r="O563">
        <v>1</v>
      </c>
    </row>
    <row r="564" spans="1:15" x14ac:dyDescent="0.3">
      <c r="A564">
        <v>563</v>
      </c>
      <c r="B564">
        <v>49</v>
      </c>
      <c r="C564" s="25" t="s">
        <v>16</v>
      </c>
      <c r="D564" s="25" t="s">
        <v>24</v>
      </c>
      <c r="E564">
        <v>140</v>
      </c>
      <c r="F564">
        <v>234</v>
      </c>
      <c r="G564" t="b">
        <v>0</v>
      </c>
      <c r="H564" s="25" t="s">
        <v>26</v>
      </c>
      <c r="I564">
        <v>140</v>
      </c>
      <c r="J564" t="b">
        <v>1</v>
      </c>
      <c r="K564" s="25" t="s">
        <v>25</v>
      </c>
      <c r="M564" s="25" t="s">
        <v>32</v>
      </c>
      <c r="N564">
        <v>1</v>
      </c>
      <c r="O564">
        <v>1</v>
      </c>
    </row>
    <row r="565" spans="1:15" x14ac:dyDescent="0.3">
      <c r="A565">
        <v>564</v>
      </c>
      <c r="B565">
        <v>51</v>
      </c>
      <c r="C565" s="25" t="s">
        <v>16</v>
      </c>
      <c r="D565" s="25" t="s">
        <v>28</v>
      </c>
      <c r="E565">
        <v>135</v>
      </c>
      <c r="F565">
        <v>160</v>
      </c>
      <c r="G565" t="b">
        <v>0</v>
      </c>
      <c r="H565" s="25" t="s">
        <v>26</v>
      </c>
      <c r="I565">
        <v>150</v>
      </c>
      <c r="J565" t="b">
        <v>0</v>
      </c>
      <c r="K565" s="25" t="s">
        <v>25</v>
      </c>
      <c r="M565" s="25" t="s">
        <v>32</v>
      </c>
      <c r="N565">
        <v>1</v>
      </c>
      <c r="O565">
        <v>2</v>
      </c>
    </row>
    <row r="566" spans="1:15" x14ac:dyDescent="0.3">
      <c r="A566">
        <v>565</v>
      </c>
      <c r="B566">
        <v>52</v>
      </c>
      <c r="C566" s="25" t="s">
        <v>16</v>
      </c>
      <c r="D566" s="25" t="s">
        <v>24</v>
      </c>
      <c r="E566">
        <v>112</v>
      </c>
      <c r="F566">
        <v>342</v>
      </c>
      <c r="G566" t="b">
        <v>0</v>
      </c>
      <c r="H566" s="25" t="s">
        <v>33</v>
      </c>
      <c r="I566">
        <v>96</v>
      </c>
      <c r="J566" t="b">
        <v>1</v>
      </c>
      <c r="K566" s="25" t="s">
        <v>25</v>
      </c>
      <c r="M566" s="25" t="s">
        <v>32</v>
      </c>
      <c r="N566">
        <v>1</v>
      </c>
      <c r="O566">
        <v>1</v>
      </c>
    </row>
    <row r="567" spans="1:15" x14ac:dyDescent="0.3">
      <c r="A567">
        <v>566</v>
      </c>
      <c r="B567">
        <v>52</v>
      </c>
      <c r="C567" s="25" t="s">
        <v>16</v>
      </c>
      <c r="D567" s="25" t="s">
        <v>24</v>
      </c>
      <c r="E567">
        <v>130</v>
      </c>
      <c r="F567">
        <v>298</v>
      </c>
      <c r="G567" t="b">
        <v>0</v>
      </c>
      <c r="H567" s="25" t="s">
        <v>26</v>
      </c>
      <c r="I567">
        <v>110</v>
      </c>
      <c r="J567" t="b">
        <v>1</v>
      </c>
      <c r="K567" s="25" t="s">
        <v>25</v>
      </c>
      <c r="M567" s="25" t="s">
        <v>32</v>
      </c>
      <c r="N567">
        <v>1</v>
      </c>
      <c r="O567">
        <v>1</v>
      </c>
    </row>
    <row r="568" spans="1:15" x14ac:dyDescent="0.3">
      <c r="A568">
        <v>567</v>
      </c>
      <c r="B568">
        <v>52</v>
      </c>
      <c r="C568" s="25" t="s">
        <v>16</v>
      </c>
      <c r="D568" s="25" t="s">
        <v>24</v>
      </c>
      <c r="E568">
        <v>140</v>
      </c>
      <c r="F568">
        <v>404</v>
      </c>
      <c r="G568" t="b">
        <v>0</v>
      </c>
      <c r="H568" s="25" t="s">
        <v>26</v>
      </c>
      <c r="I568">
        <v>124</v>
      </c>
      <c r="J568" t="b">
        <v>1</v>
      </c>
      <c r="K568" s="25" t="s">
        <v>25</v>
      </c>
      <c r="M568" s="25" t="s">
        <v>32</v>
      </c>
      <c r="N568">
        <v>1</v>
      </c>
      <c r="O568">
        <v>2</v>
      </c>
    </row>
    <row r="569" spans="1:15" x14ac:dyDescent="0.3">
      <c r="A569">
        <v>568</v>
      </c>
      <c r="B569">
        <v>52</v>
      </c>
      <c r="C569" s="25" t="s">
        <v>16</v>
      </c>
      <c r="D569" s="25" t="s">
        <v>24</v>
      </c>
      <c r="E569">
        <v>160</v>
      </c>
      <c r="F569">
        <v>246</v>
      </c>
      <c r="G569" t="b">
        <v>0</v>
      </c>
      <c r="H569" s="25" t="s">
        <v>33</v>
      </c>
      <c r="I569">
        <v>82</v>
      </c>
      <c r="J569" t="b">
        <v>1</v>
      </c>
      <c r="K569" s="25" t="s">
        <v>25</v>
      </c>
      <c r="M569" s="25" t="s">
        <v>32</v>
      </c>
      <c r="N569">
        <v>1</v>
      </c>
      <c r="O569">
        <v>4</v>
      </c>
    </row>
    <row r="570" spans="1:15" x14ac:dyDescent="0.3">
      <c r="A570">
        <v>569</v>
      </c>
      <c r="B570">
        <v>53</v>
      </c>
      <c r="C570" s="25" t="s">
        <v>16</v>
      </c>
      <c r="D570" s="25" t="s">
        <v>28</v>
      </c>
      <c r="E570">
        <v>145</v>
      </c>
      <c r="F570">
        <v>518</v>
      </c>
      <c r="G570" t="b">
        <v>0</v>
      </c>
      <c r="H570" s="25" t="s">
        <v>26</v>
      </c>
      <c r="I570">
        <v>130</v>
      </c>
      <c r="J570" t="b">
        <v>0</v>
      </c>
      <c r="K570" s="25" t="s">
        <v>32</v>
      </c>
      <c r="M570" s="25" t="s">
        <v>32</v>
      </c>
      <c r="N570">
        <v>1</v>
      </c>
      <c r="O570">
        <v>0</v>
      </c>
    </row>
    <row r="571" spans="1:15" x14ac:dyDescent="0.3">
      <c r="A571">
        <v>570</v>
      </c>
      <c r="B571">
        <v>53</v>
      </c>
      <c r="C571" s="25" t="s">
        <v>16</v>
      </c>
      <c r="D571" s="25" t="s">
        <v>24</v>
      </c>
      <c r="E571">
        <v>180</v>
      </c>
      <c r="F571">
        <v>285</v>
      </c>
      <c r="G571" t="b">
        <v>0</v>
      </c>
      <c r="H571" s="25" t="s">
        <v>33</v>
      </c>
      <c r="I571">
        <v>120</v>
      </c>
      <c r="J571" t="b">
        <v>1</v>
      </c>
      <c r="K571" s="25" t="s">
        <v>25</v>
      </c>
      <c r="M571" s="25" t="s">
        <v>32</v>
      </c>
      <c r="N571">
        <v>1</v>
      </c>
      <c r="O571">
        <v>0.5</v>
      </c>
    </row>
    <row r="572" spans="1:15" x14ac:dyDescent="0.3">
      <c r="A572">
        <v>571</v>
      </c>
      <c r="B572">
        <v>54</v>
      </c>
      <c r="C572" s="25" t="s">
        <v>16</v>
      </c>
      <c r="D572" s="25" t="s">
        <v>24</v>
      </c>
      <c r="E572">
        <v>140</v>
      </c>
      <c r="F572">
        <v>216</v>
      </c>
      <c r="G572" t="b">
        <v>0</v>
      </c>
      <c r="H572" s="25" t="s">
        <v>26</v>
      </c>
      <c r="I572">
        <v>105</v>
      </c>
      <c r="J572" t="b">
        <v>0</v>
      </c>
      <c r="K572" s="25" t="s">
        <v>25</v>
      </c>
      <c r="M572" s="25" t="s">
        <v>32</v>
      </c>
      <c r="N572">
        <v>1</v>
      </c>
      <c r="O572">
        <v>0.5</v>
      </c>
    </row>
    <row r="573" spans="1:15" x14ac:dyDescent="0.3">
      <c r="A573">
        <v>572</v>
      </c>
      <c r="B573">
        <v>55</v>
      </c>
      <c r="C573" s="25" t="s">
        <v>16</v>
      </c>
      <c r="D573" s="25" t="s">
        <v>18</v>
      </c>
      <c r="E573">
        <v>140</v>
      </c>
      <c r="F573">
        <v>295</v>
      </c>
      <c r="G573" t="b">
        <v>0</v>
      </c>
      <c r="H573" s="25" t="s">
        <v>32</v>
      </c>
      <c r="I573">
        <v>136</v>
      </c>
      <c r="J573" t="b">
        <v>0</v>
      </c>
      <c r="K573" s="25" t="s">
        <v>32</v>
      </c>
      <c r="M573" s="25" t="s">
        <v>32</v>
      </c>
      <c r="N573">
        <v>1</v>
      </c>
      <c r="O573">
        <v>0</v>
      </c>
    </row>
    <row r="574" spans="1:15" x14ac:dyDescent="0.3">
      <c r="A574">
        <v>573</v>
      </c>
      <c r="B574">
        <v>55</v>
      </c>
      <c r="C574" s="25" t="s">
        <v>16</v>
      </c>
      <c r="D574" s="25" t="s">
        <v>30</v>
      </c>
      <c r="E574">
        <v>160</v>
      </c>
      <c r="F574">
        <v>292</v>
      </c>
      <c r="G574" t="b">
        <v>1</v>
      </c>
      <c r="H574" s="25" t="s">
        <v>26</v>
      </c>
      <c r="I574">
        <v>143</v>
      </c>
      <c r="J574" t="b">
        <v>1</v>
      </c>
      <c r="K574" s="25" t="s">
        <v>25</v>
      </c>
      <c r="M574" s="25" t="s">
        <v>32</v>
      </c>
      <c r="N574">
        <v>1</v>
      </c>
      <c r="O574">
        <v>2</v>
      </c>
    </row>
    <row r="575" spans="1:15" x14ac:dyDescent="0.3">
      <c r="A575">
        <v>574</v>
      </c>
      <c r="B575">
        <v>55</v>
      </c>
      <c r="C575" s="25" t="s">
        <v>16</v>
      </c>
      <c r="D575" s="25" t="s">
        <v>24</v>
      </c>
      <c r="E575">
        <v>145</v>
      </c>
      <c r="F575">
        <v>248</v>
      </c>
      <c r="G575" t="b">
        <v>0</v>
      </c>
      <c r="H575" s="25" t="s">
        <v>26</v>
      </c>
      <c r="I575">
        <v>96</v>
      </c>
      <c r="J575" t="b">
        <v>1</v>
      </c>
      <c r="K575" s="25" t="s">
        <v>25</v>
      </c>
      <c r="M575" s="25" t="s">
        <v>32</v>
      </c>
      <c r="N575">
        <v>1</v>
      </c>
      <c r="O575">
        <v>2</v>
      </c>
    </row>
    <row r="576" spans="1:15" x14ac:dyDescent="0.3">
      <c r="A576">
        <v>575</v>
      </c>
      <c r="B576">
        <v>56</v>
      </c>
      <c r="C576" s="25" t="s">
        <v>29</v>
      </c>
      <c r="D576" s="25" t="s">
        <v>30</v>
      </c>
      <c r="E576">
        <v>120</v>
      </c>
      <c r="F576">
        <v>279</v>
      </c>
      <c r="G576" t="b">
        <v>0</v>
      </c>
      <c r="H576" s="25" t="s">
        <v>26</v>
      </c>
      <c r="I576">
        <v>150</v>
      </c>
      <c r="J576" t="b">
        <v>0</v>
      </c>
      <c r="K576" s="25" t="s">
        <v>25</v>
      </c>
      <c r="M576" s="25" t="s">
        <v>32</v>
      </c>
      <c r="N576">
        <v>1</v>
      </c>
      <c r="O576">
        <v>1</v>
      </c>
    </row>
    <row r="577" spans="1:15" x14ac:dyDescent="0.3">
      <c r="A577">
        <v>576</v>
      </c>
      <c r="B577">
        <v>56</v>
      </c>
      <c r="C577" s="25" t="s">
        <v>16</v>
      </c>
      <c r="D577" s="25" t="s">
        <v>24</v>
      </c>
      <c r="E577">
        <v>150</v>
      </c>
      <c r="F577">
        <v>230</v>
      </c>
      <c r="G577" t="b">
        <v>0</v>
      </c>
      <c r="H577" s="25" t="s">
        <v>33</v>
      </c>
      <c r="I577">
        <v>124</v>
      </c>
      <c r="J577" t="b">
        <v>1</v>
      </c>
      <c r="K577" s="25" t="s">
        <v>25</v>
      </c>
      <c r="M577" s="25" t="s">
        <v>32</v>
      </c>
      <c r="N577">
        <v>1</v>
      </c>
      <c r="O577">
        <v>0.5</v>
      </c>
    </row>
    <row r="578" spans="1:15" x14ac:dyDescent="0.3">
      <c r="A578">
        <v>577</v>
      </c>
      <c r="B578">
        <v>56</v>
      </c>
      <c r="C578" s="25" t="s">
        <v>16</v>
      </c>
      <c r="D578" s="25" t="s">
        <v>24</v>
      </c>
      <c r="E578">
        <v>170</v>
      </c>
      <c r="F578">
        <v>388</v>
      </c>
      <c r="G578" t="b">
        <v>0</v>
      </c>
      <c r="H578" s="25" t="s">
        <v>33</v>
      </c>
      <c r="I578">
        <v>122</v>
      </c>
      <c r="J578" t="b">
        <v>1</v>
      </c>
      <c r="K578" s="25" t="s">
        <v>25</v>
      </c>
      <c r="M578" s="25" t="s">
        <v>32</v>
      </c>
      <c r="N578">
        <v>1</v>
      </c>
      <c r="O578">
        <v>2</v>
      </c>
    </row>
    <row r="579" spans="1:15" x14ac:dyDescent="0.3">
      <c r="A579">
        <v>578</v>
      </c>
      <c r="B579">
        <v>58</v>
      </c>
      <c r="C579" s="25" t="s">
        <v>16</v>
      </c>
      <c r="D579" s="25" t="s">
        <v>30</v>
      </c>
      <c r="E579">
        <v>136</v>
      </c>
      <c r="F579">
        <v>164</v>
      </c>
      <c r="G579" t="b">
        <v>0</v>
      </c>
      <c r="H579" s="25" t="s">
        <v>33</v>
      </c>
      <c r="I579">
        <v>99</v>
      </c>
      <c r="J579" t="b">
        <v>1</v>
      </c>
      <c r="K579" s="25" t="s">
        <v>25</v>
      </c>
      <c r="M579" s="25" t="s">
        <v>32</v>
      </c>
      <c r="N579">
        <v>1</v>
      </c>
      <c r="O579">
        <v>2</v>
      </c>
    </row>
    <row r="580" spans="1:15" x14ac:dyDescent="0.3">
      <c r="A580">
        <v>579</v>
      </c>
      <c r="B580">
        <v>59</v>
      </c>
      <c r="C580" s="25" t="s">
        <v>16</v>
      </c>
      <c r="D580" s="25" t="s">
        <v>24</v>
      </c>
      <c r="E580">
        <v>130</v>
      </c>
      <c r="G580" t="b">
        <v>0</v>
      </c>
      <c r="H580" s="25" t="s">
        <v>26</v>
      </c>
      <c r="I580">
        <v>125</v>
      </c>
      <c r="J580" t="b">
        <v>0</v>
      </c>
      <c r="K580" s="25" t="s">
        <v>32</v>
      </c>
      <c r="M580" s="25" t="s">
        <v>32</v>
      </c>
      <c r="N580">
        <v>1</v>
      </c>
      <c r="O580">
        <v>0</v>
      </c>
    </row>
    <row r="581" spans="1:15" x14ac:dyDescent="0.3">
      <c r="A581">
        <v>580</v>
      </c>
      <c r="B581">
        <v>59</v>
      </c>
      <c r="C581" s="25" t="s">
        <v>16</v>
      </c>
      <c r="D581" s="25" t="s">
        <v>24</v>
      </c>
      <c r="E581">
        <v>140</v>
      </c>
      <c r="F581">
        <v>264</v>
      </c>
      <c r="G581" t="b">
        <v>1</v>
      </c>
      <c r="H581" s="25" t="s">
        <v>20</v>
      </c>
      <c r="I581">
        <v>119</v>
      </c>
      <c r="J581" t="b">
        <v>1</v>
      </c>
      <c r="K581" s="25" t="s">
        <v>32</v>
      </c>
      <c r="M581" s="25" t="s">
        <v>32</v>
      </c>
      <c r="N581">
        <v>1</v>
      </c>
      <c r="O581">
        <v>0</v>
      </c>
    </row>
    <row r="582" spans="1:15" x14ac:dyDescent="0.3">
      <c r="A582">
        <v>581</v>
      </c>
      <c r="B582">
        <v>65</v>
      </c>
      <c r="C582" s="25" t="s">
        <v>16</v>
      </c>
      <c r="D582" s="25" t="s">
        <v>24</v>
      </c>
      <c r="E582">
        <v>170</v>
      </c>
      <c r="F582">
        <v>263</v>
      </c>
      <c r="G582" t="b">
        <v>1</v>
      </c>
      <c r="H582" s="25" t="s">
        <v>26</v>
      </c>
      <c r="I582">
        <v>112</v>
      </c>
      <c r="J582" t="b">
        <v>1</v>
      </c>
      <c r="K582" s="25" t="s">
        <v>25</v>
      </c>
      <c r="M582" s="25" t="s">
        <v>32</v>
      </c>
      <c r="N582">
        <v>1</v>
      </c>
      <c r="O582">
        <v>2</v>
      </c>
    </row>
    <row r="583" spans="1:15" x14ac:dyDescent="0.3">
      <c r="A583">
        <v>582</v>
      </c>
      <c r="B583">
        <v>66</v>
      </c>
      <c r="C583" s="25" t="s">
        <v>16</v>
      </c>
      <c r="D583" s="25" t="s">
        <v>24</v>
      </c>
      <c r="E583">
        <v>140</v>
      </c>
      <c r="G583" t="b">
        <v>0</v>
      </c>
      <c r="H583" s="25" t="s">
        <v>26</v>
      </c>
      <c r="I583">
        <v>94</v>
      </c>
      <c r="J583" t="b">
        <v>1</v>
      </c>
      <c r="K583" s="25" t="s">
        <v>25</v>
      </c>
      <c r="M583" s="25" t="s">
        <v>32</v>
      </c>
      <c r="N583">
        <v>1</v>
      </c>
      <c r="O583">
        <v>1</v>
      </c>
    </row>
    <row r="584" spans="1:15" x14ac:dyDescent="0.3">
      <c r="A584">
        <v>583</v>
      </c>
      <c r="B584">
        <v>41</v>
      </c>
      <c r="C584" s="25" t="s">
        <v>16</v>
      </c>
      <c r="D584" s="25" t="s">
        <v>24</v>
      </c>
      <c r="E584">
        <v>120</v>
      </c>
      <c r="F584">
        <v>336</v>
      </c>
      <c r="G584" t="b">
        <v>0</v>
      </c>
      <c r="H584" s="25" t="s">
        <v>26</v>
      </c>
      <c r="I584">
        <v>118</v>
      </c>
      <c r="J584" t="b">
        <v>1</v>
      </c>
      <c r="K584" s="25" t="s">
        <v>25</v>
      </c>
      <c r="M584" s="25" t="s">
        <v>32</v>
      </c>
      <c r="N584">
        <v>1</v>
      </c>
      <c r="O584">
        <v>3</v>
      </c>
    </row>
    <row r="585" spans="1:15" x14ac:dyDescent="0.3">
      <c r="A585">
        <v>584</v>
      </c>
      <c r="B585">
        <v>43</v>
      </c>
      <c r="C585" s="25" t="s">
        <v>16</v>
      </c>
      <c r="D585" s="25" t="s">
        <v>24</v>
      </c>
      <c r="E585">
        <v>140</v>
      </c>
      <c r="F585">
        <v>288</v>
      </c>
      <c r="G585" t="b">
        <v>0</v>
      </c>
      <c r="H585" s="25" t="s">
        <v>26</v>
      </c>
      <c r="I585">
        <v>135</v>
      </c>
      <c r="J585" t="b">
        <v>1</v>
      </c>
      <c r="K585" s="25" t="s">
        <v>25</v>
      </c>
      <c r="M585" s="25" t="s">
        <v>32</v>
      </c>
      <c r="N585">
        <v>1</v>
      </c>
      <c r="O585">
        <v>2</v>
      </c>
    </row>
    <row r="586" spans="1:15" x14ac:dyDescent="0.3">
      <c r="A586">
        <v>585</v>
      </c>
      <c r="B586">
        <v>44</v>
      </c>
      <c r="C586" s="25" t="s">
        <v>16</v>
      </c>
      <c r="D586" s="25" t="s">
        <v>24</v>
      </c>
      <c r="E586">
        <v>135</v>
      </c>
      <c r="F586">
        <v>491</v>
      </c>
      <c r="G586" t="b">
        <v>0</v>
      </c>
      <c r="H586" s="25" t="s">
        <v>26</v>
      </c>
      <c r="I586">
        <v>135</v>
      </c>
      <c r="J586" t="b">
        <v>0</v>
      </c>
      <c r="K586" s="25" t="s">
        <v>32</v>
      </c>
      <c r="M586" s="25" t="s">
        <v>32</v>
      </c>
      <c r="N586">
        <v>1</v>
      </c>
      <c r="O586">
        <v>0</v>
      </c>
    </row>
    <row r="587" spans="1:15" x14ac:dyDescent="0.3">
      <c r="A587">
        <v>586</v>
      </c>
      <c r="B587">
        <v>47</v>
      </c>
      <c r="C587" s="25" t="s">
        <v>29</v>
      </c>
      <c r="D587" s="25" t="s">
        <v>24</v>
      </c>
      <c r="E587">
        <v>120</v>
      </c>
      <c r="F587">
        <v>205</v>
      </c>
      <c r="G587" t="b">
        <v>0</v>
      </c>
      <c r="H587" s="25" t="s">
        <v>26</v>
      </c>
      <c r="I587">
        <v>98</v>
      </c>
      <c r="J587" t="b">
        <v>1</v>
      </c>
      <c r="K587" s="25" t="s">
        <v>25</v>
      </c>
      <c r="M587" s="25" t="s">
        <v>23</v>
      </c>
      <c r="N587">
        <v>1</v>
      </c>
      <c r="O587">
        <v>2</v>
      </c>
    </row>
    <row r="588" spans="1:15" x14ac:dyDescent="0.3">
      <c r="A588">
        <v>587</v>
      </c>
      <c r="B588">
        <v>47</v>
      </c>
      <c r="C588" s="25" t="s">
        <v>16</v>
      </c>
      <c r="D588" s="25" t="s">
        <v>24</v>
      </c>
      <c r="E588">
        <v>160</v>
      </c>
      <c r="F588">
        <v>291</v>
      </c>
      <c r="G588" t="b">
        <v>0</v>
      </c>
      <c r="H588" s="25" t="s">
        <v>33</v>
      </c>
      <c r="I588">
        <v>158</v>
      </c>
      <c r="J588" t="b">
        <v>1</v>
      </c>
      <c r="K588" s="25" t="s">
        <v>25</v>
      </c>
      <c r="M588" s="25" t="s">
        <v>32</v>
      </c>
      <c r="N588">
        <v>1</v>
      </c>
      <c r="O588">
        <v>3</v>
      </c>
    </row>
    <row r="589" spans="1:15" x14ac:dyDescent="0.3">
      <c r="A589">
        <v>588</v>
      </c>
      <c r="B589">
        <v>49</v>
      </c>
      <c r="C589" s="25" t="s">
        <v>16</v>
      </c>
      <c r="D589" s="25" t="s">
        <v>24</v>
      </c>
      <c r="E589">
        <v>128</v>
      </c>
      <c r="F589">
        <v>212</v>
      </c>
      <c r="G589" t="b">
        <v>0</v>
      </c>
      <c r="H589" s="25" t="s">
        <v>26</v>
      </c>
      <c r="I589">
        <v>96</v>
      </c>
      <c r="J589" t="b">
        <v>1</v>
      </c>
      <c r="K589" s="25" t="s">
        <v>32</v>
      </c>
      <c r="M589" s="25" t="s">
        <v>32</v>
      </c>
      <c r="N589">
        <v>1</v>
      </c>
      <c r="O589">
        <v>0</v>
      </c>
    </row>
    <row r="590" spans="1:15" x14ac:dyDescent="0.3">
      <c r="A590">
        <v>589</v>
      </c>
      <c r="B590">
        <v>49</v>
      </c>
      <c r="C590" s="25" t="s">
        <v>16</v>
      </c>
      <c r="D590" s="25" t="s">
        <v>24</v>
      </c>
      <c r="E590">
        <v>150</v>
      </c>
      <c r="F590">
        <v>222</v>
      </c>
      <c r="G590" t="b">
        <v>0</v>
      </c>
      <c r="H590" s="25" t="s">
        <v>26</v>
      </c>
      <c r="I590">
        <v>122</v>
      </c>
      <c r="J590" t="b">
        <v>0</v>
      </c>
      <c r="K590" s="25" t="s">
        <v>25</v>
      </c>
      <c r="M590" s="25" t="s">
        <v>32</v>
      </c>
      <c r="N590">
        <v>1</v>
      </c>
      <c r="O590">
        <v>2</v>
      </c>
    </row>
    <row r="591" spans="1:15" x14ac:dyDescent="0.3">
      <c r="A591">
        <v>590</v>
      </c>
      <c r="B591">
        <v>50</v>
      </c>
      <c r="C591" s="25" t="s">
        <v>16</v>
      </c>
      <c r="D591" s="25" t="s">
        <v>24</v>
      </c>
      <c r="E591">
        <v>140</v>
      </c>
      <c r="F591">
        <v>231</v>
      </c>
      <c r="G591" t="b">
        <v>0</v>
      </c>
      <c r="H591" s="25" t="s">
        <v>33</v>
      </c>
      <c r="I591">
        <v>140</v>
      </c>
      <c r="J591" t="b">
        <v>1</v>
      </c>
      <c r="K591" s="25" t="s">
        <v>25</v>
      </c>
      <c r="M591" s="25" t="s">
        <v>32</v>
      </c>
      <c r="N591">
        <v>1</v>
      </c>
      <c r="O591">
        <v>5</v>
      </c>
    </row>
    <row r="592" spans="1:15" x14ac:dyDescent="0.3">
      <c r="A592">
        <v>591</v>
      </c>
      <c r="B592">
        <v>50</v>
      </c>
      <c r="C592" s="25" t="s">
        <v>16</v>
      </c>
      <c r="D592" s="25" t="s">
        <v>24</v>
      </c>
      <c r="E592">
        <v>140</v>
      </c>
      <c r="F592">
        <v>341</v>
      </c>
      <c r="G592" t="b">
        <v>0</v>
      </c>
      <c r="H592" s="25" t="s">
        <v>33</v>
      </c>
      <c r="I592">
        <v>125</v>
      </c>
      <c r="J592" t="b">
        <v>1</v>
      </c>
      <c r="K592" s="25" t="s">
        <v>25</v>
      </c>
      <c r="M592" s="25" t="s">
        <v>32</v>
      </c>
      <c r="N592">
        <v>1</v>
      </c>
      <c r="O592">
        <v>0.5</v>
      </c>
    </row>
    <row r="593" spans="1:15" x14ac:dyDescent="0.3">
      <c r="A593">
        <v>592</v>
      </c>
      <c r="B593">
        <v>52</v>
      </c>
      <c r="C593" s="25" t="s">
        <v>16</v>
      </c>
      <c r="D593" s="25" t="s">
        <v>24</v>
      </c>
      <c r="E593">
        <v>140</v>
      </c>
      <c r="F593">
        <v>266</v>
      </c>
      <c r="G593" t="b">
        <v>0</v>
      </c>
      <c r="H593" s="25" t="s">
        <v>26</v>
      </c>
      <c r="I593">
        <v>134</v>
      </c>
      <c r="J593" t="b">
        <v>1</v>
      </c>
      <c r="K593" s="25" t="s">
        <v>25</v>
      </c>
      <c r="M593" s="25" t="s">
        <v>32</v>
      </c>
      <c r="N593">
        <v>1</v>
      </c>
      <c r="O593">
        <v>2</v>
      </c>
    </row>
    <row r="594" spans="1:15" x14ac:dyDescent="0.3">
      <c r="A594">
        <v>593</v>
      </c>
      <c r="B594">
        <v>52</v>
      </c>
      <c r="C594" s="25" t="s">
        <v>16</v>
      </c>
      <c r="D594" s="25" t="s">
        <v>24</v>
      </c>
      <c r="E594">
        <v>160</v>
      </c>
      <c r="F594">
        <v>331</v>
      </c>
      <c r="G594" t="b">
        <v>0</v>
      </c>
      <c r="H594" s="25" t="s">
        <v>26</v>
      </c>
      <c r="I594">
        <v>94</v>
      </c>
      <c r="J594" t="b">
        <v>1</v>
      </c>
      <c r="K594" s="25" t="s">
        <v>32</v>
      </c>
      <c r="M594" s="25" t="s">
        <v>32</v>
      </c>
      <c r="N594">
        <v>1</v>
      </c>
      <c r="O594">
        <v>0.5</v>
      </c>
    </row>
    <row r="595" spans="1:15" x14ac:dyDescent="0.3">
      <c r="A595">
        <v>594</v>
      </c>
      <c r="B595">
        <v>54</v>
      </c>
      <c r="C595" s="25" t="s">
        <v>29</v>
      </c>
      <c r="D595" s="25" t="s">
        <v>28</v>
      </c>
      <c r="E595">
        <v>130</v>
      </c>
      <c r="F595">
        <v>294</v>
      </c>
      <c r="G595" t="b">
        <v>0</v>
      </c>
      <c r="H595" s="25" t="s">
        <v>33</v>
      </c>
      <c r="I595">
        <v>100</v>
      </c>
      <c r="J595" t="b">
        <v>1</v>
      </c>
      <c r="K595" s="25" t="s">
        <v>25</v>
      </c>
      <c r="M595" s="25" t="s">
        <v>32</v>
      </c>
      <c r="N595">
        <v>1</v>
      </c>
      <c r="O595">
        <v>0</v>
      </c>
    </row>
    <row r="596" spans="1:15" x14ac:dyDescent="0.3">
      <c r="A596">
        <v>595</v>
      </c>
      <c r="B596">
        <v>56</v>
      </c>
      <c r="C596" s="25" t="s">
        <v>16</v>
      </c>
      <c r="D596" s="25" t="s">
        <v>24</v>
      </c>
      <c r="E596">
        <v>155</v>
      </c>
      <c r="F596">
        <v>342</v>
      </c>
      <c r="G596" t="b">
        <v>1</v>
      </c>
      <c r="H596" s="25" t="s">
        <v>26</v>
      </c>
      <c r="I596">
        <v>150</v>
      </c>
      <c r="J596" t="b">
        <v>1</v>
      </c>
      <c r="K596" s="25" t="s">
        <v>25</v>
      </c>
      <c r="M596" s="25" t="s">
        <v>32</v>
      </c>
      <c r="N596">
        <v>1</v>
      </c>
      <c r="O596">
        <v>3</v>
      </c>
    </row>
    <row r="597" spans="1:15" x14ac:dyDescent="0.3">
      <c r="A597">
        <v>596</v>
      </c>
      <c r="B597">
        <v>58</v>
      </c>
      <c r="C597" s="25" t="s">
        <v>29</v>
      </c>
      <c r="D597" s="25" t="s">
        <v>30</v>
      </c>
      <c r="E597">
        <v>180</v>
      </c>
      <c r="F597">
        <v>393</v>
      </c>
      <c r="G597" t="b">
        <v>0</v>
      </c>
      <c r="H597" s="25" t="s">
        <v>26</v>
      </c>
      <c r="I597">
        <v>110</v>
      </c>
      <c r="J597" t="b">
        <v>1</v>
      </c>
      <c r="K597" s="25" t="s">
        <v>25</v>
      </c>
      <c r="M597" s="25" t="s">
        <v>27</v>
      </c>
      <c r="N597">
        <v>1</v>
      </c>
      <c r="O597">
        <v>1</v>
      </c>
    </row>
    <row r="598" spans="1:15" x14ac:dyDescent="0.3">
      <c r="A598">
        <v>597</v>
      </c>
      <c r="B598">
        <v>65</v>
      </c>
      <c r="C598" s="25" t="s">
        <v>16</v>
      </c>
      <c r="D598" s="25" t="s">
        <v>24</v>
      </c>
      <c r="E598">
        <v>130</v>
      </c>
      <c r="F598">
        <v>275</v>
      </c>
      <c r="G598" t="b">
        <v>0</v>
      </c>
      <c r="H598" s="25" t="s">
        <v>33</v>
      </c>
      <c r="I598">
        <v>115</v>
      </c>
      <c r="J598" t="b">
        <v>1</v>
      </c>
      <c r="K598" s="25" t="s">
        <v>25</v>
      </c>
      <c r="M598" s="25" t="s">
        <v>32</v>
      </c>
      <c r="N598">
        <v>1</v>
      </c>
      <c r="O598">
        <v>1</v>
      </c>
    </row>
    <row r="599" spans="1:15" x14ac:dyDescent="0.3">
      <c r="A599">
        <v>721</v>
      </c>
      <c r="B599">
        <v>63</v>
      </c>
      <c r="C599" s="25" t="s">
        <v>16</v>
      </c>
      <c r="D599" s="25" t="s">
        <v>24</v>
      </c>
      <c r="E599">
        <v>140</v>
      </c>
      <c r="F599">
        <v>260</v>
      </c>
      <c r="G599" t="b">
        <v>0</v>
      </c>
      <c r="H599" s="25" t="s">
        <v>33</v>
      </c>
      <c r="I599">
        <v>112</v>
      </c>
      <c r="J599" t="b">
        <v>1</v>
      </c>
      <c r="K599" s="25" t="s">
        <v>25</v>
      </c>
      <c r="M599" s="25" t="s">
        <v>32</v>
      </c>
      <c r="N599">
        <v>2</v>
      </c>
      <c r="O599">
        <v>3</v>
      </c>
    </row>
    <row r="600" spans="1:15" x14ac:dyDescent="0.3">
      <c r="A600">
        <v>722</v>
      </c>
      <c r="B600">
        <v>44</v>
      </c>
      <c r="C600" s="25" t="s">
        <v>16</v>
      </c>
      <c r="D600" s="25" t="s">
        <v>24</v>
      </c>
      <c r="E600">
        <v>130</v>
      </c>
      <c r="F600">
        <v>209</v>
      </c>
      <c r="G600" t="b">
        <v>0</v>
      </c>
      <c r="H600" s="25" t="s">
        <v>33</v>
      </c>
      <c r="I600">
        <v>127</v>
      </c>
      <c r="J600" t="b">
        <v>0</v>
      </c>
      <c r="K600" s="25" t="s">
        <v>32</v>
      </c>
      <c r="M600" s="25" t="s">
        <v>32</v>
      </c>
      <c r="N600">
        <v>0</v>
      </c>
      <c r="O600">
        <v>0</v>
      </c>
    </row>
    <row r="601" spans="1:15" x14ac:dyDescent="0.3">
      <c r="A601">
        <v>723</v>
      </c>
      <c r="B601">
        <v>60</v>
      </c>
      <c r="C601" s="25" t="s">
        <v>16</v>
      </c>
      <c r="D601" s="25" t="s">
        <v>24</v>
      </c>
      <c r="E601">
        <v>132</v>
      </c>
      <c r="F601">
        <v>218</v>
      </c>
      <c r="G601" t="b">
        <v>0</v>
      </c>
      <c r="H601" s="25" t="s">
        <v>33</v>
      </c>
      <c r="I601">
        <v>140</v>
      </c>
      <c r="J601" t="b">
        <v>1</v>
      </c>
      <c r="K601" s="25" t="s">
        <v>22</v>
      </c>
      <c r="M601" s="25" t="s">
        <v>32</v>
      </c>
      <c r="N601">
        <v>2</v>
      </c>
      <c r="O601">
        <v>0.5</v>
      </c>
    </row>
    <row r="602" spans="1:15" x14ac:dyDescent="0.3">
      <c r="A602">
        <v>724</v>
      </c>
      <c r="B602">
        <v>55</v>
      </c>
      <c r="C602" s="25" t="s">
        <v>16</v>
      </c>
      <c r="D602" s="25" t="s">
        <v>24</v>
      </c>
      <c r="E602">
        <v>142</v>
      </c>
      <c r="F602">
        <v>228</v>
      </c>
      <c r="G602" t="b">
        <v>0</v>
      </c>
      <c r="H602" s="25" t="s">
        <v>33</v>
      </c>
      <c r="I602">
        <v>149</v>
      </c>
      <c r="J602" t="b">
        <v>1</v>
      </c>
      <c r="K602" s="25" t="s">
        <v>31</v>
      </c>
      <c r="M602" s="25" t="s">
        <v>32</v>
      </c>
      <c r="N602">
        <v>1</v>
      </c>
      <c r="O602">
        <v>0.5</v>
      </c>
    </row>
    <row r="603" spans="1:15" x14ac:dyDescent="0.3">
      <c r="A603">
        <v>725</v>
      </c>
      <c r="B603">
        <v>66</v>
      </c>
      <c r="C603" s="25" t="s">
        <v>16</v>
      </c>
      <c r="D603" s="25" t="s">
        <v>28</v>
      </c>
      <c r="E603">
        <v>110</v>
      </c>
      <c r="F603">
        <v>213</v>
      </c>
      <c r="G603" t="b">
        <v>1</v>
      </c>
      <c r="H603" s="25" t="s">
        <v>20</v>
      </c>
      <c r="I603">
        <v>99</v>
      </c>
      <c r="J603" t="b">
        <v>1</v>
      </c>
      <c r="K603" s="25" t="s">
        <v>25</v>
      </c>
      <c r="M603" s="25" t="s">
        <v>32</v>
      </c>
      <c r="N603">
        <v>0</v>
      </c>
      <c r="O603">
        <v>0.3</v>
      </c>
    </row>
    <row r="604" spans="1:15" x14ac:dyDescent="0.3">
      <c r="A604">
        <v>727</v>
      </c>
      <c r="B604">
        <v>65</v>
      </c>
      <c r="C604" s="25" t="s">
        <v>16</v>
      </c>
      <c r="D604" s="25" t="s">
        <v>24</v>
      </c>
      <c r="E604">
        <v>150</v>
      </c>
      <c r="F604">
        <v>236</v>
      </c>
      <c r="G604" t="b">
        <v>1</v>
      </c>
      <c r="H604" s="25" t="s">
        <v>33</v>
      </c>
      <c r="I604">
        <v>105</v>
      </c>
      <c r="J604" t="b">
        <v>1</v>
      </c>
      <c r="K604" s="25" t="s">
        <v>32</v>
      </c>
      <c r="M604" s="25" t="s">
        <v>32</v>
      </c>
      <c r="N604">
        <v>3</v>
      </c>
      <c r="O604">
        <v>0</v>
      </c>
    </row>
    <row r="605" spans="1:15" x14ac:dyDescent="0.3">
      <c r="A605">
        <v>730</v>
      </c>
      <c r="B605">
        <v>60</v>
      </c>
      <c r="C605" s="25" t="s">
        <v>16</v>
      </c>
      <c r="D605" s="25" t="s">
        <v>30</v>
      </c>
      <c r="E605">
        <v>160</v>
      </c>
      <c r="F605">
        <v>267</v>
      </c>
      <c r="G605" t="b">
        <v>1</v>
      </c>
      <c r="H605" s="25" t="s">
        <v>33</v>
      </c>
      <c r="I605">
        <v>157</v>
      </c>
      <c r="J605" t="b">
        <v>0</v>
      </c>
      <c r="K605" s="25" t="s">
        <v>25</v>
      </c>
      <c r="M605" s="25" t="s">
        <v>32</v>
      </c>
      <c r="N605">
        <v>1</v>
      </c>
      <c r="O605">
        <v>0.5</v>
      </c>
    </row>
    <row r="606" spans="1:15" x14ac:dyDescent="0.3">
      <c r="A606">
        <v>731</v>
      </c>
      <c r="B606">
        <v>56</v>
      </c>
      <c r="C606" s="25" t="s">
        <v>16</v>
      </c>
      <c r="D606" s="25" t="s">
        <v>30</v>
      </c>
      <c r="E606">
        <v>126</v>
      </c>
      <c r="F606">
        <v>166</v>
      </c>
      <c r="G606" t="b">
        <v>0</v>
      </c>
      <c r="H606" s="25" t="s">
        <v>33</v>
      </c>
      <c r="I606">
        <v>140</v>
      </c>
      <c r="J606" t="b">
        <v>0</v>
      </c>
      <c r="K606" s="25" t="s">
        <v>32</v>
      </c>
      <c r="M606" s="25" t="s">
        <v>32</v>
      </c>
      <c r="N606">
        <v>0</v>
      </c>
      <c r="O606">
        <v>0</v>
      </c>
    </row>
    <row r="607" spans="1:15" x14ac:dyDescent="0.3">
      <c r="A607">
        <v>736</v>
      </c>
      <c r="B607">
        <v>62</v>
      </c>
      <c r="C607" s="25" t="s">
        <v>16</v>
      </c>
      <c r="D607" s="25" t="s">
        <v>24</v>
      </c>
      <c r="E607">
        <v>120</v>
      </c>
      <c r="F607">
        <v>220</v>
      </c>
      <c r="G607" t="b">
        <v>0</v>
      </c>
      <c r="H607" s="25" t="s">
        <v>33</v>
      </c>
      <c r="I607">
        <v>86</v>
      </c>
      <c r="J607" t="b">
        <v>0</v>
      </c>
      <c r="K607" s="25" t="s">
        <v>32</v>
      </c>
      <c r="M607" s="25" t="s">
        <v>32</v>
      </c>
      <c r="N607">
        <v>0</v>
      </c>
      <c r="O607">
        <v>0</v>
      </c>
    </row>
    <row r="608" spans="1:15" x14ac:dyDescent="0.3">
      <c r="A608">
        <v>737</v>
      </c>
      <c r="B608">
        <v>63</v>
      </c>
      <c r="C608" s="25" t="s">
        <v>16</v>
      </c>
      <c r="D608" s="25" t="s">
        <v>24</v>
      </c>
      <c r="E608">
        <v>170</v>
      </c>
      <c r="F608">
        <v>177</v>
      </c>
      <c r="G608" t="b">
        <v>0</v>
      </c>
      <c r="H608" s="25" t="s">
        <v>26</v>
      </c>
      <c r="I608">
        <v>84</v>
      </c>
      <c r="J608" t="b">
        <v>1</v>
      </c>
      <c r="K608" s="25" t="s">
        <v>22</v>
      </c>
      <c r="M608" s="25" t="s">
        <v>32</v>
      </c>
      <c r="N608">
        <v>4</v>
      </c>
      <c r="O608">
        <v>0.5</v>
      </c>
    </row>
    <row r="609" spans="1:15" x14ac:dyDescent="0.3">
      <c r="A609">
        <v>738</v>
      </c>
      <c r="B609">
        <v>46</v>
      </c>
      <c r="C609" s="25" t="s">
        <v>16</v>
      </c>
      <c r="D609" s="25" t="s">
        <v>24</v>
      </c>
      <c r="E609">
        <v>110</v>
      </c>
      <c r="F609">
        <v>236</v>
      </c>
      <c r="G609" t="b">
        <v>0</v>
      </c>
      <c r="H609" s="25" t="s">
        <v>26</v>
      </c>
      <c r="I609">
        <v>125</v>
      </c>
      <c r="J609" t="b">
        <v>1</v>
      </c>
      <c r="K609" s="25" t="s">
        <v>25</v>
      </c>
      <c r="M609" s="25" t="s">
        <v>32</v>
      </c>
      <c r="N609">
        <v>1</v>
      </c>
      <c r="O609">
        <v>2</v>
      </c>
    </row>
    <row r="610" spans="1:15" x14ac:dyDescent="0.3">
      <c r="A610">
        <v>748</v>
      </c>
      <c r="B610">
        <v>60</v>
      </c>
      <c r="C610" s="25" t="s">
        <v>16</v>
      </c>
      <c r="D610" s="25" t="s">
        <v>24</v>
      </c>
      <c r="E610">
        <v>130</v>
      </c>
      <c r="F610">
        <v>186</v>
      </c>
      <c r="G610" t="b">
        <v>1</v>
      </c>
      <c r="H610" s="25" t="s">
        <v>33</v>
      </c>
      <c r="I610">
        <v>140</v>
      </c>
      <c r="J610" t="b">
        <v>1</v>
      </c>
      <c r="K610" s="25" t="s">
        <v>25</v>
      </c>
      <c r="M610" s="25" t="s">
        <v>32</v>
      </c>
      <c r="N610">
        <v>1</v>
      </c>
      <c r="O610">
        <v>0.5</v>
      </c>
    </row>
    <row r="611" spans="1:15" x14ac:dyDescent="0.3">
      <c r="A611">
        <v>749</v>
      </c>
      <c r="B611">
        <v>56</v>
      </c>
      <c r="C611" s="25" t="s">
        <v>16</v>
      </c>
      <c r="D611" s="25" t="s">
        <v>24</v>
      </c>
      <c r="E611">
        <v>120</v>
      </c>
      <c r="F611">
        <v>100</v>
      </c>
      <c r="G611" t="b">
        <v>0</v>
      </c>
      <c r="H611" s="25" t="s">
        <v>26</v>
      </c>
      <c r="I611">
        <v>120</v>
      </c>
      <c r="J611" t="b">
        <v>1</v>
      </c>
      <c r="K611" s="25" t="s">
        <v>25</v>
      </c>
      <c r="L611">
        <v>0</v>
      </c>
      <c r="M611" s="25" t="s">
        <v>27</v>
      </c>
      <c r="N611">
        <v>1</v>
      </c>
      <c r="O611">
        <v>0.5</v>
      </c>
    </row>
    <row r="612" spans="1:15" x14ac:dyDescent="0.3">
      <c r="A612">
        <v>750</v>
      </c>
      <c r="B612">
        <v>55</v>
      </c>
      <c r="C612" s="25" t="s">
        <v>16</v>
      </c>
      <c r="D612" s="25" t="s">
        <v>28</v>
      </c>
      <c r="F612">
        <v>228</v>
      </c>
      <c r="G612" t="b">
        <v>0</v>
      </c>
      <c r="H612" s="25" t="s">
        <v>33</v>
      </c>
      <c r="K612" s="25" t="s">
        <v>32</v>
      </c>
      <c r="M612" s="25" t="s">
        <v>32</v>
      </c>
      <c r="N612">
        <v>3</v>
      </c>
    </row>
    <row r="613" spans="1:15" x14ac:dyDescent="0.3">
      <c r="A613">
        <v>752</v>
      </c>
      <c r="B613">
        <v>77</v>
      </c>
      <c r="C613" s="25" t="s">
        <v>16</v>
      </c>
      <c r="D613" s="25" t="s">
        <v>24</v>
      </c>
      <c r="E613">
        <v>124</v>
      </c>
      <c r="F613">
        <v>171</v>
      </c>
      <c r="G613" t="b">
        <v>0</v>
      </c>
      <c r="H613" s="25" t="s">
        <v>33</v>
      </c>
      <c r="I613">
        <v>110</v>
      </c>
      <c r="J613" t="b">
        <v>1</v>
      </c>
      <c r="K613" s="25" t="s">
        <v>31</v>
      </c>
      <c r="M613" s="25" t="s">
        <v>32</v>
      </c>
      <c r="N613">
        <v>3</v>
      </c>
      <c r="O613">
        <v>2</v>
      </c>
    </row>
    <row r="614" spans="1:15" x14ac:dyDescent="0.3">
      <c r="A614">
        <v>753</v>
      </c>
      <c r="B614">
        <v>63</v>
      </c>
      <c r="C614" s="25" t="s">
        <v>16</v>
      </c>
      <c r="D614" s="25" t="s">
        <v>24</v>
      </c>
      <c r="E614">
        <v>160</v>
      </c>
      <c r="F614">
        <v>230</v>
      </c>
      <c r="G614" t="b">
        <v>1</v>
      </c>
      <c r="H614" s="25" t="s">
        <v>26</v>
      </c>
      <c r="I614">
        <v>105</v>
      </c>
      <c r="J614" t="b">
        <v>1</v>
      </c>
      <c r="K614" s="25" t="s">
        <v>25</v>
      </c>
      <c r="M614" s="25" t="s">
        <v>32</v>
      </c>
      <c r="N614">
        <v>3</v>
      </c>
      <c r="O614">
        <v>1</v>
      </c>
    </row>
    <row r="615" spans="1:15" x14ac:dyDescent="0.3">
      <c r="A615">
        <v>757</v>
      </c>
      <c r="B615">
        <v>60</v>
      </c>
      <c r="C615" s="25" t="s">
        <v>16</v>
      </c>
      <c r="D615" s="25" t="s">
        <v>24</v>
      </c>
      <c r="F615">
        <v>281</v>
      </c>
      <c r="G615" t="b">
        <v>0</v>
      </c>
      <c r="H615" s="25" t="s">
        <v>33</v>
      </c>
      <c r="K615" s="25" t="s">
        <v>32</v>
      </c>
      <c r="M615" s="25" t="s">
        <v>32</v>
      </c>
      <c r="N615">
        <v>2</v>
      </c>
    </row>
    <row r="616" spans="1:15" x14ac:dyDescent="0.3">
      <c r="A616">
        <v>759</v>
      </c>
      <c r="B616">
        <v>58</v>
      </c>
      <c r="C616" s="25" t="s">
        <v>16</v>
      </c>
      <c r="D616" s="25" t="s">
        <v>24</v>
      </c>
      <c r="F616">
        <v>203</v>
      </c>
      <c r="G616" t="b">
        <v>1</v>
      </c>
      <c r="H616" s="25" t="s">
        <v>26</v>
      </c>
      <c r="K616" s="25" t="s">
        <v>32</v>
      </c>
      <c r="M616" s="25" t="s">
        <v>32</v>
      </c>
      <c r="N616">
        <v>1</v>
      </c>
    </row>
    <row r="617" spans="1:15" x14ac:dyDescent="0.3">
      <c r="A617">
        <v>765</v>
      </c>
      <c r="B617">
        <v>57</v>
      </c>
      <c r="C617" s="25" t="s">
        <v>16</v>
      </c>
      <c r="D617" s="25" t="s">
        <v>24</v>
      </c>
      <c r="F617">
        <v>277</v>
      </c>
      <c r="G617" t="b">
        <v>1</v>
      </c>
      <c r="H617" s="25" t="s">
        <v>33</v>
      </c>
      <c r="K617" s="25" t="s">
        <v>32</v>
      </c>
      <c r="M617" s="25" t="s">
        <v>32</v>
      </c>
      <c r="N617">
        <v>4</v>
      </c>
    </row>
    <row r="618" spans="1:15" x14ac:dyDescent="0.3">
      <c r="A618">
        <v>767</v>
      </c>
      <c r="B618">
        <v>59</v>
      </c>
      <c r="C618" s="25" t="s">
        <v>16</v>
      </c>
      <c r="D618" s="25" t="s">
        <v>24</v>
      </c>
      <c r="E618">
        <v>122</v>
      </c>
      <c r="F618">
        <v>233</v>
      </c>
      <c r="G618" t="b">
        <v>0</v>
      </c>
      <c r="H618" s="25" t="s">
        <v>26</v>
      </c>
      <c r="I618">
        <v>117</v>
      </c>
      <c r="J618" t="b">
        <v>1</v>
      </c>
      <c r="K618" s="25" t="s">
        <v>22</v>
      </c>
      <c r="M618" s="25" t="s">
        <v>32</v>
      </c>
      <c r="N618">
        <v>1</v>
      </c>
      <c r="O618">
        <v>0.3</v>
      </c>
    </row>
    <row r="619" spans="1:15" x14ac:dyDescent="0.3">
      <c r="A619">
        <v>770</v>
      </c>
      <c r="B619">
        <v>42</v>
      </c>
      <c r="C619" s="25" t="s">
        <v>16</v>
      </c>
      <c r="D619" s="25" t="s">
        <v>28</v>
      </c>
      <c r="E619">
        <v>134</v>
      </c>
      <c r="F619">
        <v>240</v>
      </c>
      <c r="H619" s="25" t="s">
        <v>26</v>
      </c>
      <c r="I619">
        <v>160</v>
      </c>
      <c r="J619" t="b">
        <v>0</v>
      </c>
      <c r="K619" s="25" t="s">
        <v>32</v>
      </c>
      <c r="M619" s="25" t="s">
        <v>32</v>
      </c>
      <c r="N619">
        <v>0</v>
      </c>
      <c r="O619">
        <v>0</v>
      </c>
    </row>
    <row r="620" spans="1:15" x14ac:dyDescent="0.3">
      <c r="A620">
        <v>773</v>
      </c>
      <c r="B620">
        <v>62</v>
      </c>
      <c r="C620" s="25" t="s">
        <v>16</v>
      </c>
      <c r="D620" s="25" t="s">
        <v>24</v>
      </c>
      <c r="E620">
        <v>152</v>
      </c>
      <c r="F620">
        <v>153</v>
      </c>
      <c r="G620" t="b">
        <v>0</v>
      </c>
      <c r="H620" s="25" t="s">
        <v>33</v>
      </c>
      <c r="I620">
        <v>97</v>
      </c>
      <c r="J620" t="b">
        <v>1</v>
      </c>
      <c r="K620" s="25" t="s">
        <v>31</v>
      </c>
      <c r="M620" s="25" t="s">
        <v>27</v>
      </c>
      <c r="N620">
        <v>2</v>
      </c>
      <c r="O620">
        <v>0.6</v>
      </c>
    </row>
    <row r="621" spans="1:15" x14ac:dyDescent="0.3">
      <c r="A621">
        <v>774</v>
      </c>
      <c r="B621">
        <v>56</v>
      </c>
      <c r="C621" s="25" t="s">
        <v>16</v>
      </c>
      <c r="D621" s="25" t="s">
        <v>30</v>
      </c>
      <c r="E621">
        <v>124</v>
      </c>
      <c r="F621">
        <v>224</v>
      </c>
      <c r="G621" t="b">
        <v>1</v>
      </c>
      <c r="H621" s="25" t="s">
        <v>26</v>
      </c>
      <c r="I621">
        <v>161</v>
      </c>
      <c r="J621" t="b">
        <v>0</v>
      </c>
      <c r="K621" s="25" t="s">
        <v>25</v>
      </c>
      <c r="M621" s="25" t="s">
        <v>32</v>
      </c>
      <c r="N621">
        <v>0</v>
      </c>
      <c r="O621">
        <v>2</v>
      </c>
    </row>
    <row r="622" spans="1:15" x14ac:dyDescent="0.3">
      <c r="A622">
        <v>778</v>
      </c>
      <c r="B622">
        <v>60</v>
      </c>
      <c r="C622" s="25" t="s">
        <v>16</v>
      </c>
      <c r="D622" s="25" t="s">
        <v>28</v>
      </c>
      <c r="F622">
        <v>316</v>
      </c>
      <c r="G622" t="b">
        <v>1</v>
      </c>
      <c r="H622" s="25" t="s">
        <v>33</v>
      </c>
      <c r="K622" s="25" t="s">
        <v>32</v>
      </c>
      <c r="M622" s="25" t="s">
        <v>32</v>
      </c>
      <c r="N622">
        <v>3</v>
      </c>
    </row>
    <row r="623" spans="1:15" x14ac:dyDescent="0.3">
      <c r="A623">
        <v>781</v>
      </c>
      <c r="B623">
        <v>51</v>
      </c>
      <c r="C623" s="25" t="s">
        <v>16</v>
      </c>
      <c r="D623" s="25" t="s">
        <v>24</v>
      </c>
      <c r="F623">
        <v>218</v>
      </c>
      <c r="G623" t="b">
        <v>1</v>
      </c>
      <c r="H623" s="25" t="s">
        <v>20</v>
      </c>
      <c r="K623" s="25" t="s">
        <v>32</v>
      </c>
      <c r="M623" s="25" t="s">
        <v>32</v>
      </c>
      <c r="N623">
        <v>0</v>
      </c>
    </row>
    <row r="624" spans="1:15" x14ac:dyDescent="0.3">
      <c r="A624">
        <v>783</v>
      </c>
      <c r="B624">
        <v>57</v>
      </c>
      <c r="C624" s="25" t="s">
        <v>16</v>
      </c>
      <c r="D624" s="25" t="s">
        <v>24</v>
      </c>
      <c r="E624">
        <v>130</v>
      </c>
      <c r="F624">
        <v>311</v>
      </c>
      <c r="H624" s="25" t="s">
        <v>33</v>
      </c>
      <c r="I624">
        <v>148</v>
      </c>
      <c r="J624" t="b">
        <v>1</v>
      </c>
      <c r="K624" s="25" t="s">
        <v>25</v>
      </c>
      <c r="M624" s="25" t="s">
        <v>32</v>
      </c>
      <c r="N624">
        <v>1</v>
      </c>
      <c r="O624">
        <v>2</v>
      </c>
    </row>
    <row r="625" spans="1:15" x14ac:dyDescent="0.3">
      <c r="A625">
        <v>787</v>
      </c>
      <c r="B625">
        <v>67</v>
      </c>
      <c r="C625" s="25" t="s">
        <v>16</v>
      </c>
      <c r="D625" s="25" t="s">
        <v>18</v>
      </c>
      <c r="E625">
        <v>142</v>
      </c>
      <c r="F625">
        <v>270</v>
      </c>
      <c r="G625" t="b">
        <v>1</v>
      </c>
      <c r="H625" s="25" t="s">
        <v>26</v>
      </c>
      <c r="I625">
        <v>125</v>
      </c>
      <c r="J625" t="b">
        <v>0</v>
      </c>
      <c r="K625" s="25" t="s">
        <v>31</v>
      </c>
      <c r="M625" s="25" t="s">
        <v>32</v>
      </c>
      <c r="N625">
        <v>3</v>
      </c>
      <c r="O625">
        <v>0.5</v>
      </c>
    </row>
    <row r="626" spans="1:15" x14ac:dyDescent="0.3">
      <c r="A626">
        <v>790</v>
      </c>
      <c r="B626">
        <v>63</v>
      </c>
      <c r="C626" s="25" t="s">
        <v>16</v>
      </c>
      <c r="D626" s="25" t="s">
        <v>30</v>
      </c>
      <c r="F626">
        <v>217</v>
      </c>
      <c r="G626" t="b">
        <v>1</v>
      </c>
      <c r="H626" s="25" t="s">
        <v>33</v>
      </c>
      <c r="K626" s="25" t="s">
        <v>32</v>
      </c>
      <c r="M626" s="25" t="s">
        <v>32</v>
      </c>
      <c r="N626">
        <v>1</v>
      </c>
    </row>
    <row r="627" spans="1:15" x14ac:dyDescent="0.3">
      <c r="A627">
        <v>791</v>
      </c>
      <c r="B627">
        <v>55</v>
      </c>
      <c r="C627" s="25" t="s">
        <v>16</v>
      </c>
      <c r="D627" s="25" t="s">
        <v>30</v>
      </c>
      <c r="E627">
        <v>110</v>
      </c>
      <c r="F627">
        <v>214</v>
      </c>
      <c r="G627" t="b">
        <v>1</v>
      </c>
      <c r="H627" s="25" t="s">
        <v>33</v>
      </c>
      <c r="I627">
        <v>180</v>
      </c>
      <c r="J627" t="b">
        <v>0</v>
      </c>
      <c r="K627" s="25" t="s">
        <v>32</v>
      </c>
      <c r="M627" s="25" t="s">
        <v>32</v>
      </c>
      <c r="N627">
        <v>0</v>
      </c>
    </row>
    <row r="628" spans="1:15" x14ac:dyDescent="0.3">
      <c r="A628">
        <v>792</v>
      </c>
      <c r="B628">
        <v>57</v>
      </c>
      <c r="C628" s="25" t="s">
        <v>16</v>
      </c>
      <c r="D628" s="25" t="s">
        <v>24</v>
      </c>
      <c r="E628">
        <v>140</v>
      </c>
      <c r="F628">
        <v>214</v>
      </c>
      <c r="G628" t="b">
        <v>0</v>
      </c>
      <c r="H628" s="25" t="s">
        <v>33</v>
      </c>
      <c r="I628">
        <v>144</v>
      </c>
      <c r="J628" t="b">
        <v>1</v>
      </c>
      <c r="K628" s="25" t="s">
        <v>25</v>
      </c>
      <c r="M628" s="25" t="s">
        <v>23</v>
      </c>
      <c r="N628">
        <v>2</v>
      </c>
      <c r="O628">
        <v>2</v>
      </c>
    </row>
    <row r="629" spans="1:15" x14ac:dyDescent="0.3">
      <c r="A629">
        <v>793</v>
      </c>
      <c r="B629">
        <v>65</v>
      </c>
      <c r="C629" s="25" t="s">
        <v>16</v>
      </c>
      <c r="D629" s="25" t="s">
        <v>18</v>
      </c>
      <c r="F629">
        <v>252</v>
      </c>
      <c r="G629" t="b">
        <v>0</v>
      </c>
      <c r="H629" s="25" t="s">
        <v>26</v>
      </c>
      <c r="K629" s="25" t="s">
        <v>32</v>
      </c>
      <c r="M629" s="25" t="s">
        <v>32</v>
      </c>
      <c r="N629">
        <v>0</v>
      </c>
    </row>
    <row r="630" spans="1:15" x14ac:dyDescent="0.3">
      <c r="A630">
        <v>794</v>
      </c>
      <c r="B630">
        <v>54</v>
      </c>
      <c r="C630" s="25" t="s">
        <v>16</v>
      </c>
      <c r="D630" s="25" t="s">
        <v>24</v>
      </c>
      <c r="E630">
        <v>136</v>
      </c>
      <c r="F630">
        <v>220</v>
      </c>
      <c r="G630" t="b">
        <v>0</v>
      </c>
      <c r="H630" s="25" t="s">
        <v>26</v>
      </c>
      <c r="I630">
        <v>140</v>
      </c>
      <c r="J630" t="b">
        <v>1</v>
      </c>
      <c r="K630" s="25" t="s">
        <v>25</v>
      </c>
      <c r="M630" s="25" t="s">
        <v>32</v>
      </c>
      <c r="N630">
        <v>3</v>
      </c>
      <c r="O630">
        <v>3</v>
      </c>
    </row>
    <row r="631" spans="1:15" x14ac:dyDescent="0.3">
      <c r="A631">
        <v>795</v>
      </c>
      <c r="B631">
        <v>72</v>
      </c>
      <c r="C631" s="25" t="s">
        <v>16</v>
      </c>
      <c r="D631" s="25" t="s">
        <v>28</v>
      </c>
      <c r="E631">
        <v>120</v>
      </c>
      <c r="F631">
        <v>214</v>
      </c>
      <c r="G631" t="b">
        <v>0</v>
      </c>
      <c r="H631" s="25" t="s">
        <v>26</v>
      </c>
      <c r="I631">
        <v>102</v>
      </c>
      <c r="J631" t="b">
        <v>1</v>
      </c>
      <c r="K631" s="25" t="s">
        <v>25</v>
      </c>
      <c r="M631" s="25" t="s">
        <v>32</v>
      </c>
      <c r="N631">
        <v>3</v>
      </c>
      <c r="O631">
        <v>1</v>
      </c>
    </row>
    <row r="632" spans="1:15" x14ac:dyDescent="0.3">
      <c r="A632">
        <v>796</v>
      </c>
      <c r="B632">
        <v>75</v>
      </c>
      <c r="C632" s="25" t="s">
        <v>16</v>
      </c>
      <c r="D632" s="25" t="s">
        <v>24</v>
      </c>
      <c r="E632">
        <v>170</v>
      </c>
      <c r="F632">
        <v>203</v>
      </c>
      <c r="G632" t="b">
        <v>1</v>
      </c>
      <c r="H632" s="25" t="s">
        <v>33</v>
      </c>
      <c r="I632">
        <v>108</v>
      </c>
      <c r="J632" t="b">
        <v>0</v>
      </c>
      <c r="K632" s="25" t="s">
        <v>32</v>
      </c>
      <c r="M632" s="25" t="s">
        <v>27</v>
      </c>
      <c r="N632">
        <v>1</v>
      </c>
      <c r="O632">
        <v>0</v>
      </c>
    </row>
    <row r="633" spans="1:15" x14ac:dyDescent="0.3">
      <c r="A633">
        <v>798</v>
      </c>
      <c r="B633">
        <v>51</v>
      </c>
      <c r="C633" s="25" t="s">
        <v>16</v>
      </c>
      <c r="D633" s="25" t="s">
        <v>28</v>
      </c>
      <c r="F633">
        <v>339</v>
      </c>
      <c r="G633" t="b">
        <v>0</v>
      </c>
      <c r="H633" s="25" t="s">
        <v>26</v>
      </c>
      <c r="K633" s="25" t="s">
        <v>32</v>
      </c>
      <c r="M633" s="25" t="s">
        <v>32</v>
      </c>
      <c r="N633">
        <v>3</v>
      </c>
    </row>
    <row r="634" spans="1:15" x14ac:dyDescent="0.3">
      <c r="A634">
        <v>799</v>
      </c>
      <c r="B634">
        <v>60</v>
      </c>
      <c r="C634" s="25" t="s">
        <v>16</v>
      </c>
      <c r="D634" s="25" t="s">
        <v>24</v>
      </c>
      <c r="E634">
        <v>142</v>
      </c>
      <c r="F634">
        <v>216</v>
      </c>
      <c r="G634" t="b">
        <v>0</v>
      </c>
      <c r="H634" s="25" t="s">
        <v>26</v>
      </c>
      <c r="I634">
        <v>110</v>
      </c>
      <c r="J634" t="b">
        <v>1</v>
      </c>
      <c r="K634" s="25" t="s">
        <v>25</v>
      </c>
      <c r="M634" s="25" t="s">
        <v>32</v>
      </c>
      <c r="N634">
        <v>2</v>
      </c>
      <c r="O634">
        <v>0.5</v>
      </c>
    </row>
    <row r="635" spans="1:15" x14ac:dyDescent="0.3">
      <c r="A635">
        <v>800</v>
      </c>
      <c r="B635">
        <v>64</v>
      </c>
      <c r="C635" s="25" t="s">
        <v>29</v>
      </c>
      <c r="D635" s="25" t="s">
        <v>24</v>
      </c>
      <c r="E635">
        <v>142</v>
      </c>
      <c r="F635">
        <v>276</v>
      </c>
      <c r="G635" t="b">
        <v>0</v>
      </c>
      <c r="H635" s="25" t="s">
        <v>26</v>
      </c>
      <c r="I635">
        <v>140</v>
      </c>
      <c r="J635" t="b">
        <v>1</v>
      </c>
      <c r="K635" s="25" t="s">
        <v>25</v>
      </c>
      <c r="M635" s="25" t="s">
        <v>27</v>
      </c>
      <c r="N635">
        <v>1</v>
      </c>
      <c r="O635">
        <v>1</v>
      </c>
    </row>
    <row r="636" spans="1:15" x14ac:dyDescent="0.3">
      <c r="A636">
        <v>801</v>
      </c>
      <c r="B636">
        <v>58</v>
      </c>
      <c r="C636" s="25" t="s">
        <v>16</v>
      </c>
      <c r="D636" s="25" t="s">
        <v>24</v>
      </c>
      <c r="E636">
        <v>132</v>
      </c>
      <c r="F636">
        <v>458</v>
      </c>
      <c r="G636" t="b">
        <v>1</v>
      </c>
      <c r="H636" s="25" t="s">
        <v>26</v>
      </c>
      <c r="I636">
        <v>69</v>
      </c>
      <c r="J636" t="b">
        <v>0</v>
      </c>
      <c r="K636" s="25" t="s">
        <v>22</v>
      </c>
      <c r="M636" s="25" t="s">
        <v>32</v>
      </c>
      <c r="N636">
        <v>0</v>
      </c>
      <c r="O636">
        <v>1</v>
      </c>
    </row>
    <row r="637" spans="1:15" x14ac:dyDescent="0.3">
      <c r="A637">
        <v>802</v>
      </c>
      <c r="B637">
        <v>61</v>
      </c>
      <c r="C637" s="25" t="s">
        <v>16</v>
      </c>
      <c r="D637" s="25" t="s">
        <v>24</v>
      </c>
      <c r="E637">
        <v>146</v>
      </c>
      <c r="F637">
        <v>241</v>
      </c>
      <c r="G637" t="b">
        <v>0</v>
      </c>
      <c r="H637" s="25" t="s">
        <v>26</v>
      </c>
      <c r="I637">
        <v>148</v>
      </c>
      <c r="J637" t="b">
        <v>1</v>
      </c>
      <c r="K637" s="25" t="s">
        <v>22</v>
      </c>
      <c r="M637" s="25" t="s">
        <v>32</v>
      </c>
      <c r="N637">
        <v>2</v>
      </c>
      <c r="O637">
        <v>3</v>
      </c>
    </row>
    <row r="638" spans="1:15" x14ac:dyDescent="0.3">
      <c r="A638">
        <v>803</v>
      </c>
      <c r="B638">
        <v>67</v>
      </c>
      <c r="C638" s="25" t="s">
        <v>16</v>
      </c>
      <c r="D638" s="25" t="s">
        <v>24</v>
      </c>
      <c r="E638">
        <v>160</v>
      </c>
      <c r="F638">
        <v>384</v>
      </c>
      <c r="G638" t="b">
        <v>1</v>
      </c>
      <c r="H638" s="25" t="s">
        <v>33</v>
      </c>
      <c r="I638">
        <v>130</v>
      </c>
      <c r="J638" t="b">
        <v>1</v>
      </c>
      <c r="K638" s="25" t="s">
        <v>25</v>
      </c>
      <c r="M638" s="25" t="s">
        <v>32</v>
      </c>
      <c r="N638">
        <v>2</v>
      </c>
      <c r="O638">
        <v>0</v>
      </c>
    </row>
    <row r="639" spans="1:15" x14ac:dyDescent="0.3">
      <c r="A639">
        <v>804</v>
      </c>
      <c r="B639">
        <v>62</v>
      </c>
      <c r="C639" s="25" t="s">
        <v>16</v>
      </c>
      <c r="D639" s="25" t="s">
        <v>24</v>
      </c>
      <c r="E639">
        <v>135</v>
      </c>
      <c r="F639">
        <v>297</v>
      </c>
      <c r="G639" t="b">
        <v>0</v>
      </c>
      <c r="H639" s="25" t="s">
        <v>26</v>
      </c>
      <c r="I639">
        <v>130</v>
      </c>
      <c r="J639" t="b">
        <v>1</v>
      </c>
      <c r="K639" s="25" t="s">
        <v>25</v>
      </c>
      <c r="M639" s="25" t="s">
        <v>32</v>
      </c>
      <c r="N639">
        <v>2</v>
      </c>
      <c r="O639">
        <v>1</v>
      </c>
    </row>
    <row r="640" spans="1:15" x14ac:dyDescent="0.3">
      <c r="A640">
        <v>805</v>
      </c>
      <c r="B640">
        <v>65</v>
      </c>
      <c r="C640" s="25" t="s">
        <v>16</v>
      </c>
      <c r="D640" s="25" t="s">
        <v>24</v>
      </c>
      <c r="E640">
        <v>136</v>
      </c>
      <c r="F640">
        <v>248</v>
      </c>
      <c r="G640" t="b">
        <v>0</v>
      </c>
      <c r="H640" s="25" t="s">
        <v>26</v>
      </c>
      <c r="I640">
        <v>140</v>
      </c>
      <c r="J640" t="b">
        <v>1</v>
      </c>
      <c r="K640" s="25" t="s">
        <v>22</v>
      </c>
      <c r="M640" s="25" t="s">
        <v>32</v>
      </c>
      <c r="N640">
        <v>4</v>
      </c>
      <c r="O640">
        <v>4</v>
      </c>
    </row>
    <row r="641" spans="1:15" x14ac:dyDescent="0.3">
      <c r="A641">
        <v>806</v>
      </c>
      <c r="B641">
        <v>63</v>
      </c>
      <c r="C641" s="25" t="s">
        <v>16</v>
      </c>
      <c r="D641" s="25" t="s">
        <v>24</v>
      </c>
      <c r="E641">
        <v>130</v>
      </c>
      <c r="F641">
        <v>308</v>
      </c>
      <c r="G641" t="b">
        <v>0</v>
      </c>
      <c r="H641" s="25" t="s">
        <v>26</v>
      </c>
      <c r="I641">
        <v>138</v>
      </c>
      <c r="J641" t="b">
        <v>1</v>
      </c>
      <c r="K641" s="25" t="s">
        <v>25</v>
      </c>
      <c r="M641" s="25" t="s">
        <v>32</v>
      </c>
      <c r="N641">
        <v>2</v>
      </c>
      <c r="O641">
        <v>2</v>
      </c>
    </row>
    <row r="642" spans="1:15" x14ac:dyDescent="0.3">
      <c r="A642">
        <v>807</v>
      </c>
      <c r="B642">
        <v>69</v>
      </c>
      <c r="C642" s="25" t="s">
        <v>16</v>
      </c>
      <c r="D642" s="25" t="s">
        <v>24</v>
      </c>
      <c r="E642">
        <v>140</v>
      </c>
      <c r="F642">
        <v>208</v>
      </c>
      <c r="G642" t="b">
        <v>0</v>
      </c>
      <c r="H642" s="25" t="s">
        <v>33</v>
      </c>
      <c r="I642">
        <v>140</v>
      </c>
      <c r="J642" t="b">
        <v>1</v>
      </c>
      <c r="K642" s="25" t="s">
        <v>32</v>
      </c>
      <c r="M642" s="25" t="s">
        <v>32</v>
      </c>
      <c r="N642">
        <v>3</v>
      </c>
      <c r="O642">
        <v>2</v>
      </c>
    </row>
    <row r="643" spans="1:15" x14ac:dyDescent="0.3">
      <c r="A643">
        <v>808</v>
      </c>
      <c r="B643">
        <v>51</v>
      </c>
      <c r="C643" s="25" t="s">
        <v>16</v>
      </c>
      <c r="D643" s="25" t="s">
        <v>24</v>
      </c>
      <c r="F643">
        <v>227</v>
      </c>
      <c r="G643" t="b">
        <v>1</v>
      </c>
      <c r="H643" s="25" t="s">
        <v>33</v>
      </c>
      <c r="K643" s="25" t="s">
        <v>32</v>
      </c>
      <c r="M643" s="25" t="s">
        <v>32</v>
      </c>
      <c r="N643">
        <v>0</v>
      </c>
    </row>
    <row r="644" spans="1:15" x14ac:dyDescent="0.3">
      <c r="A644">
        <v>809</v>
      </c>
      <c r="B644">
        <v>62</v>
      </c>
      <c r="C644" s="25" t="s">
        <v>16</v>
      </c>
      <c r="D644" s="25" t="s">
        <v>24</v>
      </c>
      <c r="E644">
        <v>158</v>
      </c>
      <c r="F644">
        <v>210</v>
      </c>
      <c r="G644" t="b">
        <v>1</v>
      </c>
      <c r="H644" s="25" t="s">
        <v>26</v>
      </c>
      <c r="I644">
        <v>112</v>
      </c>
      <c r="J644" t="b">
        <v>1</v>
      </c>
      <c r="K644" s="25" t="s">
        <v>22</v>
      </c>
      <c r="M644" s="25" t="s">
        <v>32</v>
      </c>
      <c r="N644">
        <v>1</v>
      </c>
      <c r="O644">
        <v>3</v>
      </c>
    </row>
    <row r="645" spans="1:15" x14ac:dyDescent="0.3">
      <c r="A645">
        <v>810</v>
      </c>
      <c r="B645">
        <v>55</v>
      </c>
      <c r="C645" s="25" t="s">
        <v>16</v>
      </c>
      <c r="D645" s="25" t="s">
        <v>28</v>
      </c>
      <c r="F645">
        <v>245</v>
      </c>
      <c r="G645" t="b">
        <v>1</v>
      </c>
      <c r="H645" s="25" t="s">
        <v>33</v>
      </c>
      <c r="K645" s="25" t="s">
        <v>32</v>
      </c>
      <c r="M645" s="25" t="s">
        <v>32</v>
      </c>
      <c r="N645">
        <v>1</v>
      </c>
    </row>
    <row r="646" spans="1:15" x14ac:dyDescent="0.3">
      <c r="A646">
        <v>811</v>
      </c>
      <c r="B646">
        <v>75</v>
      </c>
      <c r="C646" s="25" t="s">
        <v>16</v>
      </c>
      <c r="D646" s="25" t="s">
        <v>24</v>
      </c>
      <c r="E646">
        <v>136</v>
      </c>
      <c r="F646">
        <v>225</v>
      </c>
      <c r="G646" t="b">
        <v>0</v>
      </c>
      <c r="H646" s="25" t="s">
        <v>26</v>
      </c>
      <c r="I646">
        <v>112</v>
      </c>
      <c r="J646" t="b">
        <v>1</v>
      </c>
      <c r="K646" s="25" t="s">
        <v>25</v>
      </c>
      <c r="M646" s="25" t="s">
        <v>32</v>
      </c>
      <c r="N646">
        <v>3</v>
      </c>
      <c r="O646">
        <v>3</v>
      </c>
    </row>
    <row r="647" spans="1:15" x14ac:dyDescent="0.3">
      <c r="A647">
        <v>812</v>
      </c>
      <c r="B647">
        <v>40</v>
      </c>
      <c r="C647" s="25" t="s">
        <v>16</v>
      </c>
      <c r="D647" s="25" t="s">
        <v>28</v>
      </c>
      <c r="E647">
        <v>106</v>
      </c>
      <c r="F647">
        <v>240</v>
      </c>
      <c r="G647" t="b">
        <v>0</v>
      </c>
      <c r="H647" s="25" t="s">
        <v>26</v>
      </c>
      <c r="I647">
        <v>80</v>
      </c>
      <c r="J647" t="b">
        <v>1</v>
      </c>
      <c r="K647" s="25" t="s">
        <v>32</v>
      </c>
      <c r="M647" s="25" t="s">
        <v>27</v>
      </c>
      <c r="N647">
        <v>0</v>
      </c>
      <c r="O647">
        <v>0</v>
      </c>
    </row>
    <row r="648" spans="1:15" x14ac:dyDescent="0.3">
      <c r="A648">
        <v>814</v>
      </c>
      <c r="B648">
        <v>58</v>
      </c>
      <c r="C648" s="25" t="s">
        <v>16</v>
      </c>
      <c r="D648" s="25" t="s">
        <v>24</v>
      </c>
      <c r="E648">
        <v>110</v>
      </c>
      <c r="F648">
        <v>198</v>
      </c>
      <c r="G648" t="b">
        <v>0</v>
      </c>
      <c r="H648" s="25" t="s">
        <v>26</v>
      </c>
      <c r="I648">
        <v>110</v>
      </c>
      <c r="J648" t="b">
        <v>0</v>
      </c>
      <c r="K648" s="25" t="s">
        <v>32</v>
      </c>
      <c r="M648" s="25" t="s">
        <v>32</v>
      </c>
      <c r="N648">
        <v>1</v>
      </c>
      <c r="O648">
        <v>0</v>
      </c>
    </row>
    <row r="649" spans="1:15" x14ac:dyDescent="0.3">
      <c r="A649">
        <v>815</v>
      </c>
      <c r="B649">
        <v>60</v>
      </c>
      <c r="C649" s="25" t="s">
        <v>16</v>
      </c>
      <c r="D649" s="25" t="s">
        <v>24</v>
      </c>
      <c r="F649">
        <v>195</v>
      </c>
      <c r="G649" t="b">
        <v>0</v>
      </c>
      <c r="H649" s="25" t="s">
        <v>26</v>
      </c>
      <c r="K649" s="25" t="s">
        <v>32</v>
      </c>
      <c r="M649" s="25" t="s">
        <v>32</v>
      </c>
      <c r="N649">
        <v>0</v>
      </c>
    </row>
    <row r="650" spans="1:15" x14ac:dyDescent="0.3">
      <c r="A650">
        <v>816</v>
      </c>
      <c r="B650">
        <v>63</v>
      </c>
      <c r="C650" s="25" t="s">
        <v>16</v>
      </c>
      <c r="D650" s="25" t="s">
        <v>24</v>
      </c>
      <c r="E650">
        <v>160</v>
      </c>
      <c r="F650">
        <v>267</v>
      </c>
      <c r="G650" t="b">
        <v>1</v>
      </c>
      <c r="H650" s="25" t="s">
        <v>33</v>
      </c>
      <c r="I650">
        <v>88</v>
      </c>
      <c r="J650" t="b">
        <v>1</v>
      </c>
      <c r="K650" s="25" t="s">
        <v>32</v>
      </c>
      <c r="M650" s="25" t="s">
        <v>32</v>
      </c>
      <c r="N650">
        <v>3</v>
      </c>
      <c r="O650">
        <v>2</v>
      </c>
    </row>
    <row r="651" spans="1:15" x14ac:dyDescent="0.3">
      <c r="A651">
        <v>817</v>
      </c>
      <c r="B651">
        <v>35</v>
      </c>
      <c r="C651" s="25" t="s">
        <v>16</v>
      </c>
      <c r="D651" s="25" t="s">
        <v>28</v>
      </c>
      <c r="F651">
        <v>161</v>
      </c>
      <c r="G651" t="b">
        <v>0</v>
      </c>
      <c r="H651" s="25" t="s">
        <v>33</v>
      </c>
      <c r="K651" s="25" t="s">
        <v>32</v>
      </c>
      <c r="M651" s="25" t="s">
        <v>32</v>
      </c>
      <c r="N651">
        <v>0</v>
      </c>
    </row>
    <row r="652" spans="1:15" x14ac:dyDescent="0.3">
      <c r="A652">
        <v>818</v>
      </c>
      <c r="B652">
        <v>62</v>
      </c>
      <c r="C652" s="25" t="s">
        <v>16</v>
      </c>
      <c r="D652" s="25" t="s">
        <v>18</v>
      </c>
      <c r="E652">
        <v>112</v>
      </c>
      <c r="F652">
        <v>258</v>
      </c>
      <c r="G652" t="b">
        <v>0</v>
      </c>
      <c r="H652" s="25" t="s">
        <v>33</v>
      </c>
      <c r="I652">
        <v>150</v>
      </c>
      <c r="J652" t="b">
        <v>1</v>
      </c>
      <c r="K652" s="25" t="s">
        <v>32</v>
      </c>
      <c r="M652" s="25" t="s">
        <v>32</v>
      </c>
      <c r="N652">
        <v>1</v>
      </c>
    </row>
    <row r="653" spans="1:15" x14ac:dyDescent="0.3">
      <c r="A653">
        <v>821</v>
      </c>
      <c r="B653">
        <v>68</v>
      </c>
      <c r="C653" s="25" t="s">
        <v>16</v>
      </c>
      <c r="D653" s="25" t="s">
        <v>28</v>
      </c>
      <c r="E653">
        <v>150</v>
      </c>
      <c r="F653">
        <v>195</v>
      </c>
      <c r="G653" t="b">
        <v>1</v>
      </c>
      <c r="H653" s="25" t="s">
        <v>26</v>
      </c>
      <c r="I653">
        <v>132</v>
      </c>
      <c r="J653" t="b">
        <v>0</v>
      </c>
      <c r="K653" s="25" t="s">
        <v>32</v>
      </c>
      <c r="M653" s="25" t="s">
        <v>23</v>
      </c>
      <c r="N653">
        <v>1</v>
      </c>
      <c r="O653">
        <v>0</v>
      </c>
    </row>
    <row r="654" spans="1:15" x14ac:dyDescent="0.3">
      <c r="A654">
        <v>822</v>
      </c>
      <c r="B654">
        <v>65</v>
      </c>
      <c r="C654" s="25" t="s">
        <v>16</v>
      </c>
      <c r="D654" s="25" t="s">
        <v>24</v>
      </c>
      <c r="E654">
        <v>150</v>
      </c>
      <c r="F654">
        <v>235</v>
      </c>
      <c r="G654" t="b">
        <v>0</v>
      </c>
      <c r="H654" s="25" t="s">
        <v>26</v>
      </c>
      <c r="I654">
        <v>120</v>
      </c>
      <c r="J654" t="b">
        <v>1</v>
      </c>
      <c r="K654" s="25" t="s">
        <v>25</v>
      </c>
      <c r="M654" s="25" t="s">
        <v>32</v>
      </c>
      <c r="N654">
        <v>3</v>
      </c>
      <c r="O654">
        <v>0.5</v>
      </c>
    </row>
    <row r="655" spans="1:15" x14ac:dyDescent="0.3">
      <c r="A655">
        <v>824</v>
      </c>
      <c r="B655">
        <v>63</v>
      </c>
      <c r="C655" s="25" t="s">
        <v>16</v>
      </c>
      <c r="D655" s="25" t="s">
        <v>24</v>
      </c>
      <c r="E655">
        <v>96</v>
      </c>
      <c r="F655">
        <v>305</v>
      </c>
      <c r="G655" t="b">
        <v>0</v>
      </c>
      <c r="H655" s="25" t="s">
        <v>33</v>
      </c>
      <c r="I655">
        <v>121</v>
      </c>
      <c r="J655" t="b">
        <v>1</v>
      </c>
      <c r="K655" s="25" t="s">
        <v>31</v>
      </c>
      <c r="M655" s="25" t="s">
        <v>32</v>
      </c>
      <c r="N655">
        <v>1</v>
      </c>
      <c r="O655">
        <v>1</v>
      </c>
    </row>
    <row r="656" spans="1:15" x14ac:dyDescent="0.3">
      <c r="A656">
        <v>825</v>
      </c>
      <c r="B656">
        <v>64</v>
      </c>
      <c r="C656" s="25" t="s">
        <v>16</v>
      </c>
      <c r="D656" s="25" t="s">
        <v>24</v>
      </c>
      <c r="E656">
        <v>130</v>
      </c>
      <c r="F656">
        <v>223</v>
      </c>
      <c r="G656" t="b">
        <v>0</v>
      </c>
      <c r="H656" s="25" t="s">
        <v>33</v>
      </c>
      <c r="I656">
        <v>128</v>
      </c>
      <c r="J656" t="b">
        <v>0</v>
      </c>
      <c r="K656" s="25" t="s">
        <v>25</v>
      </c>
      <c r="M656" s="25" t="s">
        <v>32</v>
      </c>
      <c r="N656">
        <v>0</v>
      </c>
      <c r="O656">
        <v>0.5</v>
      </c>
    </row>
    <row r="657" spans="1:15" x14ac:dyDescent="0.3">
      <c r="A657">
        <v>826</v>
      </c>
      <c r="B657">
        <v>61</v>
      </c>
      <c r="C657" s="25" t="s">
        <v>16</v>
      </c>
      <c r="D657" s="25" t="s">
        <v>24</v>
      </c>
      <c r="E657">
        <v>120</v>
      </c>
      <c r="F657">
        <v>282</v>
      </c>
      <c r="G657" t="b">
        <v>0</v>
      </c>
      <c r="H657" s="25" t="s">
        <v>33</v>
      </c>
      <c r="I657">
        <v>135</v>
      </c>
      <c r="J657" t="b">
        <v>1</v>
      </c>
      <c r="K657" s="25" t="s">
        <v>22</v>
      </c>
      <c r="M657" s="25" t="s">
        <v>23</v>
      </c>
      <c r="N657">
        <v>3</v>
      </c>
      <c r="O657">
        <v>4</v>
      </c>
    </row>
    <row r="658" spans="1:15" x14ac:dyDescent="0.3">
      <c r="A658">
        <v>827</v>
      </c>
      <c r="B658">
        <v>50</v>
      </c>
      <c r="C658" s="25" t="s">
        <v>16</v>
      </c>
      <c r="D658" s="25" t="s">
        <v>24</v>
      </c>
      <c r="E658">
        <v>144</v>
      </c>
      <c r="F658">
        <v>349</v>
      </c>
      <c r="G658" t="b">
        <v>0</v>
      </c>
      <c r="H658" s="25" t="s">
        <v>20</v>
      </c>
      <c r="I658">
        <v>120</v>
      </c>
      <c r="J658" t="b">
        <v>1</v>
      </c>
      <c r="K658" s="25" t="s">
        <v>31</v>
      </c>
      <c r="M658" s="25" t="s">
        <v>27</v>
      </c>
      <c r="N658">
        <v>1</v>
      </c>
      <c r="O658">
        <v>1</v>
      </c>
    </row>
    <row r="659" spans="1:15" x14ac:dyDescent="0.3">
      <c r="A659">
        <v>828</v>
      </c>
      <c r="B659">
        <v>59</v>
      </c>
      <c r="C659" s="25" t="s">
        <v>16</v>
      </c>
      <c r="D659" s="25" t="s">
        <v>24</v>
      </c>
      <c r="E659">
        <v>124</v>
      </c>
      <c r="G659" t="b">
        <v>0</v>
      </c>
      <c r="H659" s="25" t="s">
        <v>26</v>
      </c>
      <c r="I659">
        <v>117</v>
      </c>
      <c r="J659" t="b">
        <v>1</v>
      </c>
      <c r="K659" s="25" t="s">
        <v>25</v>
      </c>
      <c r="M659" s="25" t="s">
        <v>32</v>
      </c>
      <c r="N659">
        <v>1</v>
      </c>
      <c r="O659">
        <v>1</v>
      </c>
    </row>
    <row r="660" spans="1:15" x14ac:dyDescent="0.3">
      <c r="A660">
        <v>829</v>
      </c>
      <c r="B660">
        <v>55</v>
      </c>
      <c r="C660" s="25" t="s">
        <v>16</v>
      </c>
      <c r="D660" s="25" t="s">
        <v>24</v>
      </c>
      <c r="E660">
        <v>150</v>
      </c>
      <c r="F660">
        <v>160</v>
      </c>
      <c r="G660" t="b">
        <v>0</v>
      </c>
      <c r="H660" s="25" t="s">
        <v>33</v>
      </c>
      <c r="I660">
        <v>150</v>
      </c>
      <c r="J660" t="b">
        <v>0</v>
      </c>
      <c r="K660" s="25" t="s">
        <v>32</v>
      </c>
      <c r="M660" s="25" t="s">
        <v>32</v>
      </c>
      <c r="N660">
        <v>0</v>
      </c>
      <c r="O660">
        <v>0</v>
      </c>
    </row>
    <row r="661" spans="1:15" x14ac:dyDescent="0.3">
      <c r="A661">
        <v>830</v>
      </c>
      <c r="B661">
        <v>45</v>
      </c>
      <c r="C661" s="25" t="s">
        <v>16</v>
      </c>
      <c r="D661" s="25" t="s">
        <v>28</v>
      </c>
      <c r="F661">
        <v>236</v>
      </c>
      <c r="G661" t="b">
        <v>0</v>
      </c>
      <c r="H661" s="25" t="s">
        <v>26</v>
      </c>
      <c r="K661" s="25" t="s">
        <v>32</v>
      </c>
      <c r="M661" s="25" t="s">
        <v>32</v>
      </c>
      <c r="N661">
        <v>0</v>
      </c>
    </row>
    <row r="662" spans="1:15" x14ac:dyDescent="0.3">
      <c r="A662">
        <v>831</v>
      </c>
      <c r="B662">
        <v>65</v>
      </c>
      <c r="C662" s="25" t="s">
        <v>16</v>
      </c>
      <c r="D662" s="25" t="s">
        <v>24</v>
      </c>
      <c r="F662">
        <v>312</v>
      </c>
      <c r="G662" t="b">
        <v>0</v>
      </c>
      <c r="H662" s="25" t="s">
        <v>20</v>
      </c>
      <c r="K662" s="25" t="s">
        <v>32</v>
      </c>
      <c r="M662" s="25" t="s">
        <v>32</v>
      </c>
      <c r="N662">
        <v>3</v>
      </c>
    </row>
    <row r="663" spans="1:15" x14ac:dyDescent="0.3">
      <c r="A663">
        <v>832</v>
      </c>
      <c r="B663">
        <v>61</v>
      </c>
      <c r="C663" s="25" t="s">
        <v>16</v>
      </c>
      <c r="D663" s="25" t="s">
        <v>30</v>
      </c>
      <c r="F663">
        <v>283</v>
      </c>
      <c r="G663" t="b">
        <v>0</v>
      </c>
      <c r="H663" s="25" t="s">
        <v>26</v>
      </c>
      <c r="K663" s="25" t="s">
        <v>32</v>
      </c>
      <c r="M663" s="25" t="s">
        <v>32</v>
      </c>
      <c r="N663">
        <v>0</v>
      </c>
    </row>
    <row r="664" spans="1:15" x14ac:dyDescent="0.3">
      <c r="A664">
        <v>833</v>
      </c>
      <c r="B664">
        <v>49</v>
      </c>
      <c r="C664" s="25" t="s">
        <v>16</v>
      </c>
      <c r="D664" s="25" t="s">
        <v>28</v>
      </c>
      <c r="F664">
        <v>142</v>
      </c>
      <c r="G664" t="b">
        <v>0</v>
      </c>
      <c r="H664" s="25" t="s">
        <v>26</v>
      </c>
      <c r="K664" s="25" t="s">
        <v>32</v>
      </c>
      <c r="M664" s="25" t="s">
        <v>32</v>
      </c>
      <c r="N664">
        <v>3</v>
      </c>
    </row>
    <row r="665" spans="1:15" x14ac:dyDescent="0.3">
      <c r="A665">
        <v>834</v>
      </c>
      <c r="B665">
        <v>72</v>
      </c>
      <c r="C665" s="25" t="s">
        <v>16</v>
      </c>
      <c r="D665" s="25" t="s">
        <v>24</v>
      </c>
      <c r="F665">
        <v>211</v>
      </c>
      <c r="G665" t="b">
        <v>0</v>
      </c>
      <c r="H665" s="25" t="s">
        <v>26</v>
      </c>
      <c r="K665" s="25" t="s">
        <v>32</v>
      </c>
      <c r="M665" s="25" t="s">
        <v>32</v>
      </c>
      <c r="N665">
        <v>1</v>
      </c>
    </row>
    <row r="666" spans="1:15" x14ac:dyDescent="0.3">
      <c r="A666">
        <v>835</v>
      </c>
      <c r="B666">
        <v>50</v>
      </c>
      <c r="C666" s="25" t="s">
        <v>16</v>
      </c>
      <c r="D666" s="25" t="s">
        <v>24</v>
      </c>
      <c r="F666">
        <v>218</v>
      </c>
      <c r="G666" t="b">
        <v>0</v>
      </c>
      <c r="H666" s="25" t="s">
        <v>26</v>
      </c>
      <c r="K666" s="25" t="s">
        <v>32</v>
      </c>
      <c r="M666" s="25" t="s">
        <v>32</v>
      </c>
      <c r="N666">
        <v>1</v>
      </c>
    </row>
    <row r="667" spans="1:15" x14ac:dyDescent="0.3">
      <c r="A667">
        <v>836</v>
      </c>
      <c r="B667">
        <v>64</v>
      </c>
      <c r="C667" s="25" t="s">
        <v>16</v>
      </c>
      <c r="D667" s="25" t="s">
        <v>24</v>
      </c>
      <c r="F667">
        <v>306</v>
      </c>
      <c r="G667" t="b">
        <v>1</v>
      </c>
      <c r="H667" s="25" t="s">
        <v>33</v>
      </c>
      <c r="K667" s="25" t="s">
        <v>32</v>
      </c>
      <c r="M667" s="25" t="s">
        <v>32</v>
      </c>
      <c r="N667">
        <v>3</v>
      </c>
    </row>
    <row r="668" spans="1:15" x14ac:dyDescent="0.3">
      <c r="A668">
        <v>837</v>
      </c>
      <c r="B668">
        <v>55</v>
      </c>
      <c r="C668" s="25" t="s">
        <v>16</v>
      </c>
      <c r="D668" s="25" t="s">
        <v>24</v>
      </c>
      <c r="E668">
        <v>116</v>
      </c>
      <c r="F668">
        <v>186</v>
      </c>
      <c r="G668" t="b">
        <v>1</v>
      </c>
      <c r="H668" s="25" t="s">
        <v>33</v>
      </c>
      <c r="I668">
        <v>102</v>
      </c>
      <c r="J668" t="b">
        <v>0</v>
      </c>
      <c r="K668" s="25" t="s">
        <v>32</v>
      </c>
      <c r="M668" s="25" t="s">
        <v>32</v>
      </c>
      <c r="N668">
        <v>2</v>
      </c>
      <c r="O668">
        <v>0</v>
      </c>
    </row>
    <row r="669" spans="1:15" x14ac:dyDescent="0.3">
      <c r="A669">
        <v>838</v>
      </c>
      <c r="B669">
        <v>63</v>
      </c>
      <c r="C669" s="25" t="s">
        <v>16</v>
      </c>
      <c r="D669" s="25" t="s">
        <v>24</v>
      </c>
      <c r="E669">
        <v>110</v>
      </c>
      <c r="F669">
        <v>252</v>
      </c>
      <c r="G669" t="b">
        <v>0</v>
      </c>
      <c r="H669" s="25" t="s">
        <v>33</v>
      </c>
      <c r="I669">
        <v>140</v>
      </c>
      <c r="J669" t="b">
        <v>1</v>
      </c>
      <c r="K669" s="25" t="s">
        <v>25</v>
      </c>
      <c r="M669" s="25" t="s">
        <v>32</v>
      </c>
      <c r="N669">
        <v>2</v>
      </c>
      <c r="O669">
        <v>2</v>
      </c>
    </row>
    <row r="670" spans="1:15" x14ac:dyDescent="0.3">
      <c r="A670">
        <v>839</v>
      </c>
      <c r="B670">
        <v>59</v>
      </c>
      <c r="C670" s="25" t="s">
        <v>16</v>
      </c>
      <c r="D670" s="25" t="s">
        <v>24</v>
      </c>
      <c r="E670">
        <v>125</v>
      </c>
      <c r="F670">
        <v>222</v>
      </c>
      <c r="G670" t="b">
        <v>0</v>
      </c>
      <c r="H670" s="25" t="s">
        <v>26</v>
      </c>
      <c r="I670">
        <v>135</v>
      </c>
      <c r="J670" t="b">
        <v>1</v>
      </c>
      <c r="K670" s="25" t="s">
        <v>22</v>
      </c>
      <c r="M670" s="25" t="s">
        <v>32</v>
      </c>
      <c r="N670">
        <v>3</v>
      </c>
      <c r="O670">
        <v>0.5</v>
      </c>
    </row>
    <row r="671" spans="1:15" x14ac:dyDescent="0.3">
      <c r="A671">
        <v>842</v>
      </c>
      <c r="B671">
        <v>74</v>
      </c>
      <c r="C671" s="25" t="s">
        <v>16</v>
      </c>
      <c r="D671" s="25" t="s">
        <v>24</v>
      </c>
      <c r="E671">
        <v>150</v>
      </c>
      <c r="F671">
        <v>258</v>
      </c>
      <c r="G671" t="b">
        <v>1</v>
      </c>
      <c r="H671" s="25" t="s">
        <v>33</v>
      </c>
      <c r="I671">
        <v>130</v>
      </c>
      <c r="J671" t="b">
        <v>1</v>
      </c>
      <c r="K671" s="25" t="s">
        <v>22</v>
      </c>
      <c r="M671" s="25" t="s">
        <v>32</v>
      </c>
      <c r="N671">
        <v>3</v>
      </c>
      <c r="O671">
        <v>4</v>
      </c>
    </row>
    <row r="672" spans="1:15" x14ac:dyDescent="0.3">
      <c r="A672">
        <v>843</v>
      </c>
      <c r="B672">
        <v>54</v>
      </c>
      <c r="C672" s="25" t="s">
        <v>16</v>
      </c>
      <c r="D672" s="25" t="s">
        <v>24</v>
      </c>
      <c r="E672">
        <v>130</v>
      </c>
      <c r="F672">
        <v>202</v>
      </c>
      <c r="G672" t="b">
        <v>1</v>
      </c>
      <c r="H672" s="25" t="s">
        <v>26</v>
      </c>
      <c r="I672">
        <v>112</v>
      </c>
      <c r="J672" t="b">
        <v>1</v>
      </c>
      <c r="K672" s="25" t="s">
        <v>25</v>
      </c>
      <c r="M672" s="25" t="s">
        <v>32</v>
      </c>
      <c r="N672">
        <v>1</v>
      </c>
      <c r="O672">
        <v>2</v>
      </c>
    </row>
    <row r="673" spans="1:15" x14ac:dyDescent="0.3">
      <c r="A673">
        <v>844</v>
      </c>
      <c r="B673">
        <v>57</v>
      </c>
      <c r="C673" s="25" t="s">
        <v>16</v>
      </c>
      <c r="D673" s="25" t="s">
        <v>24</v>
      </c>
      <c r="E673">
        <v>110</v>
      </c>
      <c r="F673">
        <v>197</v>
      </c>
      <c r="G673" t="b">
        <v>0</v>
      </c>
      <c r="H673" s="25" t="s">
        <v>20</v>
      </c>
      <c r="I673">
        <v>100</v>
      </c>
      <c r="J673" t="b">
        <v>0</v>
      </c>
      <c r="K673" s="25" t="s">
        <v>32</v>
      </c>
      <c r="M673" s="25" t="s">
        <v>32</v>
      </c>
      <c r="N673">
        <v>0</v>
      </c>
      <c r="O673">
        <v>0</v>
      </c>
    </row>
    <row r="674" spans="1:15" x14ac:dyDescent="0.3">
      <c r="A674">
        <v>845</v>
      </c>
      <c r="B674">
        <v>62</v>
      </c>
      <c r="C674" s="25" t="s">
        <v>16</v>
      </c>
      <c r="D674" s="25" t="s">
        <v>28</v>
      </c>
      <c r="F674">
        <v>204</v>
      </c>
      <c r="G674" t="b">
        <v>0</v>
      </c>
      <c r="H674" s="25" t="s">
        <v>33</v>
      </c>
      <c r="K674" s="25" t="s">
        <v>32</v>
      </c>
      <c r="M674" s="25" t="s">
        <v>32</v>
      </c>
      <c r="N674">
        <v>1</v>
      </c>
    </row>
    <row r="675" spans="1:15" x14ac:dyDescent="0.3">
      <c r="A675">
        <v>846</v>
      </c>
      <c r="B675">
        <v>76</v>
      </c>
      <c r="C675" s="25" t="s">
        <v>16</v>
      </c>
      <c r="D675" s="25" t="s">
        <v>28</v>
      </c>
      <c r="E675">
        <v>104</v>
      </c>
      <c r="G675" t="b">
        <v>0</v>
      </c>
      <c r="H675" s="25" t="s">
        <v>20</v>
      </c>
      <c r="I675">
        <v>120</v>
      </c>
      <c r="J675" t="b">
        <v>0</v>
      </c>
      <c r="K675" s="25" t="s">
        <v>22</v>
      </c>
      <c r="M675" s="25" t="s">
        <v>32</v>
      </c>
      <c r="N675">
        <v>4</v>
      </c>
      <c r="O675">
        <v>0.5</v>
      </c>
    </row>
    <row r="676" spans="1:15" x14ac:dyDescent="0.3">
      <c r="A676">
        <v>847</v>
      </c>
      <c r="B676">
        <v>54</v>
      </c>
      <c r="C676" s="25" t="s">
        <v>29</v>
      </c>
      <c r="D676" s="25" t="s">
        <v>24</v>
      </c>
      <c r="E676">
        <v>138</v>
      </c>
      <c r="F676">
        <v>274</v>
      </c>
      <c r="G676" t="b">
        <v>0</v>
      </c>
      <c r="H676" s="25" t="s">
        <v>26</v>
      </c>
      <c r="I676">
        <v>105</v>
      </c>
      <c r="J676" t="b">
        <v>1</v>
      </c>
      <c r="K676" s="25" t="s">
        <v>25</v>
      </c>
      <c r="M676" s="25" t="s">
        <v>32</v>
      </c>
      <c r="N676">
        <v>1</v>
      </c>
      <c r="O676">
        <v>0.5</v>
      </c>
    </row>
    <row r="677" spans="1:15" x14ac:dyDescent="0.3">
      <c r="A677">
        <v>848</v>
      </c>
      <c r="B677">
        <v>70</v>
      </c>
      <c r="C677" s="25" t="s">
        <v>16</v>
      </c>
      <c r="D677" s="25" t="s">
        <v>24</v>
      </c>
      <c r="E677">
        <v>170</v>
      </c>
      <c r="F677">
        <v>192</v>
      </c>
      <c r="G677" t="b">
        <v>0</v>
      </c>
      <c r="H677" s="25" t="s">
        <v>33</v>
      </c>
      <c r="I677">
        <v>129</v>
      </c>
      <c r="J677" t="b">
        <v>1</v>
      </c>
      <c r="K677" s="25" t="s">
        <v>22</v>
      </c>
      <c r="M677" s="25" t="s">
        <v>32</v>
      </c>
      <c r="N677">
        <v>2</v>
      </c>
      <c r="O677">
        <v>3</v>
      </c>
    </row>
    <row r="678" spans="1:15" x14ac:dyDescent="0.3">
      <c r="A678">
        <v>849</v>
      </c>
      <c r="B678">
        <v>61</v>
      </c>
      <c r="C678" s="25" t="s">
        <v>29</v>
      </c>
      <c r="D678" s="25" t="s">
        <v>30</v>
      </c>
      <c r="E678">
        <v>140</v>
      </c>
      <c r="F678">
        <v>298</v>
      </c>
      <c r="G678" t="b">
        <v>1</v>
      </c>
      <c r="H678" s="25" t="s">
        <v>26</v>
      </c>
      <c r="I678">
        <v>120</v>
      </c>
      <c r="J678" t="b">
        <v>1</v>
      </c>
      <c r="K678" s="25" t="s">
        <v>32</v>
      </c>
      <c r="M678" s="25" t="s">
        <v>27</v>
      </c>
      <c r="N678">
        <v>0</v>
      </c>
      <c r="O678">
        <v>0</v>
      </c>
    </row>
    <row r="679" spans="1:15" x14ac:dyDescent="0.3">
      <c r="A679">
        <v>850</v>
      </c>
      <c r="B679">
        <v>48</v>
      </c>
      <c r="C679" s="25" t="s">
        <v>16</v>
      </c>
      <c r="D679" s="25" t="s">
        <v>24</v>
      </c>
      <c r="F679">
        <v>272</v>
      </c>
      <c r="G679" t="b">
        <v>0</v>
      </c>
      <c r="H679" s="25" t="s">
        <v>33</v>
      </c>
      <c r="K679" s="25" t="s">
        <v>32</v>
      </c>
      <c r="M679" s="25" t="s">
        <v>32</v>
      </c>
      <c r="N679">
        <v>0</v>
      </c>
    </row>
    <row r="680" spans="1:15" x14ac:dyDescent="0.3">
      <c r="A680">
        <v>851</v>
      </c>
      <c r="B680">
        <v>48</v>
      </c>
      <c r="C680" s="25" t="s">
        <v>16</v>
      </c>
      <c r="D680" s="25" t="s">
        <v>28</v>
      </c>
      <c r="E680">
        <v>132</v>
      </c>
      <c r="F680">
        <v>220</v>
      </c>
      <c r="G680" t="b">
        <v>1</v>
      </c>
      <c r="H680" s="25" t="s">
        <v>33</v>
      </c>
      <c r="I680">
        <v>162</v>
      </c>
      <c r="J680" t="b">
        <v>0</v>
      </c>
      <c r="K680" s="25" t="s">
        <v>32</v>
      </c>
      <c r="M680" s="25" t="s">
        <v>23</v>
      </c>
      <c r="N680">
        <v>1</v>
      </c>
      <c r="O680">
        <v>0</v>
      </c>
    </row>
    <row r="681" spans="1:15" x14ac:dyDescent="0.3">
      <c r="A681">
        <v>852</v>
      </c>
      <c r="B681">
        <v>61</v>
      </c>
      <c r="C681" s="25" t="s">
        <v>16</v>
      </c>
      <c r="D681" s="25" t="s">
        <v>18</v>
      </c>
      <c r="E681">
        <v>142</v>
      </c>
      <c r="F681">
        <v>200</v>
      </c>
      <c r="G681" t="b">
        <v>1</v>
      </c>
      <c r="H681" s="25" t="s">
        <v>33</v>
      </c>
      <c r="I681">
        <v>100</v>
      </c>
      <c r="J681" t="b">
        <v>0</v>
      </c>
      <c r="K681" s="25" t="s">
        <v>22</v>
      </c>
      <c r="M681" s="25" t="s">
        <v>32</v>
      </c>
      <c r="N681">
        <v>3</v>
      </c>
      <c r="O681">
        <v>0.5</v>
      </c>
    </row>
    <row r="682" spans="1:15" x14ac:dyDescent="0.3">
      <c r="A682">
        <v>853</v>
      </c>
      <c r="B682">
        <v>66</v>
      </c>
      <c r="C682" s="25" t="s">
        <v>16</v>
      </c>
      <c r="D682" s="25" t="s">
        <v>24</v>
      </c>
      <c r="E682">
        <v>112</v>
      </c>
      <c r="F682">
        <v>261</v>
      </c>
      <c r="G682" t="b">
        <v>0</v>
      </c>
      <c r="H682" s="25" t="s">
        <v>26</v>
      </c>
      <c r="I682">
        <v>140</v>
      </c>
      <c r="J682" t="b">
        <v>0</v>
      </c>
      <c r="K682" s="25" t="s">
        <v>31</v>
      </c>
      <c r="M682" s="25" t="s">
        <v>32</v>
      </c>
      <c r="N682">
        <v>1</v>
      </c>
      <c r="O682">
        <v>0.5</v>
      </c>
    </row>
    <row r="683" spans="1:15" x14ac:dyDescent="0.3">
      <c r="A683">
        <v>854</v>
      </c>
      <c r="B683">
        <v>68</v>
      </c>
      <c r="C683" s="25" t="s">
        <v>16</v>
      </c>
      <c r="D683" s="25" t="s">
        <v>18</v>
      </c>
      <c r="F683">
        <v>181</v>
      </c>
      <c r="G683" t="b">
        <v>1</v>
      </c>
      <c r="H683" s="25" t="s">
        <v>33</v>
      </c>
      <c r="K683" s="25" t="s">
        <v>32</v>
      </c>
      <c r="M683" s="25" t="s">
        <v>32</v>
      </c>
      <c r="N683">
        <v>0</v>
      </c>
    </row>
    <row r="684" spans="1:15" x14ac:dyDescent="0.3">
      <c r="A684">
        <v>855</v>
      </c>
      <c r="B684">
        <v>55</v>
      </c>
      <c r="C684" s="25" t="s">
        <v>16</v>
      </c>
      <c r="D684" s="25" t="s">
        <v>24</v>
      </c>
      <c r="E684">
        <v>172</v>
      </c>
      <c r="F684">
        <v>260</v>
      </c>
      <c r="G684" t="b">
        <v>0</v>
      </c>
      <c r="H684" s="25" t="s">
        <v>26</v>
      </c>
      <c r="I684">
        <v>73</v>
      </c>
      <c r="J684" t="b">
        <v>0</v>
      </c>
      <c r="K684" s="25" t="s">
        <v>32</v>
      </c>
      <c r="M684" s="25" t="s">
        <v>32</v>
      </c>
      <c r="N684">
        <v>3</v>
      </c>
      <c r="O684">
        <v>2</v>
      </c>
    </row>
    <row r="685" spans="1:15" x14ac:dyDescent="0.3">
      <c r="A685">
        <v>856</v>
      </c>
      <c r="B685">
        <v>62</v>
      </c>
      <c r="C685" s="25" t="s">
        <v>16</v>
      </c>
      <c r="D685" s="25" t="s">
        <v>28</v>
      </c>
      <c r="E685">
        <v>120</v>
      </c>
      <c r="F685">
        <v>220</v>
      </c>
      <c r="G685" t="b">
        <v>0</v>
      </c>
      <c r="H685" s="25" t="s">
        <v>20</v>
      </c>
      <c r="I685">
        <v>86</v>
      </c>
      <c r="J685" t="b">
        <v>0</v>
      </c>
      <c r="K685" s="25" t="s">
        <v>32</v>
      </c>
      <c r="M685" s="25" t="s">
        <v>32</v>
      </c>
      <c r="N685">
        <v>0</v>
      </c>
      <c r="O685">
        <v>0</v>
      </c>
    </row>
    <row r="686" spans="1:15" x14ac:dyDescent="0.3">
      <c r="A686">
        <v>857</v>
      </c>
      <c r="B686">
        <v>71</v>
      </c>
      <c r="C686" s="25" t="s">
        <v>16</v>
      </c>
      <c r="D686" s="25" t="s">
        <v>28</v>
      </c>
      <c r="F686">
        <v>221</v>
      </c>
      <c r="G686" t="b">
        <v>0</v>
      </c>
      <c r="H686" s="25" t="s">
        <v>26</v>
      </c>
      <c r="K686" s="25" t="s">
        <v>32</v>
      </c>
      <c r="M686" s="25" t="s">
        <v>32</v>
      </c>
      <c r="N686">
        <v>3</v>
      </c>
    </row>
    <row r="687" spans="1:15" x14ac:dyDescent="0.3">
      <c r="A687">
        <v>858</v>
      </c>
      <c r="B687">
        <v>74</v>
      </c>
      <c r="C687" s="25" t="s">
        <v>16</v>
      </c>
      <c r="D687" s="25" t="s">
        <v>18</v>
      </c>
      <c r="F687">
        <v>216</v>
      </c>
      <c r="G687" t="b">
        <v>1</v>
      </c>
      <c r="H687" s="25" t="s">
        <v>26</v>
      </c>
      <c r="K687" s="25" t="s">
        <v>32</v>
      </c>
      <c r="M687" s="25" t="s">
        <v>32</v>
      </c>
      <c r="N687">
        <v>3</v>
      </c>
    </row>
    <row r="688" spans="1:15" x14ac:dyDescent="0.3">
      <c r="A688">
        <v>859</v>
      </c>
      <c r="B688">
        <v>53</v>
      </c>
      <c r="C688" s="25" t="s">
        <v>16</v>
      </c>
      <c r="D688" s="25" t="s">
        <v>28</v>
      </c>
      <c r="E688">
        <v>155</v>
      </c>
      <c r="F688">
        <v>175</v>
      </c>
      <c r="G688" t="b">
        <v>1</v>
      </c>
      <c r="H688" s="25" t="s">
        <v>33</v>
      </c>
      <c r="I688">
        <v>160</v>
      </c>
      <c r="J688" t="b">
        <v>0</v>
      </c>
      <c r="K688" s="25" t="s">
        <v>32</v>
      </c>
      <c r="M688" s="25" t="s">
        <v>23</v>
      </c>
      <c r="N688">
        <v>0</v>
      </c>
    </row>
    <row r="689" spans="1:15" x14ac:dyDescent="0.3">
      <c r="A689">
        <v>860</v>
      </c>
      <c r="B689">
        <v>58</v>
      </c>
      <c r="C689" s="25" t="s">
        <v>16</v>
      </c>
      <c r="D689" s="25" t="s">
        <v>28</v>
      </c>
      <c r="E689">
        <v>150</v>
      </c>
      <c r="F689">
        <v>219</v>
      </c>
      <c r="G689" t="b">
        <v>0</v>
      </c>
      <c r="H689" s="25" t="s">
        <v>33</v>
      </c>
      <c r="I689">
        <v>118</v>
      </c>
      <c r="J689" t="b">
        <v>1</v>
      </c>
      <c r="K689" s="25" t="s">
        <v>32</v>
      </c>
      <c r="M689" s="25" t="s">
        <v>32</v>
      </c>
      <c r="N689">
        <v>2</v>
      </c>
      <c r="O689">
        <v>0</v>
      </c>
    </row>
    <row r="690" spans="1:15" x14ac:dyDescent="0.3">
      <c r="A690">
        <v>861</v>
      </c>
      <c r="B690">
        <v>75</v>
      </c>
      <c r="C690" s="25" t="s">
        <v>16</v>
      </c>
      <c r="D690" s="25" t="s">
        <v>24</v>
      </c>
      <c r="E690">
        <v>160</v>
      </c>
      <c r="F690">
        <v>310</v>
      </c>
      <c r="G690" t="b">
        <v>1</v>
      </c>
      <c r="H690" s="25" t="s">
        <v>26</v>
      </c>
      <c r="I690">
        <v>112</v>
      </c>
      <c r="J690" t="b">
        <v>1</v>
      </c>
      <c r="K690" s="25" t="s">
        <v>22</v>
      </c>
      <c r="M690" s="25" t="s">
        <v>27</v>
      </c>
      <c r="N690">
        <v>0</v>
      </c>
      <c r="O690">
        <v>2</v>
      </c>
    </row>
    <row r="691" spans="1:15" x14ac:dyDescent="0.3">
      <c r="A691">
        <v>862</v>
      </c>
      <c r="B691">
        <v>56</v>
      </c>
      <c r="C691" s="25" t="s">
        <v>16</v>
      </c>
      <c r="D691" s="25" t="s">
        <v>28</v>
      </c>
      <c r="F691">
        <v>208</v>
      </c>
      <c r="G691" t="b">
        <v>1</v>
      </c>
      <c r="H691" s="25" t="s">
        <v>33</v>
      </c>
      <c r="K691" s="25" t="s">
        <v>32</v>
      </c>
      <c r="M691" s="25" t="s">
        <v>32</v>
      </c>
      <c r="N691">
        <v>4</v>
      </c>
    </row>
    <row r="692" spans="1:15" x14ac:dyDescent="0.3">
      <c r="A692">
        <v>863</v>
      </c>
      <c r="B692">
        <v>58</v>
      </c>
      <c r="C692" s="25" t="s">
        <v>16</v>
      </c>
      <c r="D692" s="25" t="s">
        <v>28</v>
      </c>
      <c r="F692">
        <v>232</v>
      </c>
      <c r="G692" t="b">
        <v>0</v>
      </c>
      <c r="H692" s="25" t="s">
        <v>33</v>
      </c>
      <c r="K692" s="25" t="s">
        <v>32</v>
      </c>
      <c r="M692" s="25" t="s">
        <v>32</v>
      </c>
      <c r="N692">
        <v>2</v>
      </c>
    </row>
    <row r="693" spans="1:15" x14ac:dyDescent="0.3">
      <c r="A693">
        <v>864</v>
      </c>
      <c r="B693">
        <v>64</v>
      </c>
      <c r="C693" s="25" t="s">
        <v>16</v>
      </c>
      <c r="D693" s="25" t="s">
        <v>24</v>
      </c>
      <c r="E693">
        <v>134</v>
      </c>
      <c r="F693">
        <v>273</v>
      </c>
      <c r="G693" t="b">
        <v>0</v>
      </c>
      <c r="H693" s="25" t="s">
        <v>26</v>
      </c>
      <c r="I693">
        <v>102</v>
      </c>
      <c r="J693" t="b">
        <v>1</v>
      </c>
      <c r="K693" s="25" t="s">
        <v>22</v>
      </c>
      <c r="M693" s="25" t="s">
        <v>32</v>
      </c>
      <c r="N693">
        <v>4</v>
      </c>
      <c r="O693">
        <v>4</v>
      </c>
    </row>
    <row r="694" spans="1:15" x14ac:dyDescent="0.3">
      <c r="A694">
        <v>865</v>
      </c>
      <c r="B694">
        <v>54</v>
      </c>
      <c r="C694" s="25" t="s">
        <v>16</v>
      </c>
      <c r="D694" s="25" t="s">
        <v>28</v>
      </c>
      <c r="F694">
        <v>203</v>
      </c>
      <c r="G694" t="b">
        <v>0</v>
      </c>
      <c r="H694" s="25" t="s">
        <v>33</v>
      </c>
      <c r="K694" s="25" t="s">
        <v>32</v>
      </c>
      <c r="M694" s="25" t="s">
        <v>32</v>
      </c>
      <c r="N694">
        <v>0</v>
      </c>
    </row>
    <row r="695" spans="1:15" x14ac:dyDescent="0.3">
      <c r="A695">
        <v>866</v>
      </c>
      <c r="B695">
        <v>54</v>
      </c>
      <c r="C695" s="25" t="s">
        <v>16</v>
      </c>
      <c r="D695" s="25" t="s">
        <v>30</v>
      </c>
      <c r="F695">
        <v>182</v>
      </c>
      <c r="G695" t="b">
        <v>0</v>
      </c>
      <c r="H695" s="25" t="s">
        <v>33</v>
      </c>
      <c r="K695" s="25" t="s">
        <v>32</v>
      </c>
      <c r="M695" s="25" t="s">
        <v>32</v>
      </c>
      <c r="N695">
        <v>0</v>
      </c>
    </row>
    <row r="696" spans="1:15" x14ac:dyDescent="0.3">
      <c r="A696">
        <v>867</v>
      </c>
      <c r="B696">
        <v>59</v>
      </c>
      <c r="C696" s="25" t="s">
        <v>16</v>
      </c>
      <c r="D696" s="25" t="s">
        <v>24</v>
      </c>
      <c r="E696">
        <v>140</v>
      </c>
      <c r="F696">
        <v>274</v>
      </c>
      <c r="G696" t="b">
        <v>0</v>
      </c>
      <c r="H696" s="25" t="s">
        <v>26</v>
      </c>
      <c r="I696">
        <v>154</v>
      </c>
      <c r="J696" t="b">
        <v>1</v>
      </c>
      <c r="K696" s="25" t="s">
        <v>25</v>
      </c>
      <c r="M696" s="25" t="s">
        <v>32</v>
      </c>
      <c r="N696">
        <v>0</v>
      </c>
      <c r="O696">
        <v>2</v>
      </c>
    </row>
    <row r="697" spans="1:15" x14ac:dyDescent="0.3">
      <c r="A697">
        <v>868</v>
      </c>
      <c r="B697">
        <v>55</v>
      </c>
      <c r="C697" s="25" t="s">
        <v>16</v>
      </c>
      <c r="D697" s="25" t="s">
        <v>24</v>
      </c>
      <c r="F697">
        <v>204</v>
      </c>
      <c r="G697" t="b">
        <v>1</v>
      </c>
      <c r="H697" s="25" t="s">
        <v>33</v>
      </c>
      <c r="K697" s="25" t="s">
        <v>32</v>
      </c>
      <c r="M697" s="25" t="s">
        <v>32</v>
      </c>
      <c r="N697">
        <v>1</v>
      </c>
    </row>
    <row r="698" spans="1:15" x14ac:dyDescent="0.3">
      <c r="A698">
        <v>869</v>
      </c>
      <c r="B698">
        <v>57</v>
      </c>
      <c r="C698" s="25" t="s">
        <v>16</v>
      </c>
      <c r="D698" s="25" t="s">
        <v>24</v>
      </c>
      <c r="E698">
        <v>144</v>
      </c>
      <c r="F698">
        <v>270</v>
      </c>
      <c r="G698" t="b">
        <v>1</v>
      </c>
      <c r="H698" s="25" t="s">
        <v>33</v>
      </c>
      <c r="I698">
        <v>160</v>
      </c>
      <c r="J698" t="b">
        <v>1</v>
      </c>
      <c r="K698" s="25" t="s">
        <v>25</v>
      </c>
      <c r="M698" s="25" t="s">
        <v>32</v>
      </c>
      <c r="N698">
        <v>3</v>
      </c>
      <c r="O698">
        <v>2</v>
      </c>
    </row>
    <row r="699" spans="1:15" x14ac:dyDescent="0.3">
      <c r="A699">
        <v>870</v>
      </c>
      <c r="B699">
        <v>61</v>
      </c>
      <c r="C699" s="25" t="s">
        <v>16</v>
      </c>
      <c r="D699" s="25" t="s">
        <v>24</v>
      </c>
      <c r="F699">
        <v>292</v>
      </c>
      <c r="G699" t="b">
        <v>0</v>
      </c>
      <c r="H699" s="25" t="s">
        <v>33</v>
      </c>
      <c r="K699" s="25" t="s">
        <v>32</v>
      </c>
      <c r="M699" s="25" t="s">
        <v>32</v>
      </c>
      <c r="N699">
        <v>3</v>
      </c>
    </row>
    <row r="700" spans="1:15" x14ac:dyDescent="0.3">
      <c r="A700">
        <v>871</v>
      </c>
      <c r="B700">
        <v>41</v>
      </c>
      <c r="C700" s="25" t="s">
        <v>16</v>
      </c>
      <c r="D700" s="25" t="s">
        <v>24</v>
      </c>
      <c r="E700">
        <v>150</v>
      </c>
      <c r="F700">
        <v>171</v>
      </c>
      <c r="G700" t="b">
        <v>0</v>
      </c>
      <c r="H700" s="25" t="s">
        <v>26</v>
      </c>
      <c r="I700">
        <v>128</v>
      </c>
      <c r="J700" t="b">
        <v>1</v>
      </c>
      <c r="K700" s="25" t="s">
        <v>25</v>
      </c>
      <c r="M700" s="25" t="s">
        <v>32</v>
      </c>
      <c r="N700">
        <v>0</v>
      </c>
      <c r="O700">
        <v>0.5</v>
      </c>
    </row>
    <row r="701" spans="1:15" x14ac:dyDescent="0.3">
      <c r="A701">
        <v>872</v>
      </c>
      <c r="B701">
        <v>71</v>
      </c>
      <c r="C701" s="25" t="s">
        <v>16</v>
      </c>
      <c r="D701" s="25" t="s">
        <v>24</v>
      </c>
      <c r="E701">
        <v>130</v>
      </c>
      <c r="F701">
        <v>221</v>
      </c>
      <c r="G701" t="b">
        <v>0</v>
      </c>
      <c r="H701" s="25" t="s">
        <v>33</v>
      </c>
      <c r="I701">
        <v>115</v>
      </c>
      <c r="J701" t="b">
        <v>1</v>
      </c>
      <c r="K701" s="25" t="s">
        <v>32</v>
      </c>
      <c r="M701" s="25" t="s">
        <v>32</v>
      </c>
      <c r="N701">
        <v>3</v>
      </c>
      <c r="O701">
        <v>0</v>
      </c>
    </row>
    <row r="702" spans="1:15" x14ac:dyDescent="0.3">
      <c r="A702">
        <v>873</v>
      </c>
      <c r="B702">
        <v>38</v>
      </c>
      <c r="C702" s="25" t="s">
        <v>16</v>
      </c>
      <c r="D702" s="25" t="s">
        <v>24</v>
      </c>
      <c r="E702">
        <v>110</v>
      </c>
      <c r="F702">
        <v>289</v>
      </c>
      <c r="G702" t="b">
        <v>0</v>
      </c>
      <c r="H702" s="25" t="s">
        <v>26</v>
      </c>
      <c r="I702">
        <v>105</v>
      </c>
      <c r="J702" t="b">
        <v>1</v>
      </c>
      <c r="K702" s="25" t="s">
        <v>22</v>
      </c>
      <c r="M702" s="25" t="s">
        <v>32</v>
      </c>
      <c r="N702">
        <v>1</v>
      </c>
      <c r="O702">
        <v>0.5</v>
      </c>
    </row>
    <row r="703" spans="1:15" x14ac:dyDescent="0.3">
      <c r="A703">
        <v>874</v>
      </c>
      <c r="B703">
        <v>55</v>
      </c>
      <c r="C703" s="25" t="s">
        <v>16</v>
      </c>
      <c r="D703" s="25" t="s">
        <v>24</v>
      </c>
      <c r="E703">
        <v>158</v>
      </c>
      <c r="F703">
        <v>217</v>
      </c>
      <c r="G703" t="b">
        <v>0</v>
      </c>
      <c r="H703" s="25" t="s">
        <v>26</v>
      </c>
      <c r="I703">
        <v>110</v>
      </c>
      <c r="J703" t="b">
        <v>1</v>
      </c>
      <c r="K703" s="25" t="s">
        <v>25</v>
      </c>
      <c r="M703" s="25" t="s">
        <v>32</v>
      </c>
      <c r="N703">
        <v>1</v>
      </c>
      <c r="O703">
        <v>0.5</v>
      </c>
    </row>
    <row r="704" spans="1:15" x14ac:dyDescent="0.3">
      <c r="A704">
        <v>875</v>
      </c>
      <c r="B704">
        <v>56</v>
      </c>
      <c r="C704" s="25" t="s">
        <v>16</v>
      </c>
      <c r="D704" s="25" t="s">
        <v>24</v>
      </c>
      <c r="E704">
        <v>128</v>
      </c>
      <c r="F704">
        <v>223</v>
      </c>
      <c r="G704" t="b">
        <v>0</v>
      </c>
      <c r="H704" s="25" t="s">
        <v>33</v>
      </c>
      <c r="I704">
        <v>119</v>
      </c>
      <c r="J704" t="b">
        <v>1</v>
      </c>
      <c r="K704" s="25" t="s">
        <v>22</v>
      </c>
      <c r="M704" s="25" t="s">
        <v>32</v>
      </c>
      <c r="N704">
        <v>2</v>
      </c>
      <c r="O704">
        <v>2</v>
      </c>
    </row>
    <row r="705" spans="1:15" x14ac:dyDescent="0.3">
      <c r="A705">
        <v>876</v>
      </c>
      <c r="B705">
        <v>69</v>
      </c>
      <c r="C705" s="25" t="s">
        <v>16</v>
      </c>
      <c r="D705" s="25" t="s">
        <v>24</v>
      </c>
      <c r="G705" t="b">
        <v>1</v>
      </c>
      <c r="H705" s="25" t="s">
        <v>26</v>
      </c>
      <c r="K705" s="25" t="s">
        <v>32</v>
      </c>
      <c r="M705" s="25" t="s">
        <v>32</v>
      </c>
      <c r="N705">
        <v>2</v>
      </c>
    </row>
    <row r="706" spans="1:15" x14ac:dyDescent="0.3">
      <c r="A706">
        <v>877</v>
      </c>
      <c r="B706">
        <v>64</v>
      </c>
      <c r="C706" s="25" t="s">
        <v>16</v>
      </c>
      <c r="D706" s="25" t="s">
        <v>24</v>
      </c>
      <c r="E706">
        <v>150</v>
      </c>
      <c r="F706">
        <v>193</v>
      </c>
      <c r="G706" t="b">
        <v>0</v>
      </c>
      <c r="H706" s="25" t="s">
        <v>33</v>
      </c>
      <c r="I706">
        <v>135</v>
      </c>
      <c r="J706" t="b">
        <v>1</v>
      </c>
      <c r="K706" s="25" t="s">
        <v>25</v>
      </c>
      <c r="M706" s="25" t="s">
        <v>32</v>
      </c>
      <c r="N706">
        <v>2</v>
      </c>
      <c r="O706">
        <v>0.5</v>
      </c>
    </row>
    <row r="707" spans="1:15" x14ac:dyDescent="0.3">
      <c r="A707">
        <v>878</v>
      </c>
      <c r="B707">
        <v>72</v>
      </c>
      <c r="C707" s="25" t="s">
        <v>16</v>
      </c>
      <c r="D707" s="25" t="s">
        <v>24</v>
      </c>
      <c r="E707">
        <v>160</v>
      </c>
      <c r="G707" t="b">
        <v>1</v>
      </c>
      <c r="H707" s="25" t="s">
        <v>20</v>
      </c>
      <c r="I707">
        <v>130</v>
      </c>
      <c r="J707" t="b">
        <v>0</v>
      </c>
      <c r="K707" s="25" t="s">
        <v>32</v>
      </c>
      <c r="M707" s="25" t="s">
        <v>32</v>
      </c>
      <c r="N707">
        <v>2</v>
      </c>
      <c r="O707">
        <v>0.5</v>
      </c>
    </row>
    <row r="708" spans="1:15" x14ac:dyDescent="0.3">
      <c r="A708">
        <v>879</v>
      </c>
      <c r="B708">
        <v>69</v>
      </c>
      <c r="C708" s="25" t="s">
        <v>16</v>
      </c>
      <c r="D708" s="25" t="s">
        <v>24</v>
      </c>
      <c r="F708">
        <v>210</v>
      </c>
      <c r="G708" t="b">
        <v>1</v>
      </c>
      <c r="H708" s="25" t="s">
        <v>33</v>
      </c>
      <c r="K708" s="25" t="s">
        <v>32</v>
      </c>
      <c r="M708" s="25" t="s">
        <v>32</v>
      </c>
      <c r="N708">
        <v>2</v>
      </c>
    </row>
    <row r="709" spans="1:15" x14ac:dyDescent="0.3">
      <c r="A709">
        <v>880</v>
      </c>
      <c r="B709">
        <v>56</v>
      </c>
      <c r="C709" s="25" t="s">
        <v>16</v>
      </c>
      <c r="D709" s="25" t="s">
        <v>24</v>
      </c>
      <c r="F709">
        <v>282</v>
      </c>
      <c r="G709" t="b">
        <v>1</v>
      </c>
      <c r="H709" s="25" t="s">
        <v>26</v>
      </c>
      <c r="K709" s="25" t="s">
        <v>32</v>
      </c>
      <c r="M709" s="25" t="s">
        <v>32</v>
      </c>
      <c r="N709">
        <v>1</v>
      </c>
    </row>
    <row r="710" spans="1:15" x14ac:dyDescent="0.3">
      <c r="A710">
        <v>881</v>
      </c>
      <c r="B710">
        <v>62</v>
      </c>
      <c r="C710" s="25" t="s">
        <v>16</v>
      </c>
      <c r="D710" s="25" t="s">
        <v>24</v>
      </c>
      <c r="F710">
        <v>170</v>
      </c>
      <c r="G710" t="b">
        <v>0</v>
      </c>
      <c r="H710" s="25" t="s">
        <v>33</v>
      </c>
      <c r="I710">
        <v>120</v>
      </c>
      <c r="J710" t="b">
        <v>1</v>
      </c>
      <c r="K710" s="25" t="s">
        <v>32</v>
      </c>
      <c r="M710" s="25" t="s">
        <v>32</v>
      </c>
      <c r="N710">
        <v>4</v>
      </c>
      <c r="O710">
        <v>3</v>
      </c>
    </row>
    <row r="711" spans="1:15" x14ac:dyDescent="0.3">
      <c r="A711">
        <v>882</v>
      </c>
      <c r="B711">
        <v>67</v>
      </c>
      <c r="C711" s="25" t="s">
        <v>16</v>
      </c>
      <c r="D711" s="25" t="s">
        <v>24</v>
      </c>
      <c r="F711">
        <v>369</v>
      </c>
      <c r="G711" t="b">
        <v>0</v>
      </c>
      <c r="H711" s="25" t="s">
        <v>26</v>
      </c>
      <c r="K711" s="25" t="s">
        <v>32</v>
      </c>
      <c r="M711" s="25" t="s">
        <v>32</v>
      </c>
      <c r="N711">
        <v>3</v>
      </c>
    </row>
    <row r="712" spans="1:15" x14ac:dyDescent="0.3">
      <c r="A712">
        <v>883</v>
      </c>
      <c r="B712">
        <v>57</v>
      </c>
      <c r="C712" s="25" t="s">
        <v>16</v>
      </c>
      <c r="D712" s="25" t="s">
        <v>24</v>
      </c>
      <c r="E712">
        <v>156</v>
      </c>
      <c r="F712">
        <v>173</v>
      </c>
      <c r="G712" t="b">
        <v>0</v>
      </c>
      <c r="H712" s="25" t="s">
        <v>20</v>
      </c>
      <c r="I712">
        <v>119</v>
      </c>
      <c r="J712" t="b">
        <v>1</v>
      </c>
      <c r="K712" s="25" t="s">
        <v>22</v>
      </c>
      <c r="M712" s="25" t="s">
        <v>32</v>
      </c>
      <c r="N712">
        <v>3</v>
      </c>
      <c r="O712">
        <v>3</v>
      </c>
    </row>
    <row r="713" spans="1:15" x14ac:dyDescent="0.3">
      <c r="A713">
        <v>884</v>
      </c>
      <c r="B713">
        <v>69</v>
      </c>
      <c r="C713" s="25" t="s">
        <v>16</v>
      </c>
      <c r="D713" s="25" t="s">
        <v>24</v>
      </c>
      <c r="F713">
        <v>289</v>
      </c>
      <c r="G713" t="b">
        <v>1</v>
      </c>
      <c r="H713" s="25" t="s">
        <v>33</v>
      </c>
      <c r="K713" s="25" t="s">
        <v>32</v>
      </c>
      <c r="M713" s="25" t="s">
        <v>32</v>
      </c>
      <c r="N713">
        <v>3</v>
      </c>
    </row>
    <row r="714" spans="1:15" x14ac:dyDescent="0.3">
      <c r="A714">
        <v>885</v>
      </c>
      <c r="B714">
        <v>51</v>
      </c>
      <c r="C714" s="25" t="s">
        <v>16</v>
      </c>
      <c r="D714" s="25" t="s">
        <v>24</v>
      </c>
      <c r="G714" t="b">
        <v>1</v>
      </c>
      <c r="H714" s="25" t="s">
        <v>20</v>
      </c>
      <c r="K714" s="25" t="s">
        <v>32</v>
      </c>
      <c r="M714" s="25" t="s">
        <v>27</v>
      </c>
      <c r="N714">
        <v>1</v>
      </c>
    </row>
    <row r="715" spans="1:15" x14ac:dyDescent="0.3">
      <c r="A715">
        <v>886</v>
      </c>
      <c r="B715">
        <v>48</v>
      </c>
      <c r="C715" s="25" t="s">
        <v>16</v>
      </c>
      <c r="D715" s="25" t="s">
        <v>24</v>
      </c>
      <c r="E715">
        <v>140</v>
      </c>
      <c r="G715" t="b">
        <v>0</v>
      </c>
      <c r="H715" s="25" t="s">
        <v>26</v>
      </c>
      <c r="I715">
        <v>159</v>
      </c>
      <c r="J715" t="b">
        <v>1</v>
      </c>
      <c r="K715" s="25" t="s">
        <v>31</v>
      </c>
      <c r="M715" s="25" t="s">
        <v>32</v>
      </c>
      <c r="N715">
        <v>3</v>
      </c>
      <c r="O715">
        <v>0.5</v>
      </c>
    </row>
    <row r="716" spans="1:15" x14ac:dyDescent="0.3">
      <c r="A716">
        <v>887</v>
      </c>
      <c r="B716">
        <v>69</v>
      </c>
      <c r="C716" s="25" t="s">
        <v>16</v>
      </c>
      <c r="D716" s="25" t="s">
        <v>24</v>
      </c>
      <c r="E716">
        <v>122</v>
      </c>
      <c r="F716">
        <v>216</v>
      </c>
      <c r="G716" t="b">
        <v>1</v>
      </c>
      <c r="H716" s="25" t="s">
        <v>20</v>
      </c>
      <c r="I716">
        <v>84</v>
      </c>
      <c r="J716" t="b">
        <v>1</v>
      </c>
      <c r="K716" s="25" t="s">
        <v>32</v>
      </c>
      <c r="M716" s="25" t="s">
        <v>27</v>
      </c>
      <c r="N716">
        <v>2</v>
      </c>
      <c r="O716">
        <v>0</v>
      </c>
    </row>
    <row r="717" spans="1:15" x14ac:dyDescent="0.3">
      <c r="A717">
        <v>888</v>
      </c>
      <c r="B717">
        <v>69</v>
      </c>
      <c r="C717" s="25" t="s">
        <v>16</v>
      </c>
      <c r="D717" s="25" t="s">
        <v>28</v>
      </c>
      <c r="F717">
        <v>271</v>
      </c>
      <c r="G717" t="b">
        <v>0</v>
      </c>
      <c r="H717" s="25" t="s">
        <v>20</v>
      </c>
      <c r="K717" s="25" t="s">
        <v>32</v>
      </c>
      <c r="M717" s="25" t="s">
        <v>32</v>
      </c>
      <c r="N717">
        <v>0</v>
      </c>
    </row>
    <row r="718" spans="1:15" x14ac:dyDescent="0.3">
      <c r="A718">
        <v>889</v>
      </c>
      <c r="B718">
        <v>64</v>
      </c>
      <c r="C718" s="25" t="s">
        <v>16</v>
      </c>
      <c r="D718" s="25" t="s">
        <v>24</v>
      </c>
      <c r="F718">
        <v>244</v>
      </c>
      <c r="G718" t="b">
        <v>1</v>
      </c>
      <c r="H718" s="25" t="s">
        <v>33</v>
      </c>
      <c r="K718" s="25" t="s">
        <v>32</v>
      </c>
      <c r="M718" s="25" t="s">
        <v>32</v>
      </c>
      <c r="N718">
        <v>2</v>
      </c>
    </row>
    <row r="719" spans="1:15" x14ac:dyDescent="0.3">
      <c r="A719">
        <v>890</v>
      </c>
      <c r="B719">
        <v>57</v>
      </c>
      <c r="C719" s="25" t="s">
        <v>16</v>
      </c>
      <c r="D719" s="25" t="s">
        <v>30</v>
      </c>
      <c r="E719">
        <v>180</v>
      </c>
      <c r="F719">
        <v>285</v>
      </c>
      <c r="G719" t="b">
        <v>1</v>
      </c>
      <c r="H719" s="25" t="s">
        <v>33</v>
      </c>
      <c r="I719">
        <v>120</v>
      </c>
      <c r="J719" t="b">
        <v>0</v>
      </c>
      <c r="K719" s="25" t="s">
        <v>32</v>
      </c>
      <c r="M719" s="25" t="s">
        <v>32</v>
      </c>
      <c r="N719">
        <v>1</v>
      </c>
      <c r="O719">
        <v>0.8</v>
      </c>
    </row>
    <row r="720" spans="1:15" x14ac:dyDescent="0.3">
      <c r="A720">
        <v>891</v>
      </c>
      <c r="B720">
        <v>53</v>
      </c>
      <c r="C720" s="25" t="s">
        <v>16</v>
      </c>
      <c r="D720" s="25" t="s">
        <v>24</v>
      </c>
      <c r="E720">
        <v>124</v>
      </c>
      <c r="F720">
        <v>243</v>
      </c>
      <c r="G720" t="b">
        <v>0</v>
      </c>
      <c r="H720" s="25" t="s">
        <v>26</v>
      </c>
      <c r="I720">
        <v>122</v>
      </c>
      <c r="J720" t="b">
        <v>1</v>
      </c>
      <c r="K720" s="25" t="s">
        <v>25</v>
      </c>
      <c r="M720" s="25" t="s">
        <v>27</v>
      </c>
      <c r="N720">
        <v>1</v>
      </c>
      <c r="O720">
        <v>2</v>
      </c>
    </row>
    <row r="721" spans="1:15" x14ac:dyDescent="0.3">
      <c r="A721">
        <v>892</v>
      </c>
      <c r="B721">
        <v>37</v>
      </c>
      <c r="C721" s="25" t="s">
        <v>16</v>
      </c>
      <c r="D721" s="25" t="s">
        <v>28</v>
      </c>
      <c r="E721">
        <v>118</v>
      </c>
      <c r="F721">
        <v>240</v>
      </c>
      <c r="G721" t="b">
        <v>0</v>
      </c>
      <c r="H721" s="25" t="s">
        <v>20</v>
      </c>
      <c r="I721">
        <v>165</v>
      </c>
      <c r="J721" t="b">
        <v>0</v>
      </c>
      <c r="K721" s="25" t="s">
        <v>25</v>
      </c>
      <c r="M721" s="25" t="s">
        <v>26</v>
      </c>
      <c r="N721">
        <v>0</v>
      </c>
      <c r="O721">
        <v>1</v>
      </c>
    </row>
    <row r="722" spans="1:15" x14ac:dyDescent="0.3">
      <c r="A722">
        <v>893</v>
      </c>
      <c r="B722">
        <v>67</v>
      </c>
      <c r="C722" s="25" t="s">
        <v>16</v>
      </c>
      <c r="D722" s="25" t="s">
        <v>24</v>
      </c>
      <c r="E722">
        <v>140</v>
      </c>
      <c r="F722">
        <v>219</v>
      </c>
      <c r="G722" t="b">
        <v>0</v>
      </c>
      <c r="H722" s="25" t="s">
        <v>33</v>
      </c>
      <c r="I722">
        <v>122</v>
      </c>
      <c r="J722" t="b">
        <v>1</v>
      </c>
      <c r="K722" s="25" t="s">
        <v>25</v>
      </c>
      <c r="M722" s="25" t="s">
        <v>27</v>
      </c>
      <c r="N722">
        <v>3</v>
      </c>
      <c r="O722">
        <v>2</v>
      </c>
    </row>
    <row r="723" spans="1:15" x14ac:dyDescent="0.3">
      <c r="A723">
        <v>894</v>
      </c>
      <c r="B723">
        <v>74</v>
      </c>
      <c r="C723" s="25" t="s">
        <v>16</v>
      </c>
      <c r="D723" s="25" t="s">
        <v>28</v>
      </c>
      <c r="E723">
        <v>140</v>
      </c>
      <c r="F723">
        <v>237</v>
      </c>
      <c r="G723" t="b">
        <v>1</v>
      </c>
      <c r="H723" s="25" t="s">
        <v>26</v>
      </c>
      <c r="I723">
        <v>94</v>
      </c>
      <c r="J723" t="b">
        <v>0</v>
      </c>
      <c r="K723" s="25" t="s">
        <v>32</v>
      </c>
      <c r="M723" s="25" t="s">
        <v>32</v>
      </c>
      <c r="N723">
        <v>1</v>
      </c>
      <c r="O723">
        <v>0</v>
      </c>
    </row>
    <row r="724" spans="1:15" x14ac:dyDescent="0.3">
      <c r="A724">
        <v>895</v>
      </c>
      <c r="B724">
        <v>63</v>
      </c>
      <c r="C724" s="25" t="s">
        <v>16</v>
      </c>
      <c r="D724" s="25" t="s">
        <v>30</v>
      </c>
      <c r="F724">
        <v>165</v>
      </c>
      <c r="G724" t="b">
        <v>0</v>
      </c>
      <c r="H724" s="25" t="s">
        <v>33</v>
      </c>
      <c r="K724" s="25" t="s">
        <v>32</v>
      </c>
      <c r="M724" s="25" t="s">
        <v>32</v>
      </c>
      <c r="N724">
        <v>0</v>
      </c>
    </row>
    <row r="725" spans="1:15" x14ac:dyDescent="0.3">
      <c r="A725">
        <v>896</v>
      </c>
      <c r="B725">
        <v>58</v>
      </c>
      <c r="C725" s="25" t="s">
        <v>16</v>
      </c>
      <c r="D725" s="25" t="s">
        <v>24</v>
      </c>
      <c r="E725">
        <v>100</v>
      </c>
      <c r="F725">
        <v>213</v>
      </c>
      <c r="G725" t="b">
        <v>0</v>
      </c>
      <c r="H725" s="25" t="s">
        <v>33</v>
      </c>
      <c r="I725">
        <v>110</v>
      </c>
      <c r="J725" t="b">
        <v>0</v>
      </c>
      <c r="K725" s="25" t="s">
        <v>32</v>
      </c>
      <c r="M725" s="25" t="s">
        <v>32</v>
      </c>
      <c r="N725">
        <v>0</v>
      </c>
      <c r="O725">
        <v>0</v>
      </c>
    </row>
    <row r="726" spans="1:15" x14ac:dyDescent="0.3">
      <c r="A726">
        <v>897</v>
      </c>
      <c r="B726">
        <v>61</v>
      </c>
      <c r="C726" s="25" t="s">
        <v>16</v>
      </c>
      <c r="D726" s="25" t="s">
        <v>24</v>
      </c>
      <c r="E726">
        <v>190</v>
      </c>
      <c r="F726">
        <v>287</v>
      </c>
      <c r="G726" t="b">
        <v>1</v>
      </c>
      <c r="H726" s="25" t="s">
        <v>20</v>
      </c>
      <c r="I726">
        <v>150</v>
      </c>
      <c r="J726" t="b">
        <v>1</v>
      </c>
      <c r="K726" s="25" t="s">
        <v>22</v>
      </c>
      <c r="M726" s="25" t="s">
        <v>32</v>
      </c>
      <c r="N726">
        <v>4</v>
      </c>
      <c r="O726">
        <v>2</v>
      </c>
    </row>
    <row r="727" spans="1:15" x14ac:dyDescent="0.3">
      <c r="A727">
        <v>898</v>
      </c>
      <c r="B727">
        <v>64</v>
      </c>
      <c r="C727" s="25" t="s">
        <v>16</v>
      </c>
      <c r="D727" s="25" t="s">
        <v>24</v>
      </c>
      <c r="E727">
        <v>130</v>
      </c>
      <c r="F727">
        <v>258</v>
      </c>
      <c r="G727" t="b">
        <v>1</v>
      </c>
      <c r="H727" s="25" t="s">
        <v>20</v>
      </c>
      <c r="I727">
        <v>130</v>
      </c>
      <c r="J727" t="b">
        <v>0</v>
      </c>
      <c r="K727" s="25" t="s">
        <v>32</v>
      </c>
      <c r="M727" s="25" t="s">
        <v>23</v>
      </c>
      <c r="N727">
        <v>2</v>
      </c>
      <c r="O727">
        <v>0</v>
      </c>
    </row>
    <row r="728" spans="1:15" x14ac:dyDescent="0.3">
      <c r="A728">
        <v>899</v>
      </c>
      <c r="B728">
        <v>58</v>
      </c>
      <c r="C728" s="25" t="s">
        <v>16</v>
      </c>
      <c r="D728" s="25" t="s">
        <v>24</v>
      </c>
      <c r="E728">
        <v>160</v>
      </c>
      <c r="F728">
        <v>256</v>
      </c>
      <c r="G728" t="b">
        <v>1</v>
      </c>
      <c r="H728" s="25" t="s">
        <v>20</v>
      </c>
      <c r="I728">
        <v>113</v>
      </c>
      <c r="J728" t="b">
        <v>1</v>
      </c>
      <c r="K728" s="25" t="s">
        <v>31</v>
      </c>
      <c r="M728" s="25" t="s">
        <v>32</v>
      </c>
      <c r="N728">
        <v>3</v>
      </c>
      <c r="O728">
        <v>1</v>
      </c>
    </row>
    <row r="729" spans="1:15" x14ac:dyDescent="0.3">
      <c r="A729">
        <v>900</v>
      </c>
      <c r="B729">
        <v>60</v>
      </c>
      <c r="C729" s="25" t="s">
        <v>16</v>
      </c>
      <c r="D729" s="25" t="s">
        <v>24</v>
      </c>
      <c r="E729">
        <v>130</v>
      </c>
      <c r="F729">
        <v>186</v>
      </c>
      <c r="G729" t="b">
        <v>1</v>
      </c>
      <c r="H729" s="25" t="s">
        <v>20</v>
      </c>
      <c r="I729">
        <v>140</v>
      </c>
      <c r="J729" t="b">
        <v>1</v>
      </c>
      <c r="K729" s="25" t="s">
        <v>25</v>
      </c>
      <c r="M729" s="25" t="s">
        <v>32</v>
      </c>
      <c r="N729">
        <v>1</v>
      </c>
      <c r="O729">
        <v>0.5</v>
      </c>
    </row>
    <row r="730" spans="1:15" x14ac:dyDescent="0.3">
      <c r="A730">
        <v>901</v>
      </c>
      <c r="B730">
        <v>57</v>
      </c>
      <c r="C730" s="25" t="s">
        <v>16</v>
      </c>
      <c r="D730" s="25" t="s">
        <v>24</v>
      </c>
      <c r="E730">
        <v>122</v>
      </c>
      <c r="F730">
        <v>264</v>
      </c>
      <c r="G730" t="b">
        <v>0</v>
      </c>
      <c r="H730" s="25" t="s">
        <v>20</v>
      </c>
      <c r="I730">
        <v>100</v>
      </c>
      <c r="J730" t="b">
        <v>0</v>
      </c>
      <c r="K730" s="25" t="s">
        <v>32</v>
      </c>
      <c r="M730" s="25" t="s">
        <v>32</v>
      </c>
      <c r="N730">
        <v>1</v>
      </c>
      <c r="O730">
        <v>0</v>
      </c>
    </row>
    <row r="731" spans="1:15" x14ac:dyDescent="0.3">
      <c r="A731">
        <v>902</v>
      </c>
      <c r="B731">
        <v>55</v>
      </c>
      <c r="C731" s="25" t="s">
        <v>16</v>
      </c>
      <c r="D731" s="25" t="s">
        <v>28</v>
      </c>
      <c r="G731" t="b">
        <v>0</v>
      </c>
      <c r="H731" s="25" t="s">
        <v>33</v>
      </c>
      <c r="K731" s="25" t="s">
        <v>32</v>
      </c>
      <c r="M731" s="25" t="s">
        <v>32</v>
      </c>
      <c r="N731">
        <v>0</v>
      </c>
    </row>
    <row r="732" spans="1:15" x14ac:dyDescent="0.3">
      <c r="A732">
        <v>903</v>
      </c>
      <c r="B732">
        <v>55</v>
      </c>
      <c r="C732" s="25" t="s">
        <v>16</v>
      </c>
      <c r="D732" s="25" t="s">
        <v>24</v>
      </c>
      <c r="E732">
        <v>120</v>
      </c>
      <c r="F732">
        <v>226</v>
      </c>
      <c r="G732" t="b">
        <v>0</v>
      </c>
      <c r="H732" s="25" t="s">
        <v>20</v>
      </c>
      <c r="I732">
        <v>127</v>
      </c>
      <c r="J732" t="b">
        <v>1</v>
      </c>
      <c r="K732" s="25" t="s">
        <v>22</v>
      </c>
      <c r="M732" s="25" t="s">
        <v>27</v>
      </c>
      <c r="N732">
        <v>1</v>
      </c>
      <c r="O732">
        <v>0.7</v>
      </c>
    </row>
    <row r="733" spans="1:15" x14ac:dyDescent="0.3">
      <c r="A733">
        <v>904</v>
      </c>
      <c r="B733">
        <v>56</v>
      </c>
      <c r="C733" s="25" t="s">
        <v>16</v>
      </c>
      <c r="D733" s="25" t="s">
        <v>24</v>
      </c>
      <c r="E733">
        <v>130</v>
      </c>
      <c r="F733">
        <v>203</v>
      </c>
      <c r="G733" t="b">
        <v>1</v>
      </c>
      <c r="H733" s="25" t="s">
        <v>26</v>
      </c>
      <c r="I733">
        <v>98</v>
      </c>
      <c r="J733" t="b">
        <v>0</v>
      </c>
      <c r="K733" s="25" t="s">
        <v>25</v>
      </c>
      <c r="M733" s="25" t="s">
        <v>27</v>
      </c>
      <c r="N733">
        <v>1</v>
      </c>
      <c r="O733">
        <v>0.5</v>
      </c>
    </row>
    <row r="734" spans="1:15" x14ac:dyDescent="0.3">
      <c r="A734">
        <v>905</v>
      </c>
      <c r="B734">
        <v>57</v>
      </c>
      <c r="C734" s="25" t="s">
        <v>16</v>
      </c>
      <c r="D734" s="25" t="s">
        <v>24</v>
      </c>
      <c r="E734">
        <v>130</v>
      </c>
      <c r="F734">
        <v>207</v>
      </c>
      <c r="G734" t="b">
        <v>0</v>
      </c>
      <c r="H734" s="25" t="s">
        <v>33</v>
      </c>
      <c r="I734">
        <v>96</v>
      </c>
      <c r="J734" t="b">
        <v>1</v>
      </c>
      <c r="K734" s="25" t="s">
        <v>25</v>
      </c>
      <c r="M734" s="25" t="s">
        <v>32</v>
      </c>
      <c r="N734">
        <v>0</v>
      </c>
      <c r="O734">
        <v>1</v>
      </c>
    </row>
    <row r="735" spans="1:15" x14ac:dyDescent="0.3">
      <c r="A735">
        <v>906</v>
      </c>
      <c r="B735">
        <v>61</v>
      </c>
      <c r="C735" s="25" t="s">
        <v>16</v>
      </c>
      <c r="D735" s="25" t="s">
        <v>28</v>
      </c>
      <c r="F735">
        <v>284</v>
      </c>
      <c r="G735" t="b">
        <v>0</v>
      </c>
      <c r="H735" s="25" t="s">
        <v>26</v>
      </c>
      <c r="K735" s="25" t="s">
        <v>32</v>
      </c>
      <c r="M735" s="25" t="s">
        <v>32</v>
      </c>
      <c r="N735">
        <v>1</v>
      </c>
    </row>
    <row r="736" spans="1:15" x14ac:dyDescent="0.3">
      <c r="A736">
        <v>907</v>
      </c>
      <c r="B736">
        <v>61</v>
      </c>
      <c r="C736" s="25" t="s">
        <v>16</v>
      </c>
      <c r="D736" s="25" t="s">
        <v>28</v>
      </c>
      <c r="E736">
        <v>120</v>
      </c>
      <c r="F736">
        <v>337</v>
      </c>
      <c r="G736" t="b">
        <v>0</v>
      </c>
      <c r="H736" s="25" t="s">
        <v>26</v>
      </c>
      <c r="I736">
        <v>98</v>
      </c>
      <c r="J736" t="b">
        <v>1</v>
      </c>
      <c r="K736" s="25" t="s">
        <v>32</v>
      </c>
      <c r="M736" s="25" t="s">
        <v>32</v>
      </c>
      <c r="N736">
        <v>3</v>
      </c>
      <c r="O736">
        <v>0</v>
      </c>
    </row>
    <row r="737" spans="1:15" x14ac:dyDescent="0.3">
      <c r="A737">
        <v>908</v>
      </c>
      <c r="B737">
        <v>58</v>
      </c>
      <c r="C737" s="25" t="s">
        <v>16</v>
      </c>
      <c r="D737" s="25" t="s">
        <v>28</v>
      </c>
      <c r="E737">
        <v>150</v>
      </c>
      <c r="F737">
        <v>219</v>
      </c>
      <c r="G737" t="b">
        <v>0</v>
      </c>
      <c r="H737" s="25" t="s">
        <v>33</v>
      </c>
      <c r="I737">
        <v>118</v>
      </c>
      <c r="J737" t="b">
        <v>1</v>
      </c>
      <c r="K737" s="25" t="s">
        <v>32</v>
      </c>
      <c r="M737" s="25" t="s">
        <v>32</v>
      </c>
      <c r="N737">
        <v>2</v>
      </c>
      <c r="O737">
        <v>0</v>
      </c>
    </row>
    <row r="738" spans="1:15" x14ac:dyDescent="0.3">
      <c r="A738">
        <v>909</v>
      </c>
      <c r="B738">
        <v>74</v>
      </c>
      <c r="C738" s="25" t="s">
        <v>16</v>
      </c>
      <c r="D738" s="25" t="s">
        <v>24</v>
      </c>
      <c r="E738">
        <v>155</v>
      </c>
      <c r="F738">
        <v>310</v>
      </c>
      <c r="G738" t="b">
        <v>0</v>
      </c>
      <c r="H738" s="25" t="s">
        <v>26</v>
      </c>
      <c r="I738">
        <v>112</v>
      </c>
      <c r="J738" t="b">
        <v>1</v>
      </c>
      <c r="K738" s="25" t="s">
        <v>22</v>
      </c>
      <c r="M738" s="25" t="s">
        <v>32</v>
      </c>
      <c r="N738">
        <v>2</v>
      </c>
      <c r="O738">
        <v>0.5</v>
      </c>
    </row>
    <row r="739" spans="1:15" x14ac:dyDescent="0.3">
      <c r="A739">
        <v>910</v>
      </c>
      <c r="B739">
        <v>68</v>
      </c>
      <c r="C739" s="25" t="s">
        <v>16</v>
      </c>
      <c r="D739" s="25" t="s">
        <v>28</v>
      </c>
      <c r="E739">
        <v>134</v>
      </c>
      <c r="F739">
        <v>254</v>
      </c>
      <c r="G739" t="b">
        <v>1</v>
      </c>
      <c r="H739" s="25" t="s">
        <v>26</v>
      </c>
      <c r="I739">
        <v>151</v>
      </c>
      <c r="J739" t="b">
        <v>1</v>
      </c>
      <c r="K739" s="25" t="s">
        <v>32</v>
      </c>
      <c r="M739" s="25" t="s">
        <v>26</v>
      </c>
      <c r="N739">
        <v>0</v>
      </c>
      <c r="O739">
        <v>0</v>
      </c>
    </row>
    <row r="740" spans="1:15" x14ac:dyDescent="0.3">
      <c r="A740">
        <v>911</v>
      </c>
      <c r="B740">
        <v>51</v>
      </c>
      <c r="C740" s="25" t="s">
        <v>29</v>
      </c>
      <c r="D740" s="25" t="s">
        <v>24</v>
      </c>
      <c r="E740">
        <v>114</v>
      </c>
      <c r="F740">
        <v>258</v>
      </c>
      <c r="G740" t="b">
        <v>1</v>
      </c>
      <c r="H740" s="25" t="s">
        <v>20</v>
      </c>
      <c r="I740">
        <v>96</v>
      </c>
      <c r="J740" t="b">
        <v>0</v>
      </c>
      <c r="K740" s="25" t="s">
        <v>31</v>
      </c>
      <c r="M740" s="25" t="s">
        <v>32</v>
      </c>
      <c r="N740">
        <v>0</v>
      </c>
      <c r="O740">
        <v>1</v>
      </c>
    </row>
    <row r="741" spans="1:15" x14ac:dyDescent="0.3">
      <c r="A741">
        <v>912</v>
      </c>
      <c r="B741">
        <v>62</v>
      </c>
      <c r="C741" s="25" t="s">
        <v>16</v>
      </c>
      <c r="D741" s="25" t="s">
        <v>24</v>
      </c>
      <c r="E741">
        <v>160</v>
      </c>
      <c r="F741">
        <v>254</v>
      </c>
      <c r="G741" t="b">
        <v>1</v>
      </c>
      <c r="H741" s="25" t="s">
        <v>33</v>
      </c>
      <c r="I741">
        <v>108</v>
      </c>
      <c r="J741" t="b">
        <v>1</v>
      </c>
      <c r="K741" s="25" t="s">
        <v>25</v>
      </c>
      <c r="M741" s="25" t="s">
        <v>32</v>
      </c>
      <c r="N741">
        <v>4</v>
      </c>
      <c r="O741">
        <v>3</v>
      </c>
    </row>
    <row r="742" spans="1:15" x14ac:dyDescent="0.3">
      <c r="A742">
        <v>913</v>
      </c>
      <c r="B742">
        <v>53</v>
      </c>
      <c r="C742" s="25" t="s">
        <v>16</v>
      </c>
      <c r="D742" s="25" t="s">
        <v>24</v>
      </c>
      <c r="E742">
        <v>144</v>
      </c>
      <c r="F742">
        <v>300</v>
      </c>
      <c r="G742" t="b">
        <v>1</v>
      </c>
      <c r="H742" s="25" t="s">
        <v>33</v>
      </c>
      <c r="I742">
        <v>128</v>
      </c>
      <c r="J742" t="b">
        <v>1</v>
      </c>
      <c r="K742" s="25" t="s">
        <v>25</v>
      </c>
      <c r="M742" s="25" t="s">
        <v>32</v>
      </c>
      <c r="N742">
        <v>3</v>
      </c>
      <c r="O742">
        <v>0.5</v>
      </c>
    </row>
    <row r="743" spans="1:15" x14ac:dyDescent="0.3">
      <c r="A743">
        <v>914</v>
      </c>
      <c r="B743">
        <v>62</v>
      </c>
      <c r="C743" s="25" t="s">
        <v>16</v>
      </c>
      <c r="D743" s="25" t="s">
        <v>24</v>
      </c>
      <c r="E743">
        <v>158</v>
      </c>
      <c r="F743">
        <v>170</v>
      </c>
      <c r="G743" t="b">
        <v>0</v>
      </c>
      <c r="H743" s="25" t="s">
        <v>33</v>
      </c>
      <c r="I743">
        <v>138</v>
      </c>
      <c r="J743" t="b">
        <v>1</v>
      </c>
      <c r="K743" s="25" t="s">
        <v>32</v>
      </c>
      <c r="M743" s="25" t="s">
        <v>32</v>
      </c>
      <c r="N743">
        <v>1</v>
      </c>
      <c r="O743">
        <v>0</v>
      </c>
    </row>
    <row r="744" spans="1:15" x14ac:dyDescent="0.3">
      <c r="A744">
        <v>915</v>
      </c>
      <c r="B744">
        <v>46</v>
      </c>
      <c r="C744" s="25" t="s">
        <v>16</v>
      </c>
      <c r="D744" s="25" t="s">
        <v>24</v>
      </c>
      <c r="E744">
        <v>134</v>
      </c>
      <c r="F744">
        <v>310</v>
      </c>
      <c r="G744" t="b">
        <v>0</v>
      </c>
      <c r="H744" s="25" t="s">
        <v>26</v>
      </c>
      <c r="I744">
        <v>126</v>
      </c>
      <c r="J744" t="b">
        <v>0</v>
      </c>
      <c r="K744" s="25" t="s">
        <v>32</v>
      </c>
      <c r="M744" s="25" t="s">
        <v>26</v>
      </c>
      <c r="N744">
        <v>2</v>
      </c>
      <c r="O744">
        <v>0</v>
      </c>
    </row>
    <row r="745" spans="1:15" x14ac:dyDescent="0.3">
      <c r="A745">
        <v>916</v>
      </c>
      <c r="B745">
        <v>54</v>
      </c>
      <c r="C745" s="25" t="s">
        <v>29</v>
      </c>
      <c r="D745" s="25" t="s">
        <v>24</v>
      </c>
      <c r="E745">
        <v>127</v>
      </c>
      <c r="F745">
        <v>333</v>
      </c>
      <c r="G745" t="b">
        <v>1</v>
      </c>
      <c r="H745" s="25" t="s">
        <v>33</v>
      </c>
      <c r="I745">
        <v>154</v>
      </c>
      <c r="J745" t="b">
        <v>0</v>
      </c>
      <c r="K745" s="25" t="s">
        <v>32</v>
      </c>
      <c r="M745" s="25" t="s">
        <v>32</v>
      </c>
      <c r="N745">
        <v>1</v>
      </c>
      <c r="O745">
        <v>0</v>
      </c>
    </row>
    <row r="746" spans="1:15" x14ac:dyDescent="0.3">
      <c r="A746">
        <v>917</v>
      </c>
      <c r="B746">
        <v>62</v>
      </c>
      <c r="C746" s="25" t="s">
        <v>16</v>
      </c>
      <c r="D746" s="25" t="s">
        <v>18</v>
      </c>
      <c r="F746">
        <v>139</v>
      </c>
      <c r="G746" t="b">
        <v>0</v>
      </c>
      <c r="H746" s="25" t="s">
        <v>33</v>
      </c>
      <c r="K746" s="25" t="s">
        <v>32</v>
      </c>
      <c r="M746" s="25" t="s">
        <v>32</v>
      </c>
      <c r="N746">
        <v>0</v>
      </c>
    </row>
    <row r="747" spans="1:15" x14ac:dyDescent="0.3">
      <c r="A747">
        <v>918</v>
      </c>
      <c r="B747">
        <v>55</v>
      </c>
      <c r="C747" s="25" t="s">
        <v>16</v>
      </c>
      <c r="D747" s="25" t="s">
        <v>24</v>
      </c>
      <c r="E747">
        <v>122</v>
      </c>
      <c r="F747">
        <v>223</v>
      </c>
      <c r="G747" t="b">
        <v>1</v>
      </c>
      <c r="H747" s="25" t="s">
        <v>33</v>
      </c>
      <c r="I747">
        <v>100</v>
      </c>
      <c r="J747" t="b">
        <v>0</v>
      </c>
      <c r="K747" s="25" t="s">
        <v>32</v>
      </c>
      <c r="M747" s="25" t="s">
        <v>23</v>
      </c>
      <c r="N747">
        <v>2</v>
      </c>
      <c r="O747">
        <v>0</v>
      </c>
    </row>
    <row r="748" spans="1:15" x14ac:dyDescent="0.3">
      <c r="A748">
        <v>919</v>
      </c>
      <c r="B748">
        <v>58</v>
      </c>
      <c r="C748" s="25" t="s">
        <v>16</v>
      </c>
      <c r="D748" s="25" t="s">
        <v>24</v>
      </c>
      <c r="F748">
        <v>385</v>
      </c>
      <c r="G748" t="b">
        <v>1</v>
      </c>
      <c r="H748" s="25" t="s">
        <v>20</v>
      </c>
      <c r="K748" s="25" t="s">
        <v>32</v>
      </c>
      <c r="M748" s="25" t="s">
        <v>32</v>
      </c>
      <c r="N748">
        <v>0</v>
      </c>
    </row>
    <row r="749" spans="1:15" x14ac:dyDescent="0.3">
      <c r="A749">
        <v>920</v>
      </c>
      <c r="B749">
        <v>62</v>
      </c>
      <c r="C749" s="25" t="s">
        <v>16</v>
      </c>
      <c r="D749" s="25" t="s">
        <v>30</v>
      </c>
      <c r="E749">
        <v>120</v>
      </c>
      <c r="F749">
        <v>254</v>
      </c>
      <c r="G749" t="b">
        <v>0</v>
      </c>
      <c r="H749" s="25" t="s">
        <v>20</v>
      </c>
      <c r="I749">
        <v>93</v>
      </c>
      <c r="J749" t="b">
        <v>1</v>
      </c>
      <c r="K749" s="25" t="s">
        <v>32</v>
      </c>
      <c r="M749" s="25" t="s">
        <v>32</v>
      </c>
      <c r="N749">
        <v>1</v>
      </c>
      <c r="O749">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6D29-7A9D-4304-96E9-5CAF877F5277}">
  <dimension ref="A1:D8"/>
  <sheetViews>
    <sheetView workbookViewId="0">
      <selection activeCell="C6" sqref="C6"/>
    </sheetView>
  </sheetViews>
  <sheetFormatPr defaultRowHeight="14.4" x14ac:dyDescent="0.3"/>
  <cols>
    <col min="1" max="1" width="23.44140625" bestFit="1" customWidth="1"/>
    <col min="2" max="2" width="12.21875" bestFit="1" customWidth="1"/>
    <col min="3" max="3" width="18.33203125" bestFit="1" customWidth="1"/>
  </cols>
  <sheetData>
    <row r="1" spans="1:4" ht="17.399999999999999" x14ac:dyDescent="0.35">
      <c r="A1" s="3" t="s">
        <v>42</v>
      </c>
    </row>
    <row r="2" spans="1:4" x14ac:dyDescent="0.3">
      <c r="A2" t="s">
        <v>37</v>
      </c>
      <c r="B2" t="s">
        <v>38</v>
      </c>
      <c r="C2" t="s">
        <v>39</v>
      </c>
      <c r="D2" t="s">
        <v>40</v>
      </c>
    </row>
    <row r="3" spans="1:4" x14ac:dyDescent="0.3">
      <c r="A3" t="s">
        <v>6</v>
      </c>
      <c r="B3">
        <f>ROWS(HeartData[])</f>
        <v>920</v>
      </c>
      <c r="C3">
        <f>COUNTIF(HeartData[chol], 0)+COUNTBLANK(HeartData[chol])</f>
        <v>202</v>
      </c>
      <c r="D3" s="1">
        <f>C3/B3</f>
        <v>0.21956521739130436</v>
      </c>
    </row>
    <row r="4" spans="1:4" x14ac:dyDescent="0.3">
      <c r="A4" t="s">
        <v>5</v>
      </c>
      <c r="B4">
        <f>ROWS(HeartData[])</f>
        <v>920</v>
      </c>
      <c r="C4">
        <f>COUNTIF(HeartData[trestbps],0)+COUNTBLANK(HeartData[trestbps])</f>
        <v>60</v>
      </c>
      <c r="D4" s="1">
        <f t="shared" ref="D4:D6" si="0">C4/B4</f>
        <v>6.5217391304347824E-2</v>
      </c>
    </row>
    <row r="5" spans="1:4" x14ac:dyDescent="0.3">
      <c r="A5" t="s">
        <v>12</v>
      </c>
      <c r="B5">
        <f>ROWS(HeartData[])</f>
        <v>920</v>
      </c>
      <c r="C5">
        <f>COUNTBLANK(HeartData[ca])</f>
        <v>611</v>
      </c>
      <c r="D5" s="1">
        <f t="shared" si="0"/>
        <v>0.66413043478260869</v>
      </c>
    </row>
    <row r="6" spans="1:4" x14ac:dyDescent="0.3">
      <c r="A6" t="s">
        <v>13</v>
      </c>
      <c r="B6">
        <f>ROWS(HeartData[])</f>
        <v>920</v>
      </c>
      <c r="C6">
        <f>COUNTBLANK(HeartData[thal])</f>
        <v>486</v>
      </c>
      <c r="D6" s="1">
        <f t="shared" si="0"/>
        <v>0.52826086956521734</v>
      </c>
    </row>
    <row r="8" spans="1:4" x14ac:dyDescent="0.3">
      <c r="A8" t="s">
        <v>41</v>
      </c>
      <c r="B8" s="2">
        <f>1-AVERAGE(D3:D6)</f>
        <v>0.63070652173913044</v>
      </c>
    </row>
  </sheetData>
  <conditionalFormatting sqref="D3:D6">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E5C0-D242-4D88-A732-0BBDEDEF7D67}">
  <dimension ref="A1:V921"/>
  <sheetViews>
    <sheetView zoomScale="81" workbookViewId="0">
      <selection activeCell="M7" sqref="M7"/>
    </sheetView>
  </sheetViews>
  <sheetFormatPr defaultRowHeight="14.4" x14ac:dyDescent="0.3"/>
  <cols>
    <col min="2" max="2" width="8.88671875" style="4"/>
    <col min="4" max="4" width="11.77734375" customWidth="1"/>
    <col min="5" max="5" width="13.21875" bestFit="1" customWidth="1"/>
    <col min="6" max="6" width="10.44140625" customWidth="1"/>
    <col min="7" max="7" width="11.33203125" bestFit="1" customWidth="1"/>
    <col min="8" max="8" width="9.6640625" bestFit="1" customWidth="1"/>
    <col min="9" max="9" width="12.5546875" customWidth="1"/>
    <col min="10" max="10" width="13.44140625" bestFit="1" customWidth="1"/>
    <col min="11" max="11" width="10.5546875" bestFit="1" customWidth="1"/>
    <col min="12" max="12" width="9.88671875" bestFit="1" customWidth="1"/>
    <col min="13" max="13" width="12.21875" bestFit="1" customWidth="1"/>
  </cols>
  <sheetData>
    <row r="1" spans="1:22" x14ac:dyDescent="0.3">
      <c r="A1" t="s">
        <v>43</v>
      </c>
      <c r="B1" s="4" t="s">
        <v>44</v>
      </c>
      <c r="C1" t="s">
        <v>45</v>
      </c>
      <c r="D1" t="s">
        <v>46</v>
      </c>
      <c r="E1" t="s">
        <v>72</v>
      </c>
      <c r="F1" t="s">
        <v>47</v>
      </c>
      <c r="G1" t="s">
        <v>48</v>
      </c>
      <c r="H1" t="s">
        <v>49</v>
      </c>
      <c r="I1" t="s">
        <v>50</v>
      </c>
      <c r="J1" t="s">
        <v>51</v>
      </c>
      <c r="K1" t="s">
        <v>56</v>
      </c>
      <c r="L1" t="s">
        <v>57</v>
      </c>
      <c r="M1" t="s">
        <v>58</v>
      </c>
      <c r="N1" t="s">
        <v>63</v>
      </c>
      <c r="R1" t="s">
        <v>52</v>
      </c>
      <c r="U1">
        <f>COUNTIF(F2:F291, "Diseased")</f>
        <v>129</v>
      </c>
      <c r="V1">
        <f>MAX(M2:M921)</f>
        <v>6</v>
      </c>
    </row>
    <row r="2" spans="1:22" x14ac:dyDescent="0.3">
      <c r="A2">
        <f>HeartData[[#This Row],[id]]</f>
        <v>1</v>
      </c>
      <c r="B2" s="4">
        <f>HeartData[age]</f>
        <v>63</v>
      </c>
      <c r="C2" t="str">
        <f>HeartData[[#This Row],[sex]]</f>
        <v>Male</v>
      </c>
      <c r="D2" t="str">
        <f t="shared" ref="D2:D65" si="0">IF(B2&lt;45,"Under 45",IF(B2&lt;=54,"45-54",IF(B2&lt;=64,"55-64","65+")))</f>
        <v>55-64</v>
      </c>
      <c r="E2" t="str">
        <f>HeartData[[#This Row],[cp]]</f>
        <v>typical angina</v>
      </c>
      <c r="F2" t="str">
        <f>IF(HeartData[[#This Row],[num]]&gt;0, "Diseased", "Healthy")</f>
        <v>Healthy</v>
      </c>
      <c r="G2">
        <f>IF(HeartData[[#This Row],[chol]]&gt;$P$3, 1, 0)</f>
        <v>1</v>
      </c>
      <c r="H2">
        <f>IF(HeartData[[#This Row],[trestbps]]&gt;$P$4, 1, 0)</f>
        <v>1</v>
      </c>
      <c r="I2">
        <f>IF(HeartData[[#This Row],[oldpeak]]&gt;$P$5,1,0)</f>
        <v>1</v>
      </c>
      <c r="J2">
        <f>IF(HeartData[[#This Row],[exang]]="TRUE",1,0)</f>
        <v>0</v>
      </c>
      <c r="K2">
        <f>IF(HeartData[[#This Row],[fbs]]="TRUE",1,0)</f>
        <v>1</v>
      </c>
      <c r="L2">
        <f>IF(HeartData[[#This Row],[ca]]&gt;0,1,0)</f>
        <v>0</v>
      </c>
      <c r="M2">
        <f>G2+H2+I2+J2+K2+L2</f>
        <v>4</v>
      </c>
      <c r="N2">
        <f>IF(F2="Diseased",1,0)</f>
        <v>0</v>
      </c>
      <c r="R2" t="s">
        <v>53</v>
      </c>
      <c r="S2">
        <f>AVERAGEIF(HeartData[chol], "&gt;"&amp;0, HeartData[chol])</f>
        <v>246.83286908077994</v>
      </c>
    </row>
    <row r="3" spans="1:22" x14ac:dyDescent="0.3">
      <c r="A3">
        <f>HeartData[[#This Row],[id]]</f>
        <v>2</v>
      </c>
      <c r="B3" s="4">
        <f>HeartData[[#This Row],[age]]</f>
        <v>67</v>
      </c>
      <c r="C3" t="str">
        <f>HeartData[[#This Row],[sex]]</f>
        <v>Male</v>
      </c>
      <c r="D3" t="str">
        <f t="shared" si="0"/>
        <v>65+</v>
      </c>
      <c r="E3" t="str">
        <f>HeartData[[#This Row],[cp]]</f>
        <v>asymptomatic</v>
      </c>
      <c r="F3" t="str">
        <f>IF(HeartData[[#This Row],[num]]&gt;0, "Diseased", "Healthy")</f>
        <v>Diseased</v>
      </c>
      <c r="G3">
        <f>IF(HeartData[[#This Row],[chol]]&gt;$P$3, 1, 0)</f>
        <v>1</v>
      </c>
      <c r="H3">
        <f>IF(HeartData[[#This Row],[trestbps]]&gt;$P$4, 1, 0)</f>
        <v>1</v>
      </c>
      <c r="I3">
        <f>IF(HeartData[[#This Row],[oldpeak]]&gt;$P$5,1,0)</f>
        <v>1</v>
      </c>
      <c r="J3">
        <f>IF(HeartData[[#This Row],[exang]]="TRUE",1,0)</f>
        <v>1</v>
      </c>
      <c r="K3">
        <f>IF(HeartData[[#This Row],[fbs]]="TRUE",1,0)</f>
        <v>0</v>
      </c>
      <c r="L3">
        <f>IF(HeartData[[#This Row],[ca]]&gt;0,1,0)</f>
        <v>1</v>
      </c>
      <c r="M3">
        <f t="shared" ref="M3:M66" si="1">G3+H3+I3+J3+K3+L3</f>
        <v>5</v>
      </c>
      <c r="N3">
        <f t="shared" ref="N3:N66" si="2">IF(F3="Diseased",1,0)</f>
        <v>1</v>
      </c>
      <c r="R3" t="s">
        <v>54</v>
      </c>
      <c r="S3">
        <f>AVERAGEIF(HeartData[trestbps],"&gt;"&amp;0,HeartData[trestbps])</f>
        <v>132.28604651162792</v>
      </c>
    </row>
    <row r="4" spans="1:22" x14ac:dyDescent="0.3">
      <c r="A4">
        <f>HeartData[[#This Row],[id]]</f>
        <v>3</v>
      </c>
      <c r="B4" s="4">
        <f>HeartData[[#This Row],[age]]</f>
        <v>67</v>
      </c>
      <c r="C4" t="str">
        <f>HeartData[[#This Row],[sex]]</f>
        <v>Male</v>
      </c>
      <c r="D4" t="str">
        <f t="shared" si="0"/>
        <v>65+</v>
      </c>
      <c r="E4" t="str">
        <f>HeartData[[#This Row],[cp]]</f>
        <v>asymptomatic</v>
      </c>
      <c r="F4" t="str">
        <f>IF(HeartData[[#This Row],[num]]&gt;0, "Diseased", "Healthy")</f>
        <v>Diseased</v>
      </c>
      <c r="G4">
        <f>IF(HeartData[[#This Row],[chol]]&gt;$P$3, 1, 0)</f>
        <v>1</v>
      </c>
      <c r="H4">
        <f>IF(HeartData[[#This Row],[trestbps]]&gt;$P$4, 1, 0)</f>
        <v>1</v>
      </c>
      <c r="I4">
        <f>IF(HeartData[[#This Row],[oldpeak]]&gt;$P$5,1,0)</f>
        <v>1</v>
      </c>
      <c r="J4">
        <f>IF(HeartData[[#This Row],[exang]]="TRUE",1,0)</f>
        <v>1</v>
      </c>
      <c r="K4">
        <f>IF(HeartData[[#This Row],[fbs]]="TRUE",1,0)</f>
        <v>0</v>
      </c>
      <c r="L4">
        <f>IF(HeartData[[#This Row],[ca]]&gt;0,1,0)</f>
        <v>1</v>
      </c>
      <c r="M4">
        <f t="shared" si="1"/>
        <v>5</v>
      </c>
      <c r="N4">
        <f t="shared" si="2"/>
        <v>1</v>
      </c>
      <c r="R4" t="s">
        <v>55</v>
      </c>
      <c r="S4">
        <f>AVERAGE(HeartData[oldpeak])</f>
        <v>0.5582750582750583</v>
      </c>
    </row>
    <row r="5" spans="1:22" x14ac:dyDescent="0.3">
      <c r="A5">
        <f>HeartData[[#This Row],[id]]</f>
        <v>4</v>
      </c>
      <c r="B5" s="4">
        <f>HeartData[[#This Row],[age]]</f>
        <v>37</v>
      </c>
      <c r="C5" t="str">
        <f>HeartData[[#This Row],[sex]]</f>
        <v>Male</v>
      </c>
      <c r="D5" t="str">
        <f t="shared" si="0"/>
        <v>Under 45</v>
      </c>
      <c r="E5" t="str">
        <f>HeartData[[#This Row],[cp]]</f>
        <v>non-anginal</v>
      </c>
      <c r="F5" t="str">
        <f>IF(HeartData[[#This Row],[num]]&gt;0, "Diseased", "Healthy")</f>
        <v>Healthy</v>
      </c>
      <c r="G5">
        <f>IF(HeartData[[#This Row],[chol]]&gt;$P$3, 1, 0)</f>
        <v>1</v>
      </c>
      <c r="H5">
        <f>IF(HeartData[[#This Row],[trestbps]]&gt;$P$4, 1, 0)</f>
        <v>1</v>
      </c>
      <c r="I5">
        <f>IF(HeartData[[#This Row],[oldpeak]]&gt;$P$5,1,0)</f>
        <v>1</v>
      </c>
      <c r="J5">
        <f>IF(HeartData[[#This Row],[exang]]="TRUE",1,0)</f>
        <v>0</v>
      </c>
      <c r="K5">
        <f>IF(HeartData[[#This Row],[fbs]]="TRUE",1,0)</f>
        <v>0</v>
      </c>
      <c r="L5">
        <f>IF(HeartData[[#This Row],[ca]]&gt;0,1,0)</f>
        <v>0</v>
      </c>
      <c r="M5">
        <f t="shared" si="1"/>
        <v>3</v>
      </c>
      <c r="N5">
        <f t="shared" si="2"/>
        <v>0</v>
      </c>
    </row>
    <row r="6" spans="1:22" x14ac:dyDescent="0.3">
      <c r="A6">
        <f>HeartData[[#This Row],[id]]</f>
        <v>5</v>
      </c>
      <c r="B6" s="4">
        <f>HeartData[[#This Row],[age]]</f>
        <v>41</v>
      </c>
      <c r="C6" t="str">
        <f>HeartData[[#This Row],[sex]]</f>
        <v>Female</v>
      </c>
      <c r="D6" t="str">
        <f t="shared" si="0"/>
        <v>Under 45</v>
      </c>
      <c r="E6" t="str">
        <f>HeartData[[#This Row],[cp]]</f>
        <v>atypical angina</v>
      </c>
      <c r="F6" t="str">
        <f>IF(HeartData[[#This Row],[num]]&gt;0, "Diseased", "Healthy")</f>
        <v>Healthy</v>
      </c>
      <c r="G6">
        <f>IF(HeartData[[#This Row],[chol]]&gt;$P$3, 1, 0)</f>
        <v>1</v>
      </c>
      <c r="H6">
        <f>IF(HeartData[[#This Row],[trestbps]]&gt;$P$4, 1, 0)</f>
        <v>1</v>
      </c>
      <c r="I6">
        <f>IF(HeartData[[#This Row],[oldpeak]]&gt;$P$5,1,0)</f>
        <v>1</v>
      </c>
      <c r="J6">
        <f>IF(HeartData[[#This Row],[exang]]="TRUE",1,0)</f>
        <v>0</v>
      </c>
      <c r="K6">
        <f>IF(HeartData[[#This Row],[fbs]]="TRUE",1,0)</f>
        <v>0</v>
      </c>
      <c r="L6">
        <f>IF(HeartData[[#This Row],[ca]]&gt;0,1,0)</f>
        <v>0</v>
      </c>
      <c r="M6">
        <f t="shared" si="1"/>
        <v>3</v>
      </c>
      <c r="N6">
        <f t="shared" si="2"/>
        <v>0</v>
      </c>
    </row>
    <row r="7" spans="1:22" x14ac:dyDescent="0.3">
      <c r="A7">
        <f>HeartData[[#This Row],[id]]</f>
        <v>6</v>
      </c>
      <c r="B7" s="4">
        <f>HeartData[[#This Row],[age]]</f>
        <v>56</v>
      </c>
      <c r="C7" t="str">
        <f>HeartData[[#This Row],[sex]]</f>
        <v>Male</v>
      </c>
      <c r="D7" t="str">
        <f t="shared" si="0"/>
        <v>55-64</v>
      </c>
      <c r="E7" t="str">
        <f>HeartData[[#This Row],[cp]]</f>
        <v>atypical angina</v>
      </c>
      <c r="F7" t="str">
        <f>IF(HeartData[[#This Row],[num]]&gt;0, "Diseased", "Healthy")</f>
        <v>Healthy</v>
      </c>
      <c r="G7">
        <f>IF(HeartData[[#This Row],[chol]]&gt;$P$3, 1, 0)</f>
        <v>1</v>
      </c>
      <c r="H7">
        <f>IF(HeartData[[#This Row],[trestbps]]&gt;$P$4, 1, 0)</f>
        <v>1</v>
      </c>
      <c r="I7">
        <f>IF(HeartData[[#This Row],[oldpeak]]&gt;$P$5,1,0)</f>
        <v>1</v>
      </c>
      <c r="J7">
        <f>IF(HeartData[[#This Row],[exang]]="TRUE",1,0)</f>
        <v>0</v>
      </c>
      <c r="K7">
        <f>IF(HeartData[[#This Row],[fbs]]="TRUE",1,0)</f>
        <v>0</v>
      </c>
      <c r="L7">
        <f>IF(HeartData[[#This Row],[ca]]&gt;0,1,0)</f>
        <v>0</v>
      </c>
      <c r="M7">
        <f t="shared" si="1"/>
        <v>3</v>
      </c>
      <c r="N7">
        <f t="shared" si="2"/>
        <v>0</v>
      </c>
    </row>
    <row r="8" spans="1:22" x14ac:dyDescent="0.3">
      <c r="A8">
        <f>HeartData[[#This Row],[id]]</f>
        <v>7</v>
      </c>
      <c r="B8" s="4">
        <f>HeartData[[#This Row],[age]]</f>
        <v>62</v>
      </c>
      <c r="C8" t="str">
        <f>HeartData[[#This Row],[sex]]</f>
        <v>Female</v>
      </c>
      <c r="D8" t="str">
        <f t="shared" si="0"/>
        <v>55-64</v>
      </c>
      <c r="E8" t="str">
        <f>HeartData[[#This Row],[cp]]</f>
        <v>asymptomatic</v>
      </c>
      <c r="F8" t="str">
        <f>IF(HeartData[[#This Row],[num]]&gt;0, "Diseased", "Healthy")</f>
        <v>Diseased</v>
      </c>
      <c r="G8">
        <f>IF(HeartData[[#This Row],[chol]]&gt;$P$3, 1, 0)</f>
        <v>1</v>
      </c>
      <c r="H8">
        <f>IF(HeartData[[#This Row],[trestbps]]&gt;$P$4, 1, 0)</f>
        <v>1</v>
      </c>
      <c r="I8">
        <f>IF(HeartData[[#This Row],[oldpeak]]&gt;$P$5,1,0)</f>
        <v>1</v>
      </c>
      <c r="J8">
        <f>IF(HeartData[[#This Row],[exang]]="TRUE",1,0)</f>
        <v>0</v>
      </c>
      <c r="K8">
        <f>IF(HeartData[[#This Row],[fbs]]="TRUE",1,0)</f>
        <v>0</v>
      </c>
      <c r="L8">
        <f>IF(HeartData[[#This Row],[ca]]&gt;0,1,0)</f>
        <v>1</v>
      </c>
      <c r="M8">
        <f t="shared" si="1"/>
        <v>4</v>
      </c>
      <c r="N8">
        <f t="shared" si="2"/>
        <v>1</v>
      </c>
    </row>
    <row r="9" spans="1:22" x14ac:dyDescent="0.3">
      <c r="A9">
        <f>HeartData[[#This Row],[id]]</f>
        <v>8</v>
      </c>
      <c r="B9" s="4">
        <f>HeartData[[#This Row],[age]]</f>
        <v>57</v>
      </c>
      <c r="C9" t="str">
        <f>HeartData[[#This Row],[sex]]</f>
        <v>Female</v>
      </c>
      <c r="D9" t="str">
        <f t="shared" si="0"/>
        <v>55-64</v>
      </c>
      <c r="E9" t="str">
        <f>HeartData[[#This Row],[cp]]</f>
        <v>asymptomatic</v>
      </c>
      <c r="F9" t="str">
        <f>IF(HeartData[[#This Row],[num]]&gt;0, "Diseased", "Healthy")</f>
        <v>Healthy</v>
      </c>
      <c r="G9">
        <f>IF(HeartData[[#This Row],[chol]]&gt;$P$3, 1, 0)</f>
        <v>1</v>
      </c>
      <c r="H9">
        <f>IF(HeartData[[#This Row],[trestbps]]&gt;$P$4, 1, 0)</f>
        <v>1</v>
      </c>
      <c r="I9">
        <f>IF(HeartData[[#This Row],[oldpeak]]&gt;$P$5,1,0)</f>
        <v>1</v>
      </c>
      <c r="J9">
        <f>IF(HeartData[[#This Row],[exang]]="TRUE",1,0)</f>
        <v>1</v>
      </c>
      <c r="K9">
        <f>IF(HeartData[[#This Row],[fbs]]="TRUE",1,0)</f>
        <v>0</v>
      </c>
      <c r="L9">
        <f>IF(HeartData[[#This Row],[ca]]&gt;0,1,0)</f>
        <v>0</v>
      </c>
      <c r="M9">
        <f t="shared" si="1"/>
        <v>4</v>
      </c>
      <c r="N9">
        <f t="shared" si="2"/>
        <v>0</v>
      </c>
    </row>
    <row r="10" spans="1:22" x14ac:dyDescent="0.3">
      <c r="A10">
        <f>HeartData[[#This Row],[id]]</f>
        <v>9</v>
      </c>
      <c r="B10" s="4">
        <f>HeartData[[#This Row],[age]]</f>
        <v>63</v>
      </c>
      <c r="C10" t="str">
        <f>HeartData[[#This Row],[sex]]</f>
        <v>Male</v>
      </c>
      <c r="D10" t="str">
        <f t="shared" si="0"/>
        <v>55-64</v>
      </c>
      <c r="E10" t="str">
        <f>HeartData[[#This Row],[cp]]</f>
        <v>asymptomatic</v>
      </c>
      <c r="F10" t="str">
        <f>IF(HeartData[[#This Row],[num]]&gt;0, "Diseased", "Healthy")</f>
        <v>Diseased</v>
      </c>
      <c r="G10">
        <f>IF(HeartData[[#This Row],[chol]]&gt;$P$3, 1, 0)</f>
        <v>1</v>
      </c>
      <c r="H10">
        <f>IF(HeartData[[#This Row],[trestbps]]&gt;$P$4, 1, 0)</f>
        <v>1</v>
      </c>
      <c r="I10">
        <f>IF(HeartData[[#This Row],[oldpeak]]&gt;$P$5,1,0)</f>
        <v>1</v>
      </c>
      <c r="J10">
        <f>IF(HeartData[[#This Row],[exang]]="TRUE",1,0)</f>
        <v>0</v>
      </c>
      <c r="K10">
        <f>IF(HeartData[[#This Row],[fbs]]="TRUE",1,0)</f>
        <v>0</v>
      </c>
      <c r="L10">
        <f>IF(HeartData[[#This Row],[ca]]&gt;0,1,0)</f>
        <v>1</v>
      </c>
      <c r="M10">
        <f t="shared" si="1"/>
        <v>4</v>
      </c>
      <c r="N10">
        <f t="shared" si="2"/>
        <v>1</v>
      </c>
    </row>
    <row r="11" spans="1:22" x14ac:dyDescent="0.3">
      <c r="A11">
        <f>HeartData[[#This Row],[id]]</f>
        <v>10</v>
      </c>
      <c r="B11" s="4">
        <f>HeartData[[#This Row],[age]]</f>
        <v>53</v>
      </c>
      <c r="C11" t="str">
        <f>HeartData[[#This Row],[sex]]</f>
        <v>Male</v>
      </c>
      <c r="D11" t="str">
        <f t="shared" si="0"/>
        <v>45-54</v>
      </c>
      <c r="E11" t="str">
        <f>HeartData[[#This Row],[cp]]</f>
        <v>asymptomatic</v>
      </c>
      <c r="F11" t="str">
        <f>IF(HeartData[[#This Row],[num]]&gt;0, "Diseased", "Healthy")</f>
        <v>Diseased</v>
      </c>
      <c r="G11">
        <f>IF(HeartData[[#This Row],[chol]]&gt;$P$3, 1, 0)</f>
        <v>1</v>
      </c>
      <c r="H11">
        <f>IF(HeartData[[#This Row],[trestbps]]&gt;$P$4, 1, 0)</f>
        <v>1</v>
      </c>
      <c r="I11">
        <f>IF(HeartData[[#This Row],[oldpeak]]&gt;$P$5,1,0)</f>
        <v>1</v>
      </c>
      <c r="J11">
        <f>IF(HeartData[[#This Row],[exang]]="TRUE",1,0)</f>
        <v>1</v>
      </c>
      <c r="K11">
        <f>IF(HeartData[[#This Row],[fbs]]="TRUE",1,0)</f>
        <v>1</v>
      </c>
      <c r="L11">
        <f>IF(HeartData[[#This Row],[ca]]&gt;0,1,0)</f>
        <v>0</v>
      </c>
      <c r="M11">
        <f t="shared" si="1"/>
        <v>5</v>
      </c>
      <c r="N11">
        <f t="shared" si="2"/>
        <v>1</v>
      </c>
    </row>
    <row r="12" spans="1:22" x14ac:dyDescent="0.3">
      <c r="A12">
        <f>HeartData[[#This Row],[id]]</f>
        <v>11</v>
      </c>
      <c r="B12" s="4">
        <f>HeartData[[#This Row],[age]]</f>
        <v>57</v>
      </c>
      <c r="C12" t="str">
        <f>HeartData[[#This Row],[sex]]</f>
        <v>Male</v>
      </c>
      <c r="D12" t="str">
        <f t="shared" si="0"/>
        <v>55-64</v>
      </c>
      <c r="E12" t="str">
        <f>HeartData[[#This Row],[cp]]</f>
        <v>asymptomatic</v>
      </c>
      <c r="F12" t="str">
        <f>IF(HeartData[[#This Row],[num]]&gt;0, "Diseased", "Healthy")</f>
        <v>Healthy</v>
      </c>
      <c r="G12">
        <f>IF(HeartData[[#This Row],[chol]]&gt;$P$3, 1, 0)</f>
        <v>1</v>
      </c>
      <c r="H12">
        <f>IF(HeartData[[#This Row],[trestbps]]&gt;$P$4, 1, 0)</f>
        <v>1</v>
      </c>
      <c r="I12">
        <f>IF(HeartData[[#This Row],[oldpeak]]&gt;$P$5,1,0)</f>
        <v>1</v>
      </c>
      <c r="J12">
        <f>IF(HeartData[[#This Row],[exang]]="TRUE",1,0)</f>
        <v>0</v>
      </c>
      <c r="K12">
        <f>IF(HeartData[[#This Row],[fbs]]="TRUE",1,0)</f>
        <v>0</v>
      </c>
      <c r="L12">
        <f>IF(HeartData[[#This Row],[ca]]&gt;0,1,0)</f>
        <v>0</v>
      </c>
      <c r="M12">
        <f t="shared" si="1"/>
        <v>3</v>
      </c>
      <c r="N12">
        <f t="shared" si="2"/>
        <v>0</v>
      </c>
    </row>
    <row r="13" spans="1:22" x14ac:dyDescent="0.3">
      <c r="A13">
        <f>HeartData[[#This Row],[id]]</f>
        <v>12</v>
      </c>
      <c r="B13" s="4">
        <f>HeartData[[#This Row],[age]]</f>
        <v>56</v>
      </c>
      <c r="C13" t="str">
        <f>HeartData[[#This Row],[sex]]</f>
        <v>Female</v>
      </c>
      <c r="D13" t="str">
        <f t="shared" si="0"/>
        <v>55-64</v>
      </c>
      <c r="E13" t="str">
        <f>HeartData[[#This Row],[cp]]</f>
        <v>atypical angina</v>
      </c>
      <c r="F13" t="str">
        <f>IF(HeartData[[#This Row],[num]]&gt;0, "Diseased", "Healthy")</f>
        <v>Healthy</v>
      </c>
      <c r="G13">
        <f>IF(HeartData[[#This Row],[chol]]&gt;$P$3, 1, 0)</f>
        <v>1</v>
      </c>
      <c r="H13">
        <f>IF(HeartData[[#This Row],[trestbps]]&gt;$P$4, 1, 0)</f>
        <v>1</v>
      </c>
      <c r="I13">
        <f>IF(HeartData[[#This Row],[oldpeak]]&gt;$P$5,1,0)</f>
        <v>1</v>
      </c>
      <c r="J13">
        <f>IF(HeartData[[#This Row],[exang]]="TRUE",1,0)</f>
        <v>0</v>
      </c>
      <c r="K13">
        <f>IF(HeartData[[#This Row],[fbs]]="TRUE",1,0)</f>
        <v>0</v>
      </c>
      <c r="L13">
        <f>IF(HeartData[[#This Row],[ca]]&gt;0,1,0)</f>
        <v>0</v>
      </c>
      <c r="M13">
        <f t="shared" si="1"/>
        <v>3</v>
      </c>
      <c r="N13">
        <f t="shared" si="2"/>
        <v>0</v>
      </c>
    </row>
    <row r="14" spans="1:22" x14ac:dyDescent="0.3">
      <c r="A14">
        <f>HeartData[[#This Row],[id]]</f>
        <v>13</v>
      </c>
      <c r="B14" s="4">
        <f>HeartData[[#This Row],[age]]</f>
        <v>56</v>
      </c>
      <c r="C14" t="str">
        <f>HeartData[[#This Row],[sex]]</f>
        <v>Male</v>
      </c>
      <c r="D14" t="str">
        <f t="shared" si="0"/>
        <v>55-64</v>
      </c>
      <c r="E14" t="str">
        <f>HeartData[[#This Row],[cp]]</f>
        <v>non-anginal</v>
      </c>
      <c r="F14" t="str">
        <f>IF(HeartData[[#This Row],[num]]&gt;0, "Diseased", "Healthy")</f>
        <v>Diseased</v>
      </c>
      <c r="G14">
        <f>IF(HeartData[[#This Row],[chol]]&gt;$P$3, 1, 0)</f>
        <v>1</v>
      </c>
      <c r="H14">
        <f>IF(HeartData[[#This Row],[trestbps]]&gt;$P$4, 1, 0)</f>
        <v>1</v>
      </c>
      <c r="I14">
        <f>IF(HeartData[[#This Row],[oldpeak]]&gt;$P$5,1,0)</f>
        <v>1</v>
      </c>
      <c r="J14">
        <f>IF(HeartData[[#This Row],[exang]]="TRUE",1,0)</f>
        <v>1</v>
      </c>
      <c r="K14">
        <f>IF(HeartData[[#This Row],[fbs]]="TRUE",1,0)</f>
        <v>1</v>
      </c>
      <c r="L14">
        <f>IF(HeartData[[#This Row],[ca]]&gt;0,1,0)</f>
        <v>1</v>
      </c>
      <c r="M14">
        <f t="shared" si="1"/>
        <v>6</v>
      </c>
      <c r="N14">
        <f t="shared" si="2"/>
        <v>1</v>
      </c>
    </row>
    <row r="15" spans="1:22" x14ac:dyDescent="0.3">
      <c r="A15">
        <f>HeartData[[#This Row],[id]]</f>
        <v>14</v>
      </c>
      <c r="B15" s="4">
        <f>HeartData[[#This Row],[age]]</f>
        <v>44</v>
      </c>
      <c r="C15" t="str">
        <f>HeartData[[#This Row],[sex]]</f>
        <v>Male</v>
      </c>
      <c r="D15" t="str">
        <f t="shared" si="0"/>
        <v>Under 45</v>
      </c>
      <c r="E15" t="str">
        <f>HeartData[[#This Row],[cp]]</f>
        <v>atypical angina</v>
      </c>
      <c r="F15" t="str">
        <f>IF(HeartData[[#This Row],[num]]&gt;0, "Diseased", "Healthy")</f>
        <v>Healthy</v>
      </c>
      <c r="G15">
        <f>IF(HeartData[[#This Row],[chol]]&gt;$P$3, 1, 0)</f>
        <v>1</v>
      </c>
      <c r="H15">
        <f>IF(HeartData[[#This Row],[trestbps]]&gt;$P$4, 1, 0)</f>
        <v>1</v>
      </c>
      <c r="I15">
        <f>IF(HeartData[[#This Row],[oldpeak]]&gt;$P$5,1,0)</f>
        <v>0</v>
      </c>
      <c r="J15">
        <f>IF(HeartData[[#This Row],[exang]]="TRUE",1,0)</f>
        <v>0</v>
      </c>
      <c r="K15">
        <f>IF(HeartData[[#This Row],[fbs]]="TRUE",1,0)</f>
        <v>0</v>
      </c>
      <c r="L15">
        <f>IF(HeartData[[#This Row],[ca]]&gt;0,1,0)</f>
        <v>0</v>
      </c>
      <c r="M15">
        <f t="shared" si="1"/>
        <v>2</v>
      </c>
      <c r="N15">
        <f t="shared" si="2"/>
        <v>0</v>
      </c>
    </row>
    <row r="16" spans="1:22" x14ac:dyDescent="0.3">
      <c r="A16">
        <f>HeartData[[#This Row],[id]]</f>
        <v>15</v>
      </c>
      <c r="B16" s="4">
        <f>HeartData[[#This Row],[age]]</f>
        <v>52</v>
      </c>
      <c r="C16" t="str">
        <f>HeartData[[#This Row],[sex]]</f>
        <v>Male</v>
      </c>
      <c r="D16" t="str">
        <f t="shared" si="0"/>
        <v>45-54</v>
      </c>
      <c r="E16" t="str">
        <f>HeartData[[#This Row],[cp]]</f>
        <v>non-anginal</v>
      </c>
      <c r="F16" t="str">
        <f>IF(HeartData[[#This Row],[num]]&gt;0, "Diseased", "Healthy")</f>
        <v>Healthy</v>
      </c>
      <c r="G16">
        <f>IF(HeartData[[#This Row],[chol]]&gt;$P$3, 1, 0)</f>
        <v>1</v>
      </c>
      <c r="H16">
        <f>IF(HeartData[[#This Row],[trestbps]]&gt;$P$4, 1, 0)</f>
        <v>1</v>
      </c>
      <c r="I16">
        <f>IF(HeartData[[#This Row],[oldpeak]]&gt;$P$5,1,0)</f>
        <v>1</v>
      </c>
      <c r="J16">
        <f>IF(HeartData[[#This Row],[exang]]="TRUE",1,0)</f>
        <v>0</v>
      </c>
      <c r="K16">
        <f>IF(HeartData[[#This Row],[fbs]]="TRUE",1,0)</f>
        <v>1</v>
      </c>
      <c r="L16">
        <f>IF(HeartData[[#This Row],[ca]]&gt;0,1,0)</f>
        <v>0</v>
      </c>
      <c r="M16">
        <f t="shared" si="1"/>
        <v>4</v>
      </c>
      <c r="N16">
        <f t="shared" si="2"/>
        <v>0</v>
      </c>
    </row>
    <row r="17" spans="1:14" x14ac:dyDescent="0.3">
      <c r="A17">
        <f>HeartData[[#This Row],[id]]</f>
        <v>16</v>
      </c>
      <c r="B17" s="4">
        <f>HeartData[[#This Row],[age]]</f>
        <v>57</v>
      </c>
      <c r="C17" t="str">
        <f>HeartData[[#This Row],[sex]]</f>
        <v>Male</v>
      </c>
      <c r="D17" t="str">
        <f t="shared" si="0"/>
        <v>55-64</v>
      </c>
      <c r="E17" t="str">
        <f>HeartData[[#This Row],[cp]]</f>
        <v>non-anginal</v>
      </c>
      <c r="F17" t="str">
        <f>IF(HeartData[[#This Row],[num]]&gt;0, "Diseased", "Healthy")</f>
        <v>Healthy</v>
      </c>
      <c r="G17">
        <f>IF(HeartData[[#This Row],[chol]]&gt;$P$3, 1, 0)</f>
        <v>1</v>
      </c>
      <c r="H17">
        <f>IF(HeartData[[#This Row],[trestbps]]&gt;$P$4, 1, 0)</f>
        <v>1</v>
      </c>
      <c r="I17">
        <f>IF(HeartData[[#This Row],[oldpeak]]&gt;$P$5,1,0)</f>
        <v>1</v>
      </c>
      <c r="J17">
        <f>IF(HeartData[[#This Row],[exang]]="TRUE",1,0)</f>
        <v>0</v>
      </c>
      <c r="K17">
        <f>IF(HeartData[[#This Row],[fbs]]="TRUE",1,0)</f>
        <v>0</v>
      </c>
      <c r="L17">
        <f>IF(HeartData[[#This Row],[ca]]&gt;0,1,0)</f>
        <v>0</v>
      </c>
      <c r="M17">
        <f t="shared" si="1"/>
        <v>3</v>
      </c>
      <c r="N17">
        <f t="shared" si="2"/>
        <v>0</v>
      </c>
    </row>
    <row r="18" spans="1:14" x14ac:dyDescent="0.3">
      <c r="A18">
        <f>HeartData[[#This Row],[id]]</f>
        <v>17</v>
      </c>
      <c r="B18" s="4">
        <f>HeartData[[#This Row],[age]]</f>
        <v>48</v>
      </c>
      <c r="C18" t="str">
        <f>HeartData[[#This Row],[sex]]</f>
        <v>Male</v>
      </c>
      <c r="D18" t="str">
        <f t="shared" si="0"/>
        <v>45-54</v>
      </c>
      <c r="E18" t="str">
        <f>HeartData[[#This Row],[cp]]</f>
        <v>atypical angina</v>
      </c>
      <c r="F18" t="str">
        <f>IF(HeartData[[#This Row],[num]]&gt;0, "Diseased", "Healthy")</f>
        <v>Diseased</v>
      </c>
      <c r="G18">
        <f>IF(HeartData[[#This Row],[chol]]&gt;$P$3, 1, 0)</f>
        <v>1</v>
      </c>
      <c r="H18">
        <f>IF(HeartData[[#This Row],[trestbps]]&gt;$P$4, 1, 0)</f>
        <v>1</v>
      </c>
      <c r="I18">
        <f>IF(HeartData[[#This Row],[oldpeak]]&gt;$P$5,1,0)</f>
        <v>1</v>
      </c>
      <c r="J18">
        <f>IF(HeartData[[#This Row],[exang]]="TRUE",1,0)</f>
        <v>0</v>
      </c>
      <c r="K18">
        <f>IF(HeartData[[#This Row],[fbs]]="TRUE",1,0)</f>
        <v>0</v>
      </c>
      <c r="L18">
        <f>IF(HeartData[[#This Row],[ca]]&gt;0,1,0)</f>
        <v>0</v>
      </c>
      <c r="M18">
        <f t="shared" si="1"/>
        <v>3</v>
      </c>
      <c r="N18">
        <f t="shared" si="2"/>
        <v>1</v>
      </c>
    </row>
    <row r="19" spans="1:14" x14ac:dyDescent="0.3">
      <c r="A19">
        <f>HeartData[[#This Row],[id]]</f>
        <v>18</v>
      </c>
      <c r="B19" s="4">
        <f>HeartData[[#This Row],[age]]</f>
        <v>54</v>
      </c>
      <c r="C19" t="str">
        <f>HeartData[[#This Row],[sex]]</f>
        <v>Male</v>
      </c>
      <c r="D19" t="str">
        <f t="shared" si="0"/>
        <v>45-54</v>
      </c>
      <c r="E19" t="str">
        <f>HeartData[[#This Row],[cp]]</f>
        <v>asymptomatic</v>
      </c>
      <c r="F19" t="str">
        <f>IF(HeartData[[#This Row],[num]]&gt;0, "Diseased", "Healthy")</f>
        <v>Healthy</v>
      </c>
      <c r="G19">
        <f>IF(HeartData[[#This Row],[chol]]&gt;$P$3, 1, 0)</f>
        <v>1</v>
      </c>
      <c r="H19">
        <f>IF(HeartData[[#This Row],[trestbps]]&gt;$P$4, 1, 0)</f>
        <v>1</v>
      </c>
      <c r="I19">
        <f>IF(HeartData[[#This Row],[oldpeak]]&gt;$P$5,1,0)</f>
        <v>1</v>
      </c>
      <c r="J19">
        <f>IF(HeartData[[#This Row],[exang]]="TRUE",1,0)</f>
        <v>0</v>
      </c>
      <c r="K19">
        <f>IF(HeartData[[#This Row],[fbs]]="TRUE",1,0)</f>
        <v>0</v>
      </c>
      <c r="L19">
        <f>IF(HeartData[[#This Row],[ca]]&gt;0,1,0)</f>
        <v>0</v>
      </c>
      <c r="M19">
        <f t="shared" si="1"/>
        <v>3</v>
      </c>
      <c r="N19">
        <f t="shared" si="2"/>
        <v>0</v>
      </c>
    </row>
    <row r="20" spans="1:14" x14ac:dyDescent="0.3">
      <c r="A20">
        <f>HeartData[[#This Row],[id]]</f>
        <v>19</v>
      </c>
      <c r="B20" s="4">
        <f>HeartData[[#This Row],[age]]</f>
        <v>48</v>
      </c>
      <c r="C20" t="str">
        <f>HeartData[[#This Row],[sex]]</f>
        <v>Female</v>
      </c>
      <c r="D20" t="str">
        <f t="shared" si="0"/>
        <v>45-54</v>
      </c>
      <c r="E20" t="str">
        <f>HeartData[[#This Row],[cp]]</f>
        <v>non-anginal</v>
      </c>
      <c r="F20" t="str">
        <f>IF(HeartData[[#This Row],[num]]&gt;0, "Diseased", "Healthy")</f>
        <v>Healthy</v>
      </c>
      <c r="G20">
        <f>IF(HeartData[[#This Row],[chol]]&gt;$P$3, 1, 0)</f>
        <v>1</v>
      </c>
      <c r="H20">
        <f>IF(HeartData[[#This Row],[trestbps]]&gt;$P$4, 1, 0)</f>
        <v>1</v>
      </c>
      <c r="I20">
        <f>IF(HeartData[[#This Row],[oldpeak]]&gt;$P$5,1,0)</f>
        <v>1</v>
      </c>
      <c r="J20">
        <f>IF(HeartData[[#This Row],[exang]]="TRUE",1,0)</f>
        <v>0</v>
      </c>
      <c r="K20">
        <f>IF(HeartData[[#This Row],[fbs]]="TRUE",1,0)</f>
        <v>0</v>
      </c>
      <c r="L20">
        <f>IF(HeartData[[#This Row],[ca]]&gt;0,1,0)</f>
        <v>0</v>
      </c>
      <c r="M20">
        <f t="shared" si="1"/>
        <v>3</v>
      </c>
      <c r="N20">
        <f t="shared" si="2"/>
        <v>0</v>
      </c>
    </row>
    <row r="21" spans="1:14" x14ac:dyDescent="0.3">
      <c r="A21">
        <f>HeartData[[#This Row],[id]]</f>
        <v>20</v>
      </c>
      <c r="B21" s="4">
        <f>HeartData[[#This Row],[age]]</f>
        <v>49</v>
      </c>
      <c r="C21" t="str">
        <f>HeartData[[#This Row],[sex]]</f>
        <v>Male</v>
      </c>
      <c r="D21" t="str">
        <f t="shared" si="0"/>
        <v>45-54</v>
      </c>
      <c r="E21" t="str">
        <f>HeartData[[#This Row],[cp]]</f>
        <v>atypical angina</v>
      </c>
      <c r="F21" t="str">
        <f>IF(HeartData[[#This Row],[num]]&gt;0, "Diseased", "Healthy")</f>
        <v>Healthy</v>
      </c>
      <c r="G21">
        <f>IF(HeartData[[#This Row],[chol]]&gt;$P$3, 1, 0)</f>
        <v>1</v>
      </c>
      <c r="H21">
        <f>IF(HeartData[[#This Row],[trestbps]]&gt;$P$4, 1, 0)</f>
        <v>1</v>
      </c>
      <c r="I21">
        <f>IF(HeartData[[#This Row],[oldpeak]]&gt;$P$5,1,0)</f>
        <v>1</v>
      </c>
      <c r="J21">
        <f>IF(HeartData[[#This Row],[exang]]="TRUE",1,0)</f>
        <v>0</v>
      </c>
      <c r="K21">
        <f>IF(HeartData[[#This Row],[fbs]]="TRUE",1,0)</f>
        <v>0</v>
      </c>
      <c r="L21">
        <f>IF(HeartData[[#This Row],[ca]]&gt;0,1,0)</f>
        <v>0</v>
      </c>
      <c r="M21">
        <f t="shared" si="1"/>
        <v>3</v>
      </c>
      <c r="N21">
        <f t="shared" si="2"/>
        <v>0</v>
      </c>
    </row>
    <row r="22" spans="1:14" x14ac:dyDescent="0.3">
      <c r="A22">
        <f>HeartData[[#This Row],[id]]</f>
        <v>21</v>
      </c>
      <c r="B22" s="4">
        <f>HeartData[[#This Row],[age]]</f>
        <v>64</v>
      </c>
      <c r="C22" t="str">
        <f>HeartData[[#This Row],[sex]]</f>
        <v>Male</v>
      </c>
      <c r="D22" t="str">
        <f t="shared" si="0"/>
        <v>55-64</v>
      </c>
      <c r="E22" t="str">
        <f>HeartData[[#This Row],[cp]]</f>
        <v>typical angina</v>
      </c>
      <c r="F22" t="str">
        <f>IF(HeartData[[#This Row],[num]]&gt;0, "Diseased", "Healthy")</f>
        <v>Healthy</v>
      </c>
      <c r="G22">
        <f>IF(HeartData[[#This Row],[chol]]&gt;$P$3, 1, 0)</f>
        <v>1</v>
      </c>
      <c r="H22">
        <f>IF(HeartData[[#This Row],[trestbps]]&gt;$P$4, 1, 0)</f>
        <v>1</v>
      </c>
      <c r="I22">
        <f>IF(HeartData[[#This Row],[oldpeak]]&gt;$P$5,1,0)</f>
        <v>1</v>
      </c>
      <c r="J22">
        <f>IF(HeartData[[#This Row],[exang]]="TRUE",1,0)</f>
        <v>1</v>
      </c>
      <c r="K22">
        <f>IF(HeartData[[#This Row],[fbs]]="TRUE",1,0)</f>
        <v>0</v>
      </c>
      <c r="L22">
        <f>IF(HeartData[[#This Row],[ca]]&gt;0,1,0)</f>
        <v>0</v>
      </c>
      <c r="M22">
        <f t="shared" si="1"/>
        <v>4</v>
      </c>
      <c r="N22">
        <f t="shared" si="2"/>
        <v>0</v>
      </c>
    </row>
    <row r="23" spans="1:14" x14ac:dyDescent="0.3">
      <c r="A23">
        <f>HeartData[[#This Row],[id]]</f>
        <v>22</v>
      </c>
      <c r="B23" s="4">
        <f>HeartData[[#This Row],[age]]</f>
        <v>58</v>
      </c>
      <c r="C23" t="str">
        <f>HeartData[[#This Row],[sex]]</f>
        <v>Female</v>
      </c>
      <c r="D23" t="str">
        <f t="shared" si="0"/>
        <v>55-64</v>
      </c>
      <c r="E23" t="str">
        <f>HeartData[[#This Row],[cp]]</f>
        <v>typical angina</v>
      </c>
      <c r="F23" t="str">
        <f>IF(HeartData[[#This Row],[num]]&gt;0, "Diseased", "Healthy")</f>
        <v>Healthy</v>
      </c>
      <c r="G23">
        <f>IF(HeartData[[#This Row],[chol]]&gt;$P$3, 1, 0)</f>
        <v>1</v>
      </c>
      <c r="H23">
        <f>IF(HeartData[[#This Row],[trestbps]]&gt;$P$4, 1, 0)</f>
        <v>1</v>
      </c>
      <c r="I23">
        <f>IF(HeartData[[#This Row],[oldpeak]]&gt;$P$5,1,0)</f>
        <v>1</v>
      </c>
      <c r="J23">
        <f>IF(HeartData[[#This Row],[exang]]="TRUE",1,0)</f>
        <v>0</v>
      </c>
      <c r="K23">
        <f>IF(HeartData[[#This Row],[fbs]]="TRUE",1,0)</f>
        <v>1</v>
      </c>
      <c r="L23">
        <f>IF(HeartData[[#This Row],[ca]]&gt;0,1,0)</f>
        <v>0</v>
      </c>
      <c r="M23">
        <f t="shared" si="1"/>
        <v>4</v>
      </c>
      <c r="N23">
        <f t="shared" si="2"/>
        <v>0</v>
      </c>
    </row>
    <row r="24" spans="1:14" x14ac:dyDescent="0.3">
      <c r="A24">
        <f>HeartData[[#This Row],[id]]</f>
        <v>23</v>
      </c>
      <c r="B24" s="4">
        <f>HeartData[[#This Row],[age]]</f>
        <v>58</v>
      </c>
      <c r="C24" t="str">
        <f>HeartData[[#This Row],[sex]]</f>
        <v>Male</v>
      </c>
      <c r="D24" t="str">
        <f t="shared" si="0"/>
        <v>55-64</v>
      </c>
      <c r="E24" t="str">
        <f>HeartData[[#This Row],[cp]]</f>
        <v>atypical angina</v>
      </c>
      <c r="F24" t="str">
        <f>IF(HeartData[[#This Row],[num]]&gt;0, "Diseased", "Healthy")</f>
        <v>Diseased</v>
      </c>
      <c r="G24">
        <f>IF(HeartData[[#This Row],[chol]]&gt;$P$3, 1, 0)</f>
        <v>1</v>
      </c>
      <c r="H24">
        <f>IF(HeartData[[#This Row],[trestbps]]&gt;$P$4, 1, 0)</f>
        <v>1</v>
      </c>
      <c r="I24">
        <f>IF(HeartData[[#This Row],[oldpeak]]&gt;$P$5,1,0)</f>
        <v>1</v>
      </c>
      <c r="J24">
        <f>IF(HeartData[[#This Row],[exang]]="TRUE",1,0)</f>
        <v>0</v>
      </c>
      <c r="K24">
        <f>IF(HeartData[[#This Row],[fbs]]="TRUE",1,0)</f>
        <v>0</v>
      </c>
      <c r="L24">
        <f>IF(HeartData[[#This Row],[ca]]&gt;0,1,0)</f>
        <v>0</v>
      </c>
      <c r="M24">
        <f t="shared" si="1"/>
        <v>3</v>
      </c>
      <c r="N24">
        <f t="shared" si="2"/>
        <v>1</v>
      </c>
    </row>
    <row r="25" spans="1:14" x14ac:dyDescent="0.3">
      <c r="A25">
        <f>HeartData[[#This Row],[id]]</f>
        <v>24</v>
      </c>
      <c r="B25" s="4">
        <f>HeartData[[#This Row],[age]]</f>
        <v>58</v>
      </c>
      <c r="C25" t="str">
        <f>HeartData[[#This Row],[sex]]</f>
        <v>Male</v>
      </c>
      <c r="D25" t="str">
        <f t="shared" si="0"/>
        <v>55-64</v>
      </c>
      <c r="E25" t="str">
        <f>HeartData[[#This Row],[cp]]</f>
        <v>non-anginal</v>
      </c>
      <c r="F25" t="str">
        <f>IF(HeartData[[#This Row],[num]]&gt;0, "Diseased", "Healthy")</f>
        <v>Diseased</v>
      </c>
      <c r="G25">
        <f>IF(HeartData[[#This Row],[chol]]&gt;$P$3, 1, 0)</f>
        <v>1</v>
      </c>
      <c r="H25">
        <f>IF(HeartData[[#This Row],[trestbps]]&gt;$P$4, 1, 0)</f>
        <v>1</v>
      </c>
      <c r="I25">
        <f>IF(HeartData[[#This Row],[oldpeak]]&gt;$P$5,1,0)</f>
        <v>1</v>
      </c>
      <c r="J25">
        <f>IF(HeartData[[#This Row],[exang]]="TRUE",1,0)</f>
        <v>0</v>
      </c>
      <c r="K25">
        <f>IF(HeartData[[#This Row],[fbs]]="TRUE",1,0)</f>
        <v>0</v>
      </c>
      <c r="L25">
        <f>IF(HeartData[[#This Row],[ca]]&gt;0,1,0)</f>
        <v>1</v>
      </c>
      <c r="M25">
        <f t="shared" si="1"/>
        <v>4</v>
      </c>
      <c r="N25">
        <f t="shared" si="2"/>
        <v>1</v>
      </c>
    </row>
    <row r="26" spans="1:14" x14ac:dyDescent="0.3">
      <c r="A26">
        <f>HeartData[[#This Row],[id]]</f>
        <v>25</v>
      </c>
      <c r="B26" s="4">
        <f>HeartData[[#This Row],[age]]</f>
        <v>60</v>
      </c>
      <c r="C26" t="str">
        <f>HeartData[[#This Row],[sex]]</f>
        <v>Male</v>
      </c>
      <c r="D26" t="str">
        <f t="shared" si="0"/>
        <v>55-64</v>
      </c>
      <c r="E26" t="str">
        <f>HeartData[[#This Row],[cp]]</f>
        <v>asymptomatic</v>
      </c>
      <c r="F26" t="str">
        <f>IF(HeartData[[#This Row],[num]]&gt;0, "Diseased", "Healthy")</f>
        <v>Diseased</v>
      </c>
      <c r="G26">
        <f>IF(HeartData[[#This Row],[chol]]&gt;$P$3, 1, 0)</f>
        <v>1</v>
      </c>
      <c r="H26">
        <f>IF(HeartData[[#This Row],[trestbps]]&gt;$P$4, 1, 0)</f>
        <v>1</v>
      </c>
      <c r="I26">
        <f>IF(HeartData[[#This Row],[oldpeak]]&gt;$P$5,1,0)</f>
        <v>1</v>
      </c>
      <c r="J26">
        <f>IF(HeartData[[#This Row],[exang]]="TRUE",1,0)</f>
        <v>1</v>
      </c>
      <c r="K26">
        <f>IF(HeartData[[#This Row],[fbs]]="TRUE",1,0)</f>
        <v>0</v>
      </c>
      <c r="L26">
        <f>IF(HeartData[[#This Row],[ca]]&gt;0,1,0)</f>
        <v>1</v>
      </c>
      <c r="M26">
        <f t="shared" si="1"/>
        <v>5</v>
      </c>
      <c r="N26">
        <f t="shared" si="2"/>
        <v>1</v>
      </c>
    </row>
    <row r="27" spans="1:14" x14ac:dyDescent="0.3">
      <c r="A27">
        <f>HeartData[[#This Row],[id]]</f>
        <v>26</v>
      </c>
      <c r="B27" s="4">
        <f>HeartData[[#This Row],[age]]</f>
        <v>50</v>
      </c>
      <c r="C27" t="str">
        <f>HeartData[[#This Row],[sex]]</f>
        <v>Female</v>
      </c>
      <c r="D27" t="str">
        <f t="shared" si="0"/>
        <v>45-54</v>
      </c>
      <c r="E27" t="str">
        <f>HeartData[[#This Row],[cp]]</f>
        <v>non-anginal</v>
      </c>
      <c r="F27" t="str">
        <f>IF(HeartData[[#This Row],[num]]&gt;0, "Diseased", "Healthy")</f>
        <v>Healthy</v>
      </c>
      <c r="G27">
        <f>IF(HeartData[[#This Row],[chol]]&gt;$P$3, 1, 0)</f>
        <v>1</v>
      </c>
      <c r="H27">
        <f>IF(HeartData[[#This Row],[trestbps]]&gt;$P$4, 1, 0)</f>
        <v>1</v>
      </c>
      <c r="I27">
        <f>IF(HeartData[[#This Row],[oldpeak]]&gt;$P$5,1,0)</f>
        <v>1</v>
      </c>
      <c r="J27">
        <f>IF(HeartData[[#This Row],[exang]]="TRUE",1,0)</f>
        <v>0</v>
      </c>
      <c r="K27">
        <f>IF(HeartData[[#This Row],[fbs]]="TRUE",1,0)</f>
        <v>0</v>
      </c>
      <c r="L27">
        <f>IF(HeartData[[#This Row],[ca]]&gt;0,1,0)</f>
        <v>0</v>
      </c>
      <c r="M27">
        <f t="shared" si="1"/>
        <v>3</v>
      </c>
      <c r="N27">
        <f t="shared" si="2"/>
        <v>0</v>
      </c>
    </row>
    <row r="28" spans="1:14" x14ac:dyDescent="0.3">
      <c r="A28">
        <f>HeartData[[#This Row],[id]]</f>
        <v>27</v>
      </c>
      <c r="B28" s="4">
        <f>HeartData[[#This Row],[age]]</f>
        <v>58</v>
      </c>
      <c r="C28" t="str">
        <f>HeartData[[#This Row],[sex]]</f>
        <v>Female</v>
      </c>
      <c r="D28" t="str">
        <f t="shared" si="0"/>
        <v>55-64</v>
      </c>
      <c r="E28" t="str">
        <f>HeartData[[#This Row],[cp]]</f>
        <v>non-anginal</v>
      </c>
      <c r="F28" t="str">
        <f>IF(HeartData[[#This Row],[num]]&gt;0, "Diseased", "Healthy")</f>
        <v>Healthy</v>
      </c>
      <c r="G28">
        <f>IF(HeartData[[#This Row],[chol]]&gt;$P$3, 1, 0)</f>
        <v>1</v>
      </c>
      <c r="H28">
        <f>IF(HeartData[[#This Row],[trestbps]]&gt;$P$4, 1, 0)</f>
        <v>1</v>
      </c>
      <c r="I28">
        <f>IF(HeartData[[#This Row],[oldpeak]]&gt;$P$5,1,0)</f>
        <v>0</v>
      </c>
      <c r="J28">
        <f>IF(HeartData[[#This Row],[exang]]="TRUE",1,0)</f>
        <v>0</v>
      </c>
      <c r="K28">
        <f>IF(HeartData[[#This Row],[fbs]]="TRUE",1,0)</f>
        <v>0</v>
      </c>
      <c r="L28">
        <f>IF(HeartData[[#This Row],[ca]]&gt;0,1,0)</f>
        <v>0</v>
      </c>
      <c r="M28">
        <f t="shared" si="1"/>
        <v>2</v>
      </c>
      <c r="N28">
        <f t="shared" si="2"/>
        <v>0</v>
      </c>
    </row>
    <row r="29" spans="1:14" x14ac:dyDescent="0.3">
      <c r="A29">
        <f>HeartData[[#This Row],[id]]</f>
        <v>28</v>
      </c>
      <c r="B29" s="4">
        <f>HeartData[[#This Row],[age]]</f>
        <v>66</v>
      </c>
      <c r="C29" t="str">
        <f>HeartData[[#This Row],[sex]]</f>
        <v>Female</v>
      </c>
      <c r="D29" t="str">
        <f t="shared" si="0"/>
        <v>65+</v>
      </c>
      <c r="E29" t="str">
        <f>HeartData[[#This Row],[cp]]</f>
        <v>typical angina</v>
      </c>
      <c r="F29" t="str">
        <f>IF(HeartData[[#This Row],[num]]&gt;0, "Diseased", "Healthy")</f>
        <v>Healthy</v>
      </c>
      <c r="G29">
        <f>IF(HeartData[[#This Row],[chol]]&gt;$P$3, 1, 0)</f>
        <v>1</v>
      </c>
      <c r="H29">
        <f>IF(HeartData[[#This Row],[trestbps]]&gt;$P$4, 1, 0)</f>
        <v>1</v>
      </c>
      <c r="I29">
        <f>IF(HeartData[[#This Row],[oldpeak]]&gt;$P$5,1,0)</f>
        <v>1</v>
      </c>
      <c r="J29">
        <f>IF(HeartData[[#This Row],[exang]]="TRUE",1,0)</f>
        <v>0</v>
      </c>
      <c r="K29">
        <f>IF(HeartData[[#This Row],[fbs]]="TRUE",1,0)</f>
        <v>0</v>
      </c>
      <c r="L29">
        <f>IF(HeartData[[#This Row],[ca]]&gt;0,1,0)</f>
        <v>0</v>
      </c>
      <c r="M29">
        <f t="shared" si="1"/>
        <v>3</v>
      </c>
      <c r="N29">
        <f t="shared" si="2"/>
        <v>0</v>
      </c>
    </row>
    <row r="30" spans="1:14" x14ac:dyDescent="0.3">
      <c r="A30">
        <f>HeartData[[#This Row],[id]]</f>
        <v>29</v>
      </c>
      <c r="B30" s="4">
        <f>HeartData[[#This Row],[age]]</f>
        <v>43</v>
      </c>
      <c r="C30" t="str">
        <f>HeartData[[#This Row],[sex]]</f>
        <v>Male</v>
      </c>
      <c r="D30" t="str">
        <f t="shared" si="0"/>
        <v>Under 45</v>
      </c>
      <c r="E30" t="str">
        <f>HeartData[[#This Row],[cp]]</f>
        <v>asymptomatic</v>
      </c>
      <c r="F30" t="str">
        <f>IF(HeartData[[#This Row],[num]]&gt;0, "Diseased", "Healthy")</f>
        <v>Healthy</v>
      </c>
      <c r="G30">
        <f>IF(HeartData[[#This Row],[chol]]&gt;$P$3, 1, 0)</f>
        <v>1</v>
      </c>
      <c r="H30">
        <f>IF(HeartData[[#This Row],[trestbps]]&gt;$P$4, 1, 0)</f>
        <v>1</v>
      </c>
      <c r="I30">
        <f>IF(HeartData[[#This Row],[oldpeak]]&gt;$P$5,1,0)</f>
        <v>1</v>
      </c>
      <c r="J30">
        <f>IF(HeartData[[#This Row],[exang]]="TRUE",1,0)</f>
        <v>0</v>
      </c>
      <c r="K30">
        <f>IF(HeartData[[#This Row],[fbs]]="TRUE",1,0)</f>
        <v>0</v>
      </c>
      <c r="L30">
        <f>IF(HeartData[[#This Row],[ca]]&gt;0,1,0)</f>
        <v>0</v>
      </c>
      <c r="M30">
        <f t="shared" si="1"/>
        <v>3</v>
      </c>
      <c r="N30">
        <f t="shared" si="2"/>
        <v>0</v>
      </c>
    </row>
    <row r="31" spans="1:14" x14ac:dyDescent="0.3">
      <c r="A31">
        <f>HeartData[[#This Row],[id]]</f>
        <v>30</v>
      </c>
      <c r="B31" s="4">
        <f>HeartData[[#This Row],[age]]</f>
        <v>40</v>
      </c>
      <c r="C31" t="str">
        <f>HeartData[[#This Row],[sex]]</f>
        <v>Male</v>
      </c>
      <c r="D31" t="str">
        <f t="shared" si="0"/>
        <v>Under 45</v>
      </c>
      <c r="E31" t="str">
        <f>HeartData[[#This Row],[cp]]</f>
        <v>asymptomatic</v>
      </c>
      <c r="F31" t="str">
        <f>IF(HeartData[[#This Row],[num]]&gt;0, "Diseased", "Healthy")</f>
        <v>Diseased</v>
      </c>
      <c r="G31">
        <f>IF(HeartData[[#This Row],[chol]]&gt;$P$3, 1, 0)</f>
        <v>1</v>
      </c>
      <c r="H31">
        <f>IF(HeartData[[#This Row],[trestbps]]&gt;$P$4, 1, 0)</f>
        <v>1</v>
      </c>
      <c r="I31">
        <f>IF(HeartData[[#This Row],[oldpeak]]&gt;$P$5,1,0)</f>
        <v>1</v>
      </c>
      <c r="J31">
        <f>IF(HeartData[[#This Row],[exang]]="TRUE",1,0)</f>
        <v>1</v>
      </c>
      <c r="K31">
        <f>IF(HeartData[[#This Row],[fbs]]="TRUE",1,0)</f>
        <v>0</v>
      </c>
      <c r="L31">
        <f>IF(HeartData[[#This Row],[ca]]&gt;0,1,0)</f>
        <v>0</v>
      </c>
      <c r="M31">
        <f t="shared" si="1"/>
        <v>4</v>
      </c>
      <c r="N31">
        <f t="shared" si="2"/>
        <v>1</v>
      </c>
    </row>
    <row r="32" spans="1:14" x14ac:dyDescent="0.3">
      <c r="A32">
        <f>HeartData[[#This Row],[id]]</f>
        <v>31</v>
      </c>
      <c r="B32" s="4">
        <f>HeartData[[#This Row],[age]]</f>
        <v>69</v>
      </c>
      <c r="C32" t="str">
        <f>HeartData[[#This Row],[sex]]</f>
        <v>Female</v>
      </c>
      <c r="D32" t="str">
        <f t="shared" si="0"/>
        <v>65+</v>
      </c>
      <c r="E32" t="str">
        <f>HeartData[[#This Row],[cp]]</f>
        <v>typical angina</v>
      </c>
      <c r="F32" t="str">
        <f>IF(HeartData[[#This Row],[num]]&gt;0, "Diseased", "Healthy")</f>
        <v>Healthy</v>
      </c>
      <c r="G32">
        <f>IF(HeartData[[#This Row],[chol]]&gt;$P$3, 1, 0)</f>
        <v>1</v>
      </c>
      <c r="H32">
        <f>IF(HeartData[[#This Row],[trestbps]]&gt;$P$4, 1, 0)</f>
        <v>1</v>
      </c>
      <c r="I32">
        <f>IF(HeartData[[#This Row],[oldpeak]]&gt;$P$5,1,0)</f>
        <v>1</v>
      </c>
      <c r="J32">
        <f>IF(HeartData[[#This Row],[exang]]="TRUE",1,0)</f>
        <v>0</v>
      </c>
      <c r="K32">
        <f>IF(HeartData[[#This Row],[fbs]]="TRUE",1,0)</f>
        <v>0</v>
      </c>
      <c r="L32">
        <f>IF(HeartData[[#This Row],[ca]]&gt;0,1,0)</f>
        <v>1</v>
      </c>
      <c r="M32">
        <f t="shared" si="1"/>
        <v>4</v>
      </c>
      <c r="N32">
        <f t="shared" si="2"/>
        <v>0</v>
      </c>
    </row>
    <row r="33" spans="1:14" x14ac:dyDescent="0.3">
      <c r="A33">
        <f>HeartData[[#This Row],[id]]</f>
        <v>32</v>
      </c>
      <c r="B33" s="4">
        <f>HeartData[[#This Row],[age]]</f>
        <v>60</v>
      </c>
      <c r="C33" t="str">
        <f>HeartData[[#This Row],[sex]]</f>
        <v>Male</v>
      </c>
      <c r="D33" t="str">
        <f t="shared" si="0"/>
        <v>55-64</v>
      </c>
      <c r="E33" t="str">
        <f>HeartData[[#This Row],[cp]]</f>
        <v>asymptomatic</v>
      </c>
      <c r="F33" t="str">
        <f>IF(HeartData[[#This Row],[num]]&gt;0, "Diseased", "Healthy")</f>
        <v>Diseased</v>
      </c>
      <c r="G33">
        <f>IF(HeartData[[#This Row],[chol]]&gt;$P$3, 1, 0)</f>
        <v>1</v>
      </c>
      <c r="H33">
        <f>IF(HeartData[[#This Row],[trestbps]]&gt;$P$4, 1, 0)</f>
        <v>1</v>
      </c>
      <c r="I33">
        <f>IF(HeartData[[#This Row],[oldpeak]]&gt;$P$5,1,0)</f>
        <v>1</v>
      </c>
      <c r="J33">
        <f>IF(HeartData[[#This Row],[exang]]="TRUE",1,0)</f>
        <v>1</v>
      </c>
      <c r="K33">
        <f>IF(HeartData[[#This Row],[fbs]]="TRUE",1,0)</f>
        <v>1</v>
      </c>
      <c r="L33">
        <f>IF(HeartData[[#This Row],[ca]]&gt;0,1,0)</f>
        <v>1</v>
      </c>
      <c r="M33">
        <f t="shared" si="1"/>
        <v>6</v>
      </c>
      <c r="N33">
        <f t="shared" si="2"/>
        <v>1</v>
      </c>
    </row>
    <row r="34" spans="1:14" x14ac:dyDescent="0.3">
      <c r="A34">
        <f>HeartData[[#This Row],[id]]</f>
        <v>33</v>
      </c>
      <c r="B34" s="4">
        <f>HeartData[[#This Row],[age]]</f>
        <v>64</v>
      </c>
      <c r="C34" t="str">
        <f>HeartData[[#This Row],[sex]]</f>
        <v>Male</v>
      </c>
      <c r="D34" t="str">
        <f t="shared" si="0"/>
        <v>55-64</v>
      </c>
      <c r="E34" t="str">
        <f>HeartData[[#This Row],[cp]]</f>
        <v>non-anginal</v>
      </c>
      <c r="F34" t="str">
        <f>IF(HeartData[[#This Row],[num]]&gt;0, "Diseased", "Healthy")</f>
        <v>Diseased</v>
      </c>
      <c r="G34">
        <f>IF(HeartData[[#This Row],[chol]]&gt;$P$3, 1, 0)</f>
        <v>1</v>
      </c>
      <c r="H34">
        <f>IF(HeartData[[#This Row],[trestbps]]&gt;$P$4, 1, 0)</f>
        <v>1</v>
      </c>
      <c r="I34">
        <f>IF(HeartData[[#This Row],[oldpeak]]&gt;$P$5,1,0)</f>
        <v>0</v>
      </c>
      <c r="J34">
        <f>IF(HeartData[[#This Row],[exang]]="TRUE",1,0)</f>
        <v>0</v>
      </c>
      <c r="K34">
        <f>IF(HeartData[[#This Row],[fbs]]="TRUE",1,0)</f>
        <v>0</v>
      </c>
      <c r="L34">
        <f>IF(HeartData[[#This Row],[ca]]&gt;0,1,0)</f>
        <v>0</v>
      </c>
      <c r="M34">
        <f t="shared" si="1"/>
        <v>2</v>
      </c>
      <c r="N34">
        <f t="shared" si="2"/>
        <v>1</v>
      </c>
    </row>
    <row r="35" spans="1:14" x14ac:dyDescent="0.3">
      <c r="A35">
        <f>HeartData[[#This Row],[id]]</f>
        <v>34</v>
      </c>
      <c r="B35" s="4">
        <f>HeartData[[#This Row],[age]]</f>
        <v>59</v>
      </c>
      <c r="C35" t="str">
        <f>HeartData[[#This Row],[sex]]</f>
        <v>Male</v>
      </c>
      <c r="D35" t="str">
        <f t="shared" si="0"/>
        <v>55-64</v>
      </c>
      <c r="E35" t="str">
        <f>HeartData[[#This Row],[cp]]</f>
        <v>asymptomatic</v>
      </c>
      <c r="F35" t="str">
        <f>IF(HeartData[[#This Row],[num]]&gt;0, "Diseased", "Healthy")</f>
        <v>Healthy</v>
      </c>
      <c r="G35">
        <f>IF(HeartData[[#This Row],[chol]]&gt;$P$3, 1, 0)</f>
        <v>1</v>
      </c>
      <c r="H35">
        <f>IF(HeartData[[#This Row],[trestbps]]&gt;$P$4, 1, 0)</f>
        <v>1</v>
      </c>
      <c r="I35">
        <f>IF(HeartData[[#This Row],[oldpeak]]&gt;$P$5,1,0)</f>
        <v>1</v>
      </c>
      <c r="J35">
        <f>IF(HeartData[[#This Row],[exang]]="TRUE",1,0)</f>
        <v>0</v>
      </c>
      <c r="K35">
        <f>IF(HeartData[[#This Row],[fbs]]="TRUE",1,0)</f>
        <v>0</v>
      </c>
      <c r="L35">
        <f>IF(HeartData[[#This Row],[ca]]&gt;0,1,0)</f>
        <v>0</v>
      </c>
      <c r="M35">
        <f t="shared" si="1"/>
        <v>3</v>
      </c>
      <c r="N35">
        <f t="shared" si="2"/>
        <v>0</v>
      </c>
    </row>
    <row r="36" spans="1:14" x14ac:dyDescent="0.3">
      <c r="A36">
        <f>HeartData[[#This Row],[id]]</f>
        <v>35</v>
      </c>
      <c r="B36" s="4">
        <f>HeartData[[#This Row],[age]]</f>
        <v>44</v>
      </c>
      <c r="C36" t="str">
        <f>HeartData[[#This Row],[sex]]</f>
        <v>Male</v>
      </c>
      <c r="D36" t="str">
        <f t="shared" si="0"/>
        <v>Under 45</v>
      </c>
      <c r="E36" t="str">
        <f>HeartData[[#This Row],[cp]]</f>
        <v>non-anginal</v>
      </c>
      <c r="F36" t="str">
        <f>IF(HeartData[[#This Row],[num]]&gt;0, "Diseased", "Healthy")</f>
        <v>Healthy</v>
      </c>
      <c r="G36">
        <f>IF(HeartData[[#This Row],[chol]]&gt;$P$3, 1, 0)</f>
        <v>1</v>
      </c>
      <c r="H36">
        <f>IF(HeartData[[#This Row],[trestbps]]&gt;$P$4, 1, 0)</f>
        <v>1</v>
      </c>
      <c r="I36">
        <f>IF(HeartData[[#This Row],[oldpeak]]&gt;$P$5,1,0)</f>
        <v>1</v>
      </c>
      <c r="J36">
        <f>IF(HeartData[[#This Row],[exang]]="TRUE",1,0)</f>
        <v>1</v>
      </c>
      <c r="K36">
        <f>IF(HeartData[[#This Row],[fbs]]="TRUE",1,0)</f>
        <v>0</v>
      </c>
      <c r="L36">
        <f>IF(HeartData[[#This Row],[ca]]&gt;0,1,0)</f>
        <v>0</v>
      </c>
      <c r="M36">
        <f t="shared" si="1"/>
        <v>4</v>
      </c>
      <c r="N36">
        <f t="shared" si="2"/>
        <v>0</v>
      </c>
    </row>
    <row r="37" spans="1:14" x14ac:dyDescent="0.3">
      <c r="A37">
        <f>HeartData[[#This Row],[id]]</f>
        <v>36</v>
      </c>
      <c r="B37" s="4">
        <f>HeartData[[#This Row],[age]]</f>
        <v>42</v>
      </c>
      <c r="C37" t="str">
        <f>HeartData[[#This Row],[sex]]</f>
        <v>Male</v>
      </c>
      <c r="D37" t="str">
        <f t="shared" si="0"/>
        <v>Under 45</v>
      </c>
      <c r="E37" t="str">
        <f>HeartData[[#This Row],[cp]]</f>
        <v>asymptomatic</v>
      </c>
      <c r="F37" t="str">
        <f>IF(HeartData[[#This Row],[num]]&gt;0, "Diseased", "Healthy")</f>
        <v>Healthy</v>
      </c>
      <c r="G37">
        <f>IF(HeartData[[#This Row],[chol]]&gt;$P$3, 1, 0)</f>
        <v>1</v>
      </c>
      <c r="H37">
        <f>IF(HeartData[[#This Row],[trestbps]]&gt;$P$4, 1, 0)</f>
        <v>1</v>
      </c>
      <c r="I37">
        <f>IF(HeartData[[#This Row],[oldpeak]]&gt;$P$5,1,0)</f>
        <v>0</v>
      </c>
      <c r="J37">
        <f>IF(HeartData[[#This Row],[exang]]="TRUE",1,0)</f>
        <v>0</v>
      </c>
      <c r="K37">
        <f>IF(HeartData[[#This Row],[fbs]]="TRUE",1,0)</f>
        <v>0</v>
      </c>
      <c r="L37">
        <f>IF(HeartData[[#This Row],[ca]]&gt;0,1,0)</f>
        <v>0</v>
      </c>
      <c r="M37">
        <f t="shared" si="1"/>
        <v>2</v>
      </c>
      <c r="N37">
        <f t="shared" si="2"/>
        <v>0</v>
      </c>
    </row>
    <row r="38" spans="1:14" x14ac:dyDescent="0.3">
      <c r="A38">
        <f>HeartData[[#This Row],[id]]</f>
        <v>37</v>
      </c>
      <c r="B38" s="4">
        <f>HeartData[[#This Row],[age]]</f>
        <v>43</v>
      </c>
      <c r="C38" t="str">
        <f>HeartData[[#This Row],[sex]]</f>
        <v>Male</v>
      </c>
      <c r="D38" t="str">
        <f t="shared" si="0"/>
        <v>Under 45</v>
      </c>
      <c r="E38" t="str">
        <f>HeartData[[#This Row],[cp]]</f>
        <v>asymptomatic</v>
      </c>
      <c r="F38" t="str">
        <f>IF(HeartData[[#This Row],[num]]&gt;0, "Diseased", "Healthy")</f>
        <v>Diseased</v>
      </c>
      <c r="G38">
        <f>IF(HeartData[[#This Row],[chol]]&gt;$P$3, 1, 0)</f>
        <v>1</v>
      </c>
      <c r="H38">
        <f>IF(HeartData[[#This Row],[trestbps]]&gt;$P$4, 1, 0)</f>
        <v>1</v>
      </c>
      <c r="I38">
        <f>IF(HeartData[[#This Row],[oldpeak]]&gt;$P$5,1,0)</f>
        <v>1</v>
      </c>
      <c r="J38">
        <f>IF(HeartData[[#This Row],[exang]]="TRUE",1,0)</f>
        <v>1</v>
      </c>
      <c r="K38">
        <f>IF(HeartData[[#This Row],[fbs]]="TRUE",1,0)</f>
        <v>0</v>
      </c>
      <c r="L38">
        <f>IF(HeartData[[#This Row],[ca]]&gt;0,1,0)</f>
        <v>0</v>
      </c>
      <c r="M38">
        <f t="shared" si="1"/>
        <v>4</v>
      </c>
      <c r="N38">
        <f t="shared" si="2"/>
        <v>1</v>
      </c>
    </row>
    <row r="39" spans="1:14" x14ac:dyDescent="0.3">
      <c r="A39">
        <f>HeartData[[#This Row],[id]]</f>
        <v>38</v>
      </c>
      <c r="B39" s="4">
        <f>HeartData[[#This Row],[age]]</f>
        <v>57</v>
      </c>
      <c r="C39" t="str">
        <f>HeartData[[#This Row],[sex]]</f>
        <v>Male</v>
      </c>
      <c r="D39" t="str">
        <f t="shared" si="0"/>
        <v>55-64</v>
      </c>
      <c r="E39" t="str">
        <f>HeartData[[#This Row],[cp]]</f>
        <v>asymptomatic</v>
      </c>
      <c r="F39" t="str">
        <f>IF(HeartData[[#This Row],[num]]&gt;0, "Diseased", "Healthy")</f>
        <v>Diseased</v>
      </c>
      <c r="G39">
        <f>IF(HeartData[[#This Row],[chol]]&gt;$P$3, 1, 0)</f>
        <v>1</v>
      </c>
      <c r="H39">
        <f>IF(HeartData[[#This Row],[trestbps]]&gt;$P$4, 1, 0)</f>
        <v>1</v>
      </c>
      <c r="I39">
        <f>IF(HeartData[[#This Row],[oldpeak]]&gt;$P$5,1,0)</f>
        <v>1</v>
      </c>
      <c r="J39">
        <f>IF(HeartData[[#This Row],[exang]]="TRUE",1,0)</f>
        <v>1</v>
      </c>
      <c r="K39">
        <f>IF(HeartData[[#This Row],[fbs]]="TRUE",1,0)</f>
        <v>0</v>
      </c>
      <c r="L39">
        <f>IF(HeartData[[#This Row],[ca]]&gt;0,1,0)</f>
        <v>1</v>
      </c>
      <c r="M39">
        <f t="shared" si="1"/>
        <v>5</v>
      </c>
      <c r="N39">
        <f t="shared" si="2"/>
        <v>1</v>
      </c>
    </row>
    <row r="40" spans="1:14" x14ac:dyDescent="0.3">
      <c r="A40">
        <f>HeartData[[#This Row],[id]]</f>
        <v>39</v>
      </c>
      <c r="B40" s="4">
        <f>HeartData[[#This Row],[age]]</f>
        <v>55</v>
      </c>
      <c r="C40" t="str">
        <f>HeartData[[#This Row],[sex]]</f>
        <v>Male</v>
      </c>
      <c r="D40" t="str">
        <f t="shared" si="0"/>
        <v>55-64</v>
      </c>
      <c r="E40" t="str">
        <f>HeartData[[#This Row],[cp]]</f>
        <v>asymptomatic</v>
      </c>
      <c r="F40" t="str">
        <f>IF(HeartData[[#This Row],[num]]&gt;0, "Diseased", "Healthy")</f>
        <v>Diseased</v>
      </c>
      <c r="G40">
        <f>IF(HeartData[[#This Row],[chol]]&gt;$P$3, 1, 0)</f>
        <v>1</v>
      </c>
      <c r="H40">
        <f>IF(HeartData[[#This Row],[trestbps]]&gt;$P$4, 1, 0)</f>
        <v>1</v>
      </c>
      <c r="I40">
        <f>IF(HeartData[[#This Row],[oldpeak]]&gt;$P$5,1,0)</f>
        <v>1</v>
      </c>
      <c r="J40">
        <f>IF(HeartData[[#This Row],[exang]]="TRUE",1,0)</f>
        <v>1</v>
      </c>
      <c r="K40">
        <f>IF(HeartData[[#This Row],[fbs]]="TRUE",1,0)</f>
        <v>0</v>
      </c>
      <c r="L40">
        <f>IF(HeartData[[#This Row],[ca]]&gt;0,1,0)</f>
        <v>1</v>
      </c>
      <c r="M40">
        <f t="shared" si="1"/>
        <v>5</v>
      </c>
      <c r="N40">
        <f t="shared" si="2"/>
        <v>1</v>
      </c>
    </row>
    <row r="41" spans="1:14" x14ac:dyDescent="0.3">
      <c r="A41">
        <f>HeartData[[#This Row],[id]]</f>
        <v>40</v>
      </c>
      <c r="B41" s="4">
        <f>HeartData[[#This Row],[age]]</f>
        <v>61</v>
      </c>
      <c r="C41" t="str">
        <f>HeartData[[#This Row],[sex]]</f>
        <v>Male</v>
      </c>
      <c r="D41" t="str">
        <f t="shared" si="0"/>
        <v>55-64</v>
      </c>
      <c r="E41" t="str">
        <f>HeartData[[#This Row],[cp]]</f>
        <v>non-anginal</v>
      </c>
      <c r="F41" t="str">
        <f>IF(HeartData[[#This Row],[num]]&gt;0, "Diseased", "Healthy")</f>
        <v>Healthy</v>
      </c>
      <c r="G41">
        <f>IF(HeartData[[#This Row],[chol]]&gt;$P$3, 1, 0)</f>
        <v>1</v>
      </c>
      <c r="H41">
        <f>IF(HeartData[[#This Row],[trestbps]]&gt;$P$4, 1, 0)</f>
        <v>1</v>
      </c>
      <c r="I41">
        <f>IF(HeartData[[#This Row],[oldpeak]]&gt;$P$5,1,0)</f>
        <v>1</v>
      </c>
      <c r="J41">
        <f>IF(HeartData[[#This Row],[exang]]="TRUE",1,0)</f>
        <v>1</v>
      </c>
      <c r="K41">
        <f>IF(HeartData[[#This Row],[fbs]]="TRUE",1,0)</f>
        <v>1</v>
      </c>
      <c r="L41">
        <f>IF(HeartData[[#This Row],[ca]]&gt;0,1,0)</f>
        <v>0</v>
      </c>
      <c r="M41">
        <f t="shared" si="1"/>
        <v>5</v>
      </c>
      <c r="N41">
        <f t="shared" si="2"/>
        <v>0</v>
      </c>
    </row>
    <row r="42" spans="1:14" x14ac:dyDescent="0.3">
      <c r="A42">
        <f>HeartData[[#This Row],[id]]</f>
        <v>41</v>
      </c>
      <c r="B42" s="4">
        <f>HeartData[[#This Row],[age]]</f>
        <v>65</v>
      </c>
      <c r="C42" t="str">
        <f>HeartData[[#This Row],[sex]]</f>
        <v>Female</v>
      </c>
      <c r="D42" t="str">
        <f t="shared" si="0"/>
        <v>65+</v>
      </c>
      <c r="E42" t="str">
        <f>HeartData[[#This Row],[cp]]</f>
        <v>asymptomatic</v>
      </c>
      <c r="F42" t="str">
        <f>IF(HeartData[[#This Row],[num]]&gt;0, "Diseased", "Healthy")</f>
        <v>Diseased</v>
      </c>
      <c r="G42">
        <f>IF(HeartData[[#This Row],[chol]]&gt;$P$3, 1, 0)</f>
        <v>1</v>
      </c>
      <c r="H42">
        <f>IF(HeartData[[#This Row],[trestbps]]&gt;$P$4, 1, 0)</f>
        <v>1</v>
      </c>
      <c r="I42">
        <f>IF(HeartData[[#This Row],[oldpeak]]&gt;$P$5,1,0)</f>
        <v>1</v>
      </c>
      <c r="J42">
        <f>IF(HeartData[[#This Row],[exang]]="TRUE",1,0)</f>
        <v>0</v>
      </c>
      <c r="K42">
        <f>IF(HeartData[[#This Row],[fbs]]="TRUE",1,0)</f>
        <v>0</v>
      </c>
      <c r="L42">
        <f>IF(HeartData[[#This Row],[ca]]&gt;0,1,0)</f>
        <v>1</v>
      </c>
      <c r="M42">
        <f t="shared" si="1"/>
        <v>4</v>
      </c>
      <c r="N42">
        <f t="shared" si="2"/>
        <v>1</v>
      </c>
    </row>
    <row r="43" spans="1:14" x14ac:dyDescent="0.3">
      <c r="A43">
        <f>HeartData[[#This Row],[id]]</f>
        <v>42</v>
      </c>
      <c r="B43" s="4">
        <f>HeartData[[#This Row],[age]]</f>
        <v>40</v>
      </c>
      <c r="C43" t="str">
        <f>HeartData[[#This Row],[sex]]</f>
        <v>Male</v>
      </c>
      <c r="D43" t="str">
        <f t="shared" si="0"/>
        <v>Under 45</v>
      </c>
      <c r="E43" t="str">
        <f>HeartData[[#This Row],[cp]]</f>
        <v>typical angina</v>
      </c>
      <c r="F43" t="str">
        <f>IF(HeartData[[#This Row],[num]]&gt;0, "Diseased", "Healthy")</f>
        <v>Healthy</v>
      </c>
      <c r="G43">
        <f>IF(HeartData[[#This Row],[chol]]&gt;$P$3, 1, 0)</f>
        <v>1</v>
      </c>
      <c r="H43">
        <f>IF(HeartData[[#This Row],[trestbps]]&gt;$P$4, 1, 0)</f>
        <v>1</v>
      </c>
      <c r="I43">
        <f>IF(HeartData[[#This Row],[oldpeak]]&gt;$P$5,1,0)</f>
        <v>1</v>
      </c>
      <c r="J43">
        <f>IF(HeartData[[#This Row],[exang]]="TRUE",1,0)</f>
        <v>1</v>
      </c>
      <c r="K43">
        <f>IF(HeartData[[#This Row],[fbs]]="TRUE",1,0)</f>
        <v>0</v>
      </c>
      <c r="L43">
        <f>IF(HeartData[[#This Row],[ca]]&gt;0,1,0)</f>
        <v>0</v>
      </c>
      <c r="M43">
        <f t="shared" si="1"/>
        <v>4</v>
      </c>
      <c r="N43">
        <f t="shared" si="2"/>
        <v>0</v>
      </c>
    </row>
    <row r="44" spans="1:14" x14ac:dyDescent="0.3">
      <c r="A44">
        <f>HeartData[[#This Row],[id]]</f>
        <v>43</v>
      </c>
      <c r="B44" s="4">
        <f>HeartData[[#This Row],[age]]</f>
        <v>71</v>
      </c>
      <c r="C44" t="str">
        <f>HeartData[[#This Row],[sex]]</f>
        <v>Female</v>
      </c>
      <c r="D44" t="str">
        <f t="shared" si="0"/>
        <v>65+</v>
      </c>
      <c r="E44" t="str">
        <f>HeartData[[#This Row],[cp]]</f>
        <v>atypical angina</v>
      </c>
      <c r="F44" t="str">
        <f>IF(HeartData[[#This Row],[num]]&gt;0, "Diseased", "Healthy")</f>
        <v>Healthy</v>
      </c>
      <c r="G44">
        <f>IF(HeartData[[#This Row],[chol]]&gt;$P$3, 1, 0)</f>
        <v>1</v>
      </c>
      <c r="H44">
        <f>IF(HeartData[[#This Row],[trestbps]]&gt;$P$4, 1, 0)</f>
        <v>1</v>
      </c>
      <c r="I44">
        <f>IF(HeartData[[#This Row],[oldpeak]]&gt;$P$5,1,0)</f>
        <v>1</v>
      </c>
      <c r="J44">
        <f>IF(HeartData[[#This Row],[exang]]="TRUE",1,0)</f>
        <v>0</v>
      </c>
      <c r="K44">
        <f>IF(HeartData[[#This Row],[fbs]]="TRUE",1,0)</f>
        <v>0</v>
      </c>
      <c r="L44">
        <f>IF(HeartData[[#This Row],[ca]]&gt;0,1,0)</f>
        <v>1</v>
      </c>
      <c r="M44">
        <f t="shared" si="1"/>
        <v>4</v>
      </c>
      <c r="N44">
        <f t="shared" si="2"/>
        <v>0</v>
      </c>
    </row>
    <row r="45" spans="1:14" x14ac:dyDescent="0.3">
      <c r="A45">
        <f>HeartData[[#This Row],[id]]</f>
        <v>44</v>
      </c>
      <c r="B45" s="4">
        <f>HeartData[[#This Row],[age]]</f>
        <v>59</v>
      </c>
      <c r="C45" t="str">
        <f>HeartData[[#This Row],[sex]]</f>
        <v>Male</v>
      </c>
      <c r="D45" t="str">
        <f t="shared" si="0"/>
        <v>55-64</v>
      </c>
      <c r="E45" t="str">
        <f>HeartData[[#This Row],[cp]]</f>
        <v>non-anginal</v>
      </c>
      <c r="F45" t="str">
        <f>IF(HeartData[[#This Row],[num]]&gt;0, "Diseased", "Healthy")</f>
        <v>Healthy</v>
      </c>
      <c r="G45">
        <f>IF(HeartData[[#This Row],[chol]]&gt;$P$3, 1, 0)</f>
        <v>1</v>
      </c>
      <c r="H45">
        <f>IF(HeartData[[#This Row],[trestbps]]&gt;$P$4, 1, 0)</f>
        <v>1</v>
      </c>
      <c r="I45">
        <f>IF(HeartData[[#This Row],[oldpeak]]&gt;$P$5,1,0)</f>
        <v>1</v>
      </c>
      <c r="J45">
        <f>IF(HeartData[[#This Row],[exang]]="TRUE",1,0)</f>
        <v>0</v>
      </c>
      <c r="K45">
        <f>IF(HeartData[[#This Row],[fbs]]="TRUE",1,0)</f>
        <v>1</v>
      </c>
      <c r="L45">
        <f>IF(HeartData[[#This Row],[ca]]&gt;0,1,0)</f>
        <v>0</v>
      </c>
      <c r="M45">
        <f t="shared" si="1"/>
        <v>4</v>
      </c>
      <c r="N45">
        <f t="shared" si="2"/>
        <v>0</v>
      </c>
    </row>
    <row r="46" spans="1:14" x14ac:dyDescent="0.3">
      <c r="A46">
        <f>HeartData[[#This Row],[id]]</f>
        <v>45</v>
      </c>
      <c r="B46" s="4">
        <f>HeartData[[#This Row],[age]]</f>
        <v>61</v>
      </c>
      <c r="C46" t="str">
        <f>HeartData[[#This Row],[sex]]</f>
        <v>Female</v>
      </c>
      <c r="D46" t="str">
        <f t="shared" si="0"/>
        <v>55-64</v>
      </c>
      <c r="E46" t="str">
        <f>HeartData[[#This Row],[cp]]</f>
        <v>asymptomatic</v>
      </c>
      <c r="F46" t="str">
        <f>IF(HeartData[[#This Row],[num]]&gt;0, "Diseased", "Healthy")</f>
        <v>Diseased</v>
      </c>
      <c r="G46">
        <f>IF(HeartData[[#This Row],[chol]]&gt;$P$3, 1, 0)</f>
        <v>1</v>
      </c>
      <c r="H46">
        <f>IF(HeartData[[#This Row],[trestbps]]&gt;$P$4, 1, 0)</f>
        <v>1</v>
      </c>
      <c r="I46">
        <f>IF(HeartData[[#This Row],[oldpeak]]&gt;$P$5,1,0)</f>
        <v>0</v>
      </c>
      <c r="J46">
        <f>IF(HeartData[[#This Row],[exang]]="TRUE",1,0)</f>
        <v>0</v>
      </c>
      <c r="K46">
        <f>IF(HeartData[[#This Row],[fbs]]="TRUE",1,0)</f>
        <v>0</v>
      </c>
      <c r="L46">
        <f>IF(HeartData[[#This Row],[ca]]&gt;0,1,0)</f>
        <v>0</v>
      </c>
      <c r="M46">
        <f t="shared" si="1"/>
        <v>2</v>
      </c>
      <c r="N46">
        <f t="shared" si="2"/>
        <v>1</v>
      </c>
    </row>
    <row r="47" spans="1:14" x14ac:dyDescent="0.3">
      <c r="A47">
        <f>HeartData[[#This Row],[id]]</f>
        <v>46</v>
      </c>
      <c r="B47" s="4">
        <f>HeartData[[#This Row],[age]]</f>
        <v>58</v>
      </c>
      <c r="C47" t="str">
        <f>HeartData[[#This Row],[sex]]</f>
        <v>Male</v>
      </c>
      <c r="D47" t="str">
        <f t="shared" si="0"/>
        <v>55-64</v>
      </c>
      <c r="E47" t="str">
        <f>HeartData[[#This Row],[cp]]</f>
        <v>non-anginal</v>
      </c>
      <c r="F47" t="str">
        <f>IF(HeartData[[#This Row],[num]]&gt;0, "Diseased", "Healthy")</f>
        <v>Diseased</v>
      </c>
      <c r="G47">
        <f>IF(HeartData[[#This Row],[chol]]&gt;$P$3, 1, 0)</f>
        <v>1</v>
      </c>
      <c r="H47">
        <f>IF(HeartData[[#This Row],[trestbps]]&gt;$P$4, 1, 0)</f>
        <v>1</v>
      </c>
      <c r="I47">
        <f>IF(HeartData[[#This Row],[oldpeak]]&gt;$P$5,1,0)</f>
        <v>1</v>
      </c>
      <c r="J47">
        <f>IF(HeartData[[#This Row],[exang]]="TRUE",1,0)</f>
        <v>0</v>
      </c>
      <c r="K47">
        <f>IF(HeartData[[#This Row],[fbs]]="TRUE",1,0)</f>
        <v>0</v>
      </c>
      <c r="L47">
        <f>IF(HeartData[[#This Row],[ca]]&gt;0,1,0)</f>
        <v>1</v>
      </c>
      <c r="M47">
        <f t="shared" si="1"/>
        <v>4</v>
      </c>
      <c r="N47">
        <f t="shared" si="2"/>
        <v>1</v>
      </c>
    </row>
    <row r="48" spans="1:14" x14ac:dyDescent="0.3">
      <c r="A48">
        <f>HeartData[[#This Row],[id]]</f>
        <v>47</v>
      </c>
      <c r="B48" s="4">
        <f>HeartData[[#This Row],[age]]</f>
        <v>51</v>
      </c>
      <c r="C48" t="str">
        <f>HeartData[[#This Row],[sex]]</f>
        <v>Male</v>
      </c>
      <c r="D48" t="str">
        <f t="shared" si="0"/>
        <v>45-54</v>
      </c>
      <c r="E48" t="str">
        <f>HeartData[[#This Row],[cp]]</f>
        <v>non-anginal</v>
      </c>
      <c r="F48" t="str">
        <f>IF(HeartData[[#This Row],[num]]&gt;0, "Diseased", "Healthy")</f>
        <v>Healthy</v>
      </c>
      <c r="G48">
        <f>IF(HeartData[[#This Row],[chol]]&gt;$P$3, 1, 0)</f>
        <v>1</v>
      </c>
      <c r="H48">
        <f>IF(HeartData[[#This Row],[trestbps]]&gt;$P$4, 1, 0)</f>
        <v>1</v>
      </c>
      <c r="I48">
        <f>IF(HeartData[[#This Row],[oldpeak]]&gt;$P$5,1,0)</f>
        <v>1</v>
      </c>
      <c r="J48">
        <f>IF(HeartData[[#This Row],[exang]]="TRUE",1,0)</f>
        <v>0</v>
      </c>
      <c r="K48">
        <f>IF(HeartData[[#This Row],[fbs]]="TRUE",1,0)</f>
        <v>0</v>
      </c>
      <c r="L48">
        <f>IF(HeartData[[#This Row],[ca]]&gt;0,1,0)</f>
        <v>0</v>
      </c>
      <c r="M48">
        <f t="shared" si="1"/>
        <v>3</v>
      </c>
      <c r="N48">
        <f t="shared" si="2"/>
        <v>0</v>
      </c>
    </row>
    <row r="49" spans="1:14" x14ac:dyDescent="0.3">
      <c r="A49">
        <f>HeartData[[#This Row],[id]]</f>
        <v>48</v>
      </c>
      <c r="B49" s="4">
        <f>HeartData[[#This Row],[age]]</f>
        <v>50</v>
      </c>
      <c r="C49" t="str">
        <f>HeartData[[#This Row],[sex]]</f>
        <v>Male</v>
      </c>
      <c r="D49" t="str">
        <f t="shared" si="0"/>
        <v>45-54</v>
      </c>
      <c r="E49" t="str">
        <f>HeartData[[#This Row],[cp]]</f>
        <v>asymptomatic</v>
      </c>
      <c r="F49" t="str">
        <f>IF(HeartData[[#This Row],[num]]&gt;0, "Diseased", "Healthy")</f>
        <v>Diseased</v>
      </c>
      <c r="G49">
        <f>IF(HeartData[[#This Row],[chol]]&gt;$P$3, 1, 0)</f>
        <v>1</v>
      </c>
      <c r="H49">
        <f>IF(HeartData[[#This Row],[trestbps]]&gt;$P$4, 1, 0)</f>
        <v>1</v>
      </c>
      <c r="I49">
        <f>IF(HeartData[[#This Row],[oldpeak]]&gt;$P$5,1,0)</f>
        <v>1</v>
      </c>
      <c r="J49">
        <f>IF(HeartData[[#This Row],[exang]]="TRUE",1,0)</f>
        <v>0</v>
      </c>
      <c r="K49">
        <f>IF(HeartData[[#This Row],[fbs]]="TRUE",1,0)</f>
        <v>0</v>
      </c>
      <c r="L49">
        <f>IF(HeartData[[#This Row],[ca]]&gt;0,1,0)</f>
        <v>0</v>
      </c>
      <c r="M49">
        <f t="shared" si="1"/>
        <v>3</v>
      </c>
      <c r="N49">
        <f t="shared" si="2"/>
        <v>1</v>
      </c>
    </row>
    <row r="50" spans="1:14" x14ac:dyDescent="0.3">
      <c r="A50">
        <f>HeartData[[#This Row],[id]]</f>
        <v>49</v>
      </c>
      <c r="B50" s="4">
        <f>HeartData[[#This Row],[age]]</f>
        <v>65</v>
      </c>
      <c r="C50" t="str">
        <f>HeartData[[#This Row],[sex]]</f>
        <v>Female</v>
      </c>
      <c r="D50" t="str">
        <f t="shared" si="0"/>
        <v>65+</v>
      </c>
      <c r="E50" t="str">
        <f>HeartData[[#This Row],[cp]]</f>
        <v>non-anginal</v>
      </c>
      <c r="F50" t="str">
        <f>IF(HeartData[[#This Row],[num]]&gt;0, "Diseased", "Healthy")</f>
        <v>Healthy</v>
      </c>
      <c r="G50">
        <f>IF(HeartData[[#This Row],[chol]]&gt;$P$3, 1, 0)</f>
        <v>1</v>
      </c>
      <c r="H50">
        <f>IF(HeartData[[#This Row],[trestbps]]&gt;$P$4, 1, 0)</f>
        <v>1</v>
      </c>
      <c r="I50">
        <f>IF(HeartData[[#This Row],[oldpeak]]&gt;$P$5,1,0)</f>
        <v>1</v>
      </c>
      <c r="J50">
        <f>IF(HeartData[[#This Row],[exang]]="TRUE",1,0)</f>
        <v>0</v>
      </c>
      <c r="K50">
        <f>IF(HeartData[[#This Row],[fbs]]="TRUE",1,0)</f>
        <v>1</v>
      </c>
      <c r="L50">
        <f>IF(HeartData[[#This Row],[ca]]&gt;0,1,0)</f>
        <v>1</v>
      </c>
      <c r="M50">
        <f t="shared" si="1"/>
        <v>5</v>
      </c>
      <c r="N50">
        <f t="shared" si="2"/>
        <v>0</v>
      </c>
    </row>
    <row r="51" spans="1:14" x14ac:dyDescent="0.3">
      <c r="A51">
        <f>HeartData[[#This Row],[id]]</f>
        <v>50</v>
      </c>
      <c r="B51" s="4">
        <f>HeartData[[#This Row],[age]]</f>
        <v>53</v>
      </c>
      <c r="C51" t="str">
        <f>HeartData[[#This Row],[sex]]</f>
        <v>Male</v>
      </c>
      <c r="D51" t="str">
        <f t="shared" si="0"/>
        <v>45-54</v>
      </c>
      <c r="E51" t="str">
        <f>HeartData[[#This Row],[cp]]</f>
        <v>non-anginal</v>
      </c>
      <c r="F51" t="str">
        <f>IF(HeartData[[#This Row],[num]]&gt;0, "Diseased", "Healthy")</f>
        <v>Healthy</v>
      </c>
      <c r="G51">
        <f>IF(HeartData[[#This Row],[chol]]&gt;$P$3, 1, 0)</f>
        <v>1</v>
      </c>
      <c r="H51">
        <f>IF(HeartData[[#This Row],[trestbps]]&gt;$P$4, 1, 0)</f>
        <v>1</v>
      </c>
      <c r="I51">
        <f>IF(HeartData[[#This Row],[oldpeak]]&gt;$P$5,1,0)</f>
        <v>1</v>
      </c>
      <c r="J51">
        <f>IF(HeartData[[#This Row],[exang]]="TRUE",1,0)</f>
        <v>0</v>
      </c>
      <c r="K51">
        <f>IF(HeartData[[#This Row],[fbs]]="TRUE",1,0)</f>
        <v>1</v>
      </c>
      <c r="L51">
        <f>IF(HeartData[[#This Row],[ca]]&gt;0,1,0)</f>
        <v>0</v>
      </c>
      <c r="M51">
        <f t="shared" si="1"/>
        <v>4</v>
      </c>
      <c r="N51">
        <f t="shared" si="2"/>
        <v>0</v>
      </c>
    </row>
    <row r="52" spans="1:14" x14ac:dyDescent="0.3">
      <c r="A52">
        <f>HeartData[[#This Row],[id]]</f>
        <v>51</v>
      </c>
      <c r="B52" s="4">
        <f>HeartData[[#This Row],[age]]</f>
        <v>41</v>
      </c>
      <c r="C52" t="str">
        <f>HeartData[[#This Row],[sex]]</f>
        <v>Female</v>
      </c>
      <c r="D52" t="str">
        <f t="shared" si="0"/>
        <v>Under 45</v>
      </c>
      <c r="E52" t="str">
        <f>HeartData[[#This Row],[cp]]</f>
        <v>atypical angina</v>
      </c>
      <c r="F52" t="str">
        <f>IF(HeartData[[#This Row],[num]]&gt;0, "Diseased", "Healthy")</f>
        <v>Healthy</v>
      </c>
      <c r="G52">
        <f>IF(HeartData[[#This Row],[chol]]&gt;$P$3, 1, 0)</f>
        <v>1</v>
      </c>
      <c r="H52">
        <f>IF(HeartData[[#This Row],[trestbps]]&gt;$P$4, 1, 0)</f>
        <v>1</v>
      </c>
      <c r="I52">
        <f>IF(HeartData[[#This Row],[oldpeak]]&gt;$P$5,1,0)</f>
        <v>0</v>
      </c>
      <c r="J52">
        <f>IF(HeartData[[#This Row],[exang]]="TRUE",1,0)</f>
        <v>0</v>
      </c>
      <c r="K52">
        <f>IF(HeartData[[#This Row],[fbs]]="TRUE",1,0)</f>
        <v>0</v>
      </c>
      <c r="L52">
        <f>IF(HeartData[[#This Row],[ca]]&gt;0,1,0)</f>
        <v>1</v>
      </c>
      <c r="M52">
        <f t="shared" si="1"/>
        <v>3</v>
      </c>
      <c r="N52">
        <f t="shared" si="2"/>
        <v>0</v>
      </c>
    </row>
    <row r="53" spans="1:14" x14ac:dyDescent="0.3">
      <c r="A53">
        <f>HeartData[[#This Row],[id]]</f>
        <v>52</v>
      </c>
      <c r="B53" s="4">
        <f>HeartData[[#This Row],[age]]</f>
        <v>65</v>
      </c>
      <c r="C53" t="str">
        <f>HeartData[[#This Row],[sex]]</f>
        <v>Male</v>
      </c>
      <c r="D53" t="str">
        <f t="shared" si="0"/>
        <v>65+</v>
      </c>
      <c r="E53" t="str">
        <f>HeartData[[#This Row],[cp]]</f>
        <v>asymptomatic</v>
      </c>
      <c r="F53" t="str">
        <f>IF(HeartData[[#This Row],[num]]&gt;0, "Diseased", "Healthy")</f>
        <v>Healthy</v>
      </c>
      <c r="G53">
        <f>IF(HeartData[[#This Row],[chol]]&gt;$P$3, 1, 0)</f>
        <v>1</v>
      </c>
      <c r="H53">
        <f>IF(HeartData[[#This Row],[trestbps]]&gt;$P$4, 1, 0)</f>
        <v>1</v>
      </c>
      <c r="I53">
        <f>IF(HeartData[[#This Row],[oldpeak]]&gt;$P$5,1,0)</f>
        <v>1</v>
      </c>
      <c r="J53">
        <f>IF(HeartData[[#This Row],[exang]]="TRUE",1,0)</f>
        <v>0</v>
      </c>
      <c r="K53">
        <f>IF(HeartData[[#This Row],[fbs]]="TRUE",1,0)</f>
        <v>0</v>
      </c>
      <c r="L53">
        <f>IF(HeartData[[#This Row],[ca]]&gt;0,1,0)</f>
        <v>0</v>
      </c>
      <c r="M53">
        <f t="shared" si="1"/>
        <v>3</v>
      </c>
      <c r="N53">
        <f t="shared" si="2"/>
        <v>0</v>
      </c>
    </row>
    <row r="54" spans="1:14" x14ac:dyDescent="0.3">
      <c r="A54">
        <f>HeartData[[#This Row],[id]]</f>
        <v>53</v>
      </c>
      <c r="B54" s="4">
        <f>HeartData[[#This Row],[age]]</f>
        <v>44</v>
      </c>
      <c r="C54" t="str">
        <f>HeartData[[#This Row],[sex]]</f>
        <v>Male</v>
      </c>
      <c r="D54" t="str">
        <f t="shared" si="0"/>
        <v>Under 45</v>
      </c>
      <c r="E54" t="str">
        <f>HeartData[[#This Row],[cp]]</f>
        <v>asymptomatic</v>
      </c>
      <c r="F54" t="str">
        <f>IF(HeartData[[#This Row],[num]]&gt;0, "Diseased", "Healthy")</f>
        <v>Diseased</v>
      </c>
      <c r="G54">
        <f>IF(HeartData[[#This Row],[chol]]&gt;$P$3, 1, 0)</f>
        <v>1</v>
      </c>
      <c r="H54">
        <f>IF(HeartData[[#This Row],[trestbps]]&gt;$P$4, 1, 0)</f>
        <v>1</v>
      </c>
      <c r="I54">
        <f>IF(HeartData[[#This Row],[oldpeak]]&gt;$P$5,1,0)</f>
        <v>0</v>
      </c>
      <c r="J54">
        <f>IF(HeartData[[#This Row],[exang]]="TRUE",1,0)</f>
        <v>0</v>
      </c>
      <c r="K54">
        <f>IF(HeartData[[#This Row],[fbs]]="TRUE",1,0)</f>
        <v>0</v>
      </c>
      <c r="L54">
        <f>IF(HeartData[[#This Row],[ca]]&gt;0,1,0)</f>
        <v>1</v>
      </c>
      <c r="M54">
        <f t="shared" si="1"/>
        <v>3</v>
      </c>
      <c r="N54">
        <f t="shared" si="2"/>
        <v>1</v>
      </c>
    </row>
    <row r="55" spans="1:14" x14ac:dyDescent="0.3">
      <c r="A55">
        <f>HeartData[[#This Row],[id]]</f>
        <v>54</v>
      </c>
      <c r="B55" s="4">
        <f>HeartData[[#This Row],[age]]</f>
        <v>44</v>
      </c>
      <c r="C55" t="str">
        <f>HeartData[[#This Row],[sex]]</f>
        <v>Male</v>
      </c>
      <c r="D55" t="str">
        <f t="shared" si="0"/>
        <v>Under 45</v>
      </c>
      <c r="E55" t="str">
        <f>HeartData[[#This Row],[cp]]</f>
        <v>atypical angina</v>
      </c>
      <c r="F55" t="str">
        <f>IF(HeartData[[#This Row],[num]]&gt;0, "Diseased", "Healthy")</f>
        <v>Healthy</v>
      </c>
      <c r="G55">
        <f>IF(HeartData[[#This Row],[chol]]&gt;$P$3, 1, 0)</f>
        <v>1</v>
      </c>
      <c r="H55">
        <f>IF(HeartData[[#This Row],[trestbps]]&gt;$P$4, 1, 0)</f>
        <v>1</v>
      </c>
      <c r="I55">
        <f>IF(HeartData[[#This Row],[oldpeak]]&gt;$P$5,1,0)</f>
        <v>0</v>
      </c>
      <c r="J55">
        <f>IF(HeartData[[#This Row],[exang]]="TRUE",1,0)</f>
        <v>0</v>
      </c>
      <c r="K55">
        <f>IF(HeartData[[#This Row],[fbs]]="TRUE",1,0)</f>
        <v>0</v>
      </c>
      <c r="L55">
        <f>IF(HeartData[[#This Row],[ca]]&gt;0,1,0)</f>
        <v>0</v>
      </c>
      <c r="M55">
        <f t="shared" si="1"/>
        <v>2</v>
      </c>
      <c r="N55">
        <f t="shared" si="2"/>
        <v>0</v>
      </c>
    </row>
    <row r="56" spans="1:14" x14ac:dyDescent="0.3">
      <c r="A56">
        <f>HeartData[[#This Row],[id]]</f>
        <v>55</v>
      </c>
      <c r="B56" s="4">
        <f>HeartData[[#This Row],[age]]</f>
        <v>60</v>
      </c>
      <c r="C56" t="str">
        <f>HeartData[[#This Row],[sex]]</f>
        <v>Male</v>
      </c>
      <c r="D56" t="str">
        <f t="shared" si="0"/>
        <v>55-64</v>
      </c>
      <c r="E56" t="str">
        <f>HeartData[[#This Row],[cp]]</f>
        <v>asymptomatic</v>
      </c>
      <c r="F56" t="str">
        <f>IF(HeartData[[#This Row],[num]]&gt;0, "Diseased", "Healthy")</f>
        <v>Diseased</v>
      </c>
      <c r="G56">
        <f>IF(HeartData[[#This Row],[chol]]&gt;$P$3, 1, 0)</f>
        <v>1</v>
      </c>
      <c r="H56">
        <f>IF(HeartData[[#This Row],[trestbps]]&gt;$P$4, 1, 0)</f>
        <v>1</v>
      </c>
      <c r="I56">
        <f>IF(HeartData[[#This Row],[oldpeak]]&gt;$P$5,1,0)</f>
        <v>1</v>
      </c>
      <c r="J56">
        <f>IF(HeartData[[#This Row],[exang]]="TRUE",1,0)</f>
        <v>1</v>
      </c>
      <c r="K56">
        <f>IF(HeartData[[#This Row],[fbs]]="TRUE",1,0)</f>
        <v>0</v>
      </c>
      <c r="L56">
        <f>IF(HeartData[[#This Row],[ca]]&gt;0,1,0)</f>
        <v>1</v>
      </c>
      <c r="M56">
        <f t="shared" si="1"/>
        <v>5</v>
      </c>
      <c r="N56">
        <f t="shared" si="2"/>
        <v>1</v>
      </c>
    </row>
    <row r="57" spans="1:14" x14ac:dyDescent="0.3">
      <c r="A57">
        <f>HeartData[[#This Row],[id]]</f>
        <v>56</v>
      </c>
      <c r="B57" s="4">
        <f>HeartData[[#This Row],[age]]</f>
        <v>54</v>
      </c>
      <c r="C57" t="str">
        <f>HeartData[[#This Row],[sex]]</f>
        <v>Male</v>
      </c>
      <c r="D57" t="str">
        <f t="shared" si="0"/>
        <v>45-54</v>
      </c>
      <c r="E57" t="str">
        <f>HeartData[[#This Row],[cp]]</f>
        <v>asymptomatic</v>
      </c>
      <c r="F57" t="str">
        <f>IF(HeartData[[#This Row],[num]]&gt;0, "Diseased", "Healthy")</f>
        <v>Diseased</v>
      </c>
      <c r="G57">
        <f>IF(HeartData[[#This Row],[chol]]&gt;$P$3, 1, 0)</f>
        <v>1</v>
      </c>
      <c r="H57">
        <f>IF(HeartData[[#This Row],[trestbps]]&gt;$P$4, 1, 0)</f>
        <v>1</v>
      </c>
      <c r="I57">
        <f>IF(HeartData[[#This Row],[oldpeak]]&gt;$P$5,1,0)</f>
        <v>1</v>
      </c>
      <c r="J57">
        <f>IF(HeartData[[#This Row],[exang]]="TRUE",1,0)</f>
        <v>1</v>
      </c>
      <c r="K57">
        <f>IF(HeartData[[#This Row],[fbs]]="TRUE",1,0)</f>
        <v>0</v>
      </c>
      <c r="L57">
        <f>IF(HeartData[[#This Row],[ca]]&gt;0,1,0)</f>
        <v>1</v>
      </c>
      <c r="M57">
        <f t="shared" si="1"/>
        <v>5</v>
      </c>
      <c r="N57">
        <f t="shared" si="2"/>
        <v>1</v>
      </c>
    </row>
    <row r="58" spans="1:14" x14ac:dyDescent="0.3">
      <c r="A58">
        <f>HeartData[[#This Row],[id]]</f>
        <v>57</v>
      </c>
      <c r="B58" s="4">
        <f>HeartData[[#This Row],[age]]</f>
        <v>50</v>
      </c>
      <c r="C58" t="str">
        <f>HeartData[[#This Row],[sex]]</f>
        <v>Male</v>
      </c>
      <c r="D58" t="str">
        <f t="shared" si="0"/>
        <v>45-54</v>
      </c>
      <c r="E58" t="str">
        <f>HeartData[[#This Row],[cp]]</f>
        <v>non-anginal</v>
      </c>
      <c r="F58" t="str">
        <f>IF(HeartData[[#This Row],[num]]&gt;0, "Diseased", "Healthy")</f>
        <v>Diseased</v>
      </c>
      <c r="G58">
        <f>IF(HeartData[[#This Row],[chol]]&gt;$P$3, 1, 0)</f>
        <v>1</v>
      </c>
      <c r="H58">
        <f>IF(HeartData[[#This Row],[trestbps]]&gt;$P$4, 1, 0)</f>
        <v>1</v>
      </c>
      <c r="I58">
        <f>IF(HeartData[[#This Row],[oldpeak]]&gt;$P$5,1,0)</f>
        <v>1</v>
      </c>
      <c r="J58">
        <f>IF(HeartData[[#This Row],[exang]]="TRUE",1,0)</f>
        <v>0</v>
      </c>
      <c r="K58">
        <f>IF(HeartData[[#This Row],[fbs]]="TRUE",1,0)</f>
        <v>0</v>
      </c>
      <c r="L58">
        <f>IF(HeartData[[#This Row],[ca]]&gt;0,1,0)</f>
        <v>1</v>
      </c>
      <c r="M58">
        <f t="shared" si="1"/>
        <v>4</v>
      </c>
      <c r="N58">
        <f t="shared" si="2"/>
        <v>1</v>
      </c>
    </row>
    <row r="59" spans="1:14" x14ac:dyDescent="0.3">
      <c r="A59">
        <f>HeartData[[#This Row],[id]]</f>
        <v>58</v>
      </c>
      <c r="B59" s="4">
        <f>HeartData[[#This Row],[age]]</f>
        <v>41</v>
      </c>
      <c r="C59" t="str">
        <f>HeartData[[#This Row],[sex]]</f>
        <v>Male</v>
      </c>
      <c r="D59" t="str">
        <f t="shared" si="0"/>
        <v>Under 45</v>
      </c>
      <c r="E59" t="str">
        <f>HeartData[[#This Row],[cp]]</f>
        <v>asymptomatic</v>
      </c>
      <c r="F59" t="str">
        <f>IF(HeartData[[#This Row],[num]]&gt;0, "Diseased", "Healthy")</f>
        <v>Diseased</v>
      </c>
      <c r="G59">
        <f>IF(HeartData[[#This Row],[chol]]&gt;$P$3, 1, 0)</f>
        <v>1</v>
      </c>
      <c r="H59">
        <f>IF(HeartData[[#This Row],[trestbps]]&gt;$P$4, 1, 0)</f>
        <v>1</v>
      </c>
      <c r="I59">
        <f>IF(HeartData[[#This Row],[oldpeak]]&gt;$P$5,1,0)</f>
        <v>0</v>
      </c>
      <c r="J59">
        <f>IF(HeartData[[#This Row],[exang]]="TRUE",1,0)</f>
        <v>0</v>
      </c>
      <c r="K59">
        <f>IF(HeartData[[#This Row],[fbs]]="TRUE",1,0)</f>
        <v>0</v>
      </c>
      <c r="L59">
        <f>IF(HeartData[[#This Row],[ca]]&gt;0,1,0)</f>
        <v>0</v>
      </c>
      <c r="M59">
        <f t="shared" si="1"/>
        <v>2</v>
      </c>
      <c r="N59">
        <f t="shared" si="2"/>
        <v>1</v>
      </c>
    </row>
    <row r="60" spans="1:14" x14ac:dyDescent="0.3">
      <c r="A60">
        <f>HeartData[[#This Row],[id]]</f>
        <v>59</v>
      </c>
      <c r="B60" s="4">
        <f>HeartData[[#This Row],[age]]</f>
        <v>54</v>
      </c>
      <c r="C60" t="str">
        <f>HeartData[[#This Row],[sex]]</f>
        <v>Male</v>
      </c>
      <c r="D60" t="str">
        <f t="shared" si="0"/>
        <v>45-54</v>
      </c>
      <c r="E60" t="str">
        <f>HeartData[[#This Row],[cp]]</f>
        <v>non-anginal</v>
      </c>
      <c r="F60" t="str">
        <f>IF(HeartData[[#This Row],[num]]&gt;0, "Diseased", "Healthy")</f>
        <v>Healthy</v>
      </c>
      <c r="G60">
        <f>IF(HeartData[[#This Row],[chol]]&gt;$P$3, 1, 0)</f>
        <v>1</v>
      </c>
      <c r="H60">
        <f>IF(HeartData[[#This Row],[trestbps]]&gt;$P$4, 1, 0)</f>
        <v>1</v>
      </c>
      <c r="I60">
        <f>IF(HeartData[[#This Row],[oldpeak]]&gt;$P$5,1,0)</f>
        <v>1</v>
      </c>
      <c r="J60">
        <f>IF(HeartData[[#This Row],[exang]]="TRUE",1,0)</f>
        <v>0</v>
      </c>
      <c r="K60">
        <f>IF(HeartData[[#This Row],[fbs]]="TRUE",1,0)</f>
        <v>0</v>
      </c>
      <c r="L60">
        <f>IF(HeartData[[#This Row],[ca]]&gt;0,1,0)</f>
        <v>1</v>
      </c>
      <c r="M60">
        <f t="shared" si="1"/>
        <v>4</v>
      </c>
      <c r="N60">
        <f t="shared" si="2"/>
        <v>0</v>
      </c>
    </row>
    <row r="61" spans="1:14" x14ac:dyDescent="0.3">
      <c r="A61">
        <f>HeartData[[#This Row],[id]]</f>
        <v>60</v>
      </c>
      <c r="B61" s="4">
        <f>HeartData[[#This Row],[age]]</f>
        <v>51</v>
      </c>
      <c r="C61" t="str">
        <f>HeartData[[#This Row],[sex]]</f>
        <v>Male</v>
      </c>
      <c r="D61" t="str">
        <f t="shared" si="0"/>
        <v>45-54</v>
      </c>
      <c r="E61" t="str">
        <f>HeartData[[#This Row],[cp]]</f>
        <v>typical angina</v>
      </c>
      <c r="F61" t="str">
        <f>IF(HeartData[[#This Row],[num]]&gt;0, "Diseased", "Healthy")</f>
        <v>Healthy</v>
      </c>
      <c r="G61">
        <f>IF(HeartData[[#This Row],[chol]]&gt;$P$3, 1, 0)</f>
        <v>1</v>
      </c>
      <c r="H61">
        <f>IF(HeartData[[#This Row],[trestbps]]&gt;$P$4, 1, 0)</f>
        <v>1</v>
      </c>
      <c r="I61">
        <f>IF(HeartData[[#This Row],[oldpeak]]&gt;$P$5,1,0)</f>
        <v>1</v>
      </c>
      <c r="J61">
        <f>IF(HeartData[[#This Row],[exang]]="TRUE",1,0)</f>
        <v>1</v>
      </c>
      <c r="K61">
        <f>IF(HeartData[[#This Row],[fbs]]="TRUE",1,0)</f>
        <v>0</v>
      </c>
      <c r="L61">
        <f>IF(HeartData[[#This Row],[ca]]&gt;0,1,0)</f>
        <v>1</v>
      </c>
      <c r="M61">
        <f t="shared" si="1"/>
        <v>5</v>
      </c>
      <c r="N61">
        <f t="shared" si="2"/>
        <v>0</v>
      </c>
    </row>
    <row r="62" spans="1:14" x14ac:dyDescent="0.3">
      <c r="A62">
        <f>HeartData[[#This Row],[id]]</f>
        <v>61</v>
      </c>
      <c r="B62" s="4">
        <f>HeartData[[#This Row],[age]]</f>
        <v>51</v>
      </c>
      <c r="C62" t="str">
        <f>HeartData[[#This Row],[sex]]</f>
        <v>Female</v>
      </c>
      <c r="D62" t="str">
        <f t="shared" si="0"/>
        <v>45-54</v>
      </c>
      <c r="E62" t="str">
        <f>HeartData[[#This Row],[cp]]</f>
        <v>asymptomatic</v>
      </c>
      <c r="F62" t="str">
        <f>IF(HeartData[[#This Row],[num]]&gt;0, "Diseased", "Healthy")</f>
        <v>Diseased</v>
      </c>
      <c r="G62">
        <f>IF(HeartData[[#This Row],[chol]]&gt;$P$3, 1, 0)</f>
        <v>1</v>
      </c>
      <c r="H62">
        <f>IF(HeartData[[#This Row],[trestbps]]&gt;$P$4, 1, 0)</f>
        <v>1</v>
      </c>
      <c r="I62">
        <f>IF(HeartData[[#This Row],[oldpeak]]&gt;$P$5,1,0)</f>
        <v>1</v>
      </c>
      <c r="J62">
        <f>IF(HeartData[[#This Row],[exang]]="TRUE",1,0)</f>
        <v>1</v>
      </c>
      <c r="K62">
        <f>IF(HeartData[[#This Row],[fbs]]="TRUE",1,0)</f>
        <v>0</v>
      </c>
      <c r="L62">
        <f>IF(HeartData[[#This Row],[ca]]&gt;0,1,0)</f>
        <v>0</v>
      </c>
      <c r="M62">
        <f t="shared" si="1"/>
        <v>4</v>
      </c>
      <c r="N62">
        <f t="shared" si="2"/>
        <v>1</v>
      </c>
    </row>
    <row r="63" spans="1:14" x14ac:dyDescent="0.3">
      <c r="A63">
        <f>HeartData[[#This Row],[id]]</f>
        <v>62</v>
      </c>
      <c r="B63" s="4">
        <f>HeartData[[#This Row],[age]]</f>
        <v>46</v>
      </c>
      <c r="C63" t="str">
        <f>HeartData[[#This Row],[sex]]</f>
        <v>Female</v>
      </c>
      <c r="D63" t="str">
        <f t="shared" si="0"/>
        <v>45-54</v>
      </c>
      <c r="E63" t="str">
        <f>HeartData[[#This Row],[cp]]</f>
        <v>non-anginal</v>
      </c>
      <c r="F63" t="str">
        <f>IF(HeartData[[#This Row],[num]]&gt;0, "Diseased", "Healthy")</f>
        <v>Healthy</v>
      </c>
      <c r="G63">
        <f>IF(HeartData[[#This Row],[chol]]&gt;$P$3, 1, 0)</f>
        <v>1</v>
      </c>
      <c r="H63">
        <f>IF(HeartData[[#This Row],[trestbps]]&gt;$P$4, 1, 0)</f>
        <v>1</v>
      </c>
      <c r="I63">
        <f>IF(HeartData[[#This Row],[oldpeak]]&gt;$P$5,1,0)</f>
        <v>1</v>
      </c>
      <c r="J63">
        <f>IF(HeartData[[#This Row],[exang]]="TRUE",1,0)</f>
        <v>1</v>
      </c>
      <c r="K63">
        <f>IF(HeartData[[#This Row],[fbs]]="TRUE",1,0)</f>
        <v>0</v>
      </c>
      <c r="L63">
        <f>IF(HeartData[[#This Row],[ca]]&gt;0,1,0)</f>
        <v>0</v>
      </c>
      <c r="M63">
        <f t="shared" si="1"/>
        <v>4</v>
      </c>
      <c r="N63">
        <f t="shared" si="2"/>
        <v>0</v>
      </c>
    </row>
    <row r="64" spans="1:14" x14ac:dyDescent="0.3">
      <c r="A64">
        <f>HeartData[[#This Row],[id]]</f>
        <v>63</v>
      </c>
      <c r="B64" s="4">
        <f>HeartData[[#This Row],[age]]</f>
        <v>58</v>
      </c>
      <c r="C64" t="str">
        <f>HeartData[[#This Row],[sex]]</f>
        <v>Male</v>
      </c>
      <c r="D64" t="str">
        <f t="shared" si="0"/>
        <v>55-64</v>
      </c>
      <c r="E64" t="str">
        <f>HeartData[[#This Row],[cp]]</f>
        <v>asymptomatic</v>
      </c>
      <c r="F64" t="str">
        <f>IF(HeartData[[#This Row],[num]]&gt;0, "Diseased", "Healthy")</f>
        <v>Diseased</v>
      </c>
      <c r="G64">
        <f>IF(HeartData[[#This Row],[chol]]&gt;$P$3, 1, 0)</f>
        <v>1</v>
      </c>
      <c r="H64">
        <f>IF(HeartData[[#This Row],[trestbps]]&gt;$P$4, 1, 0)</f>
        <v>1</v>
      </c>
      <c r="I64">
        <f>IF(HeartData[[#This Row],[oldpeak]]&gt;$P$5,1,0)</f>
        <v>1</v>
      </c>
      <c r="J64">
        <f>IF(HeartData[[#This Row],[exang]]="TRUE",1,0)</f>
        <v>1</v>
      </c>
      <c r="K64">
        <f>IF(HeartData[[#This Row],[fbs]]="TRUE",1,0)</f>
        <v>0</v>
      </c>
      <c r="L64">
        <f>IF(HeartData[[#This Row],[ca]]&gt;0,1,0)</f>
        <v>1</v>
      </c>
      <c r="M64">
        <f t="shared" si="1"/>
        <v>5</v>
      </c>
      <c r="N64">
        <f t="shared" si="2"/>
        <v>1</v>
      </c>
    </row>
    <row r="65" spans="1:14" x14ac:dyDescent="0.3">
      <c r="A65">
        <f>HeartData[[#This Row],[id]]</f>
        <v>64</v>
      </c>
      <c r="B65" s="4">
        <f>HeartData[[#This Row],[age]]</f>
        <v>54</v>
      </c>
      <c r="C65" t="str">
        <f>HeartData[[#This Row],[sex]]</f>
        <v>Female</v>
      </c>
      <c r="D65" t="str">
        <f t="shared" si="0"/>
        <v>45-54</v>
      </c>
      <c r="E65" t="str">
        <f>HeartData[[#This Row],[cp]]</f>
        <v>non-anginal</v>
      </c>
      <c r="F65" t="str">
        <f>IF(HeartData[[#This Row],[num]]&gt;0, "Diseased", "Healthy")</f>
        <v>Healthy</v>
      </c>
      <c r="G65">
        <f>IF(HeartData[[#This Row],[chol]]&gt;$P$3, 1, 0)</f>
        <v>1</v>
      </c>
      <c r="H65">
        <f>IF(HeartData[[#This Row],[trestbps]]&gt;$P$4, 1, 0)</f>
        <v>1</v>
      </c>
      <c r="I65">
        <f>IF(HeartData[[#This Row],[oldpeak]]&gt;$P$5,1,0)</f>
        <v>0</v>
      </c>
      <c r="J65">
        <f>IF(HeartData[[#This Row],[exang]]="TRUE",1,0)</f>
        <v>0</v>
      </c>
      <c r="K65">
        <f>IF(HeartData[[#This Row],[fbs]]="TRUE",1,0)</f>
        <v>1</v>
      </c>
      <c r="L65">
        <f>IF(HeartData[[#This Row],[ca]]&gt;0,1,0)</f>
        <v>0</v>
      </c>
      <c r="M65">
        <f t="shared" si="1"/>
        <v>3</v>
      </c>
      <c r="N65">
        <f t="shared" si="2"/>
        <v>0</v>
      </c>
    </row>
    <row r="66" spans="1:14" x14ac:dyDescent="0.3">
      <c r="A66">
        <f>HeartData[[#This Row],[id]]</f>
        <v>65</v>
      </c>
      <c r="B66" s="4">
        <f>HeartData[[#This Row],[age]]</f>
        <v>54</v>
      </c>
      <c r="C66" t="str">
        <f>HeartData[[#This Row],[sex]]</f>
        <v>Male</v>
      </c>
      <c r="D66" t="str">
        <f t="shared" ref="D66:D129" si="3">IF(B66&lt;45,"Under 45",IF(B66&lt;=54,"45-54",IF(B66&lt;=64,"55-64","65+")))</f>
        <v>45-54</v>
      </c>
      <c r="E66" t="str">
        <f>HeartData[[#This Row],[cp]]</f>
        <v>asymptomatic</v>
      </c>
      <c r="F66" t="str">
        <f>IF(HeartData[[#This Row],[num]]&gt;0, "Diseased", "Healthy")</f>
        <v>Diseased</v>
      </c>
      <c r="G66">
        <f>IF(HeartData[[#This Row],[chol]]&gt;$P$3, 1, 0)</f>
        <v>1</v>
      </c>
      <c r="H66">
        <f>IF(HeartData[[#This Row],[trestbps]]&gt;$P$4, 1, 0)</f>
        <v>1</v>
      </c>
      <c r="I66">
        <f>IF(HeartData[[#This Row],[oldpeak]]&gt;$P$5,1,0)</f>
        <v>1</v>
      </c>
      <c r="J66">
        <f>IF(HeartData[[#This Row],[exang]]="TRUE",1,0)</f>
        <v>0</v>
      </c>
      <c r="K66">
        <f>IF(HeartData[[#This Row],[fbs]]="TRUE",1,0)</f>
        <v>0</v>
      </c>
      <c r="L66">
        <f>IF(HeartData[[#This Row],[ca]]&gt;0,1,0)</f>
        <v>1</v>
      </c>
      <c r="M66">
        <f t="shared" si="1"/>
        <v>4</v>
      </c>
      <c r="N66">
        <f t="shared" si="2"/>
        <v>1</v>
      </c>
    </row>
    <row r="67" spans="1:14" x14ac:dyDescent="0.3">
      <c r="A67">
        <f>HeartData[[#This Row],[id]]</f>
        <v>66</v>
      </c>
      <c r="B67" s="4">
        <f>HeartData[[#This Row],[age]]</f>
        <v>60</v>
      </c>
      <c r="C67" t="str">
        <f>HeartData[[#This Row],[sex]]</f>
        <v>Male</v>
      </c>
      <c r="D67" t="str">
        <f t="shared" si="3"/>
        <v>55-64</v>
      </c>
      <c r="E67" t="str">
        <f>HeartData[[#This Row],[cp]]</f>
        <v>asymptomatic</v>
      </c>
      <c r="F67" t="str">
        <f>IF(HeartData[[#This Row],[num]]&gt;0, "Diseased", "Healthy")</f>
        <v>Diseased</v>
      </c>
      <c r="G67">
        <f>IF(HeartData[[#This Row],[chol]]&gt;$P$3, 1, 0)</f>
        <v>1</v>
      </c>
      <c r="H67">
        <f>IF(HeartData[[#This Row],[trestbps]]&gt;$P$4, 1, 0)</f>
        <v>1</v>
      </c>
      <c r="I67">
        <f>IF(HeartData[[#This Row],[oldpeak]]&gt;$P$5,1,0)</f>
        <v>1</v>
      </c>
      <c r="J67">
        <f>IF(HeartData[[#This Row],[exang]]="TRUE",1,0)</f>
        <v>1</v>
      </c>
      <c r="K67">
        <f>IF(HeartData[[#This Row],[fbs]]="TRUE",1,0)</f>
        <v>0</v>
      </c>
      <c r="L67">
        <f>IF(HeartData[[#This Row],[ca]]&gt;0,1,0)</f>
        <v>1</v>
      </c>
      <c r="M67">
        <f t="shared" ref="M67:M130" si="4">G67+H67+I67+J67+K67+L67</f>
        <v>5</v>
      </c>
      <c r="N67">
        <f t="shared" ref="N67:N130" si="5">IF(F67="Diseased",1,0)</f>
        <v>1</v>
      </c>
    </row>
    <row r="68" spans="1:14" x14ac:dyDescent="0.3">
      <c r="A68">
        <f>HeartData[[#This Row],[id]]</f>
        <v>67</v>
      </c>
      <c r="B68" s="4">
        <f>HeartData[[#This Row],[age]]</f>
        <v>60</v>
      </c>
      <c r="C68" t="str">
        <f>HeartData[[#This Row],[sex]]</f>
        <v>Male</v>
      </c>
      <c r="D68" t="str">
        <f t="shared" si="3"/>
        <v>55-64</v>
      </c>
      <c r="E68" t="str">
        <f>HeartData[[#This Row],[cp]]</f>
        <v>non-anginal</v>
      </c>
      <c r="F68" t="str">
        <f>IF(HeartData[[#This Row],[num]]&gt;0, "Diseased", "Healthy")</f>
        <v>Diseased</v>
      </c>
      <c r="G68">
        <f>IF(HeartData[[#This Row],[chol]]&gt;$P$3, 1, 0)</f>
        <v>1</v>
      </c>
      <c r="H68">
        <f>IF(HeartData[[#This Row],[trestbps]]&gt;$P$4, 1, 0)</f>
        <v>1</v>
      </c>
      <c r="I68">
        <f>IF(HeartData[[#This Row],[oldpeak]]&gt;$P$5,1,0)</f>
        <v>1</v>
      </c>
      <c r="J68">
        <f>IF(HeartData[[#This Row],[exang]]="TRUE",1,0)</f>
        <v>0</v>
      </c>
      <c r="K68">
        <f>IF(HeartData[[#This Row],[fbs]]="TRUE",1,0)</f>
        <v>0</v>
      </c>
      <c r="L68">
        <f>IF(HeartData[[#This Row],[ca]]&gt;0,1,0)</f>
        <v>0</v>
      </c>
      <c r="M68">
        <f t="shared" si="4"/>
        <v>3</v>
      </c>
      <c r="N68">
        <f t="shared" si="5"/>
        <v>1</v>
      </c>
    </row>
    <row r="69" spans="1:14" x14ac:dyDescent="0.3">
      <c r="A69">
        <f>HeartData[[#This Row],[id]]</f>
        <v>68</v>
      </c>
      <c r="B69" s="4">
        <f>HeartData[[#This Row],[age]]</f>
        <v>54</v>
      </c>
      <c r="C69" t="str">
        <f>HeartData[[#This Row],[sex]]</f>
        <v>Male</v>
      </c>
      <c r="D69" t="str">
        <f t="shared" si="3"/>
        <v>45-54</v>
      </c>
      <c r="E69" t="str">
        <f>HeartData[[#This Row],[cp]]</f>
        <v>non-anginal</v>
      </c>
      <c r="F69" t="str">
        <f>IF(HeartData[[#This Row],[num]]&gt;0, "Diseased", "Healthy")</f>
        <v>Healthy</v>
      </c>
      <c r="G69">
        <f>IF(HeartData[[#This Row],[chol]]&gt;$P$3, 1, 0)</f>
        <v>1</v>
      </c>
      <c r="H69">
        <f>IF(HeartData[[#This Row],[trestbps]]&gt;$P$4, 1, 0)</f>
        <v>1</v>
      </c>
      <c r="I69">
        <f>IF(HeartData[[#This Row],[oldpeak]]&gt;$P$5,1,0)</f>
        <v>1</v>
      </c>
      <c r="J69">
        <f>IF(HeartData[[#This Row],[exang]]="TRUE",1,0)</f>
        <v>0</v>
      </c>
      <c r="K69">
        <f>IF(HeartData[[#This Row],[fbs]]="TRUE",1,0)</f>
        <v>0</v>
      </c>
      <c r="L69">
        <f>IF(HeartData[[#This Row],[ca]]&gt;0,1,0)</f>
        <v>0</v>
      </c>
      <c r="M69">
        <f t="shared" si="4"/>
        <v>3</v>
      </c>
      <c r="N69">
        <f t="shared" si="5"/>
        <v>0</v>
      </c>
    </row>
    <row r="70" spans="1:14" x14ac:dyDescent="0.3">
      <c r="A70">
        <f>HeartData[[#This Row],[id]]</f>
        <v>69</v>
      </c>
      <c r="B70" s="4">
        <f>HeartData[[#This Row],[age]]</f>
        <v>59</v>
      </c>
      <c r="C70" t="str">
        <f>HeartData[[#This Row],[sex]]</f>
        <v>Male</v>
      </c>
      <c r="D70" t="str">
        <f t="shared" si="3"/>
        <v>55-64</v>
      </c>
      <c r="E70" t="str">
        <f>HeartData[[#This Row],[cp]]</f>
        <v>asymptomatic</v>
      </c>
      <c r="F70" t="str">
        <f>IF(HeartData[[#This Row],[num]]&gt;0, "Diseased", "Healthy")</f>
        <v>Diseased</v>
      </c>
      <c r="G70">
        <f>IF(HeartData[[#This Row],[chol]]&gt;$P$3, 1, 0)</f>
        <v>1</v>
      </c>
      <c r="H70">
        <f>IF(HeartData[[#This Row],[trestbps]]&gt;$P$4, 1, 0)</f>
        <v>1</v>
      </c>
      <c r="I70">
        <f>IF(HeartData[[#This Row],[oldpeak]]&gt;$P$5,1,0)</f>
        <v>1</v>
      </c>
      <c r="J70">
        <f>IF(HeartData[[#This Row],[exang]]="TRUE",1,0)</f>
        <v>1</v>
      </c>
      <c r="K70">
        <f>IF(HeartData[[#This Row],[fbs]]="TRUE",1,0)</f>
        <v>0</v>
      </c>
      <c r="L70">
        <f>IF(HeartData[[#This Row],[ca]]&gt;0,1,0)</f>
        <v>0</v>
      </c>
      <c r="M70">
        <f t="shared" si="4"/>
        <v>4</v>
      </c>
      <c r="N70">
        <f t="shared" si="5"/>
        <v>1</v>
      </c>
    </row>
    <row r="71" spans="1:14" x14ac:dyDescent="0.3">
      <c r="A71">
        <f>HeartData[[#This Row],[id]]</f>
        <v>70</v>
      </c>
      <c r="B71" s="4">
        <f>HeartData[[#This Row],[age]]</f>
        <v>46</v>
      </c>
      <c r="C71" t="str">
        <f>HeartData[[#This Row],[sex]]</f>
        <v>Male</v>
      </c>
      <c r="D71" t="str">
        <f t="shared" si="3"/>
        <v>45-54</v>
      </c>
      <c r="E71" t="str">
        <f>HeartData[[#This Row],[cp]]</f>
        <v>non-anginal</v>
      </c>
      <c r="F71" t="str">
        <f>IF(HeartData[[#This Row],[num]]&gt;0, "Diseased", "Healthy")</f>
        <v>Diseased</v>
      </c>
      <c r="G71">
        <f>IF(HeartData[[#This Row],[chol]]&gt;$P$3, 1, 0)</f>
        <v>1</v>
      </c>
      <c r="H71">
        <f>IF(HeartData[[#This Row],[trestbps]]&gt;$P$4, 1, 0)</f>
        <v>1</v>
      </c>
      <c r="I71">
        <f>IF(HeartData[[#This Row],[oldpeak]]&gt;$P$5,1,0)</f>
        <v>1</v>
      </c>
      <c r="J71">
        <f>IF(HeartData[[#This Row],[exang]]="TRUE",1,0)</f>
        <v>0</v>
      </c>
      <c r="K71">
        <f>IF(HeartData[[#This Row],[fbs]]="TRUE",1,0)</f>
        <v>0</v>
      </c>
      <c r="L71">
        <f>IF(HeartData[[#This Row],[ca]]&gt;0,1,0)</f>
        <v>0</v>
      </c>
      <c r="M71">
        <f t="shared" si="4"/>
        <v>3</v>
      </c>
      <c r="N71">
        <f t="shared" si="5"/>
        <v>1</v>
      </c>
    </row>
    <row r="72" spans="1:14" x14ac:dyDescent="0.3">
      <c r="A72">
        <f>HeartData[[#This Row],[id]]</f>
        <v>71</v>
      </c>
      <c r="B72" s="4">
        <f>HeartData[[#This Row],[age]]</f>
        <v>65</v>
      </c>
      <c r="C72" t="str">
        <f>HeartData[[#This Row],[sex]]</f>
        <v>Female</v>
      </c>
      <c r="D72" t="str">
        <f t="shared" si="3"/>
        <v>65+</v>
      </c>
      <c r="E72" t="str">
        <f>HeartData[[#This Row],[cp]]</f>
        <v>non-anginal</v>
      </c>
      <c r="F72" t="str">
        <f>IF(HeartData[[#This Row],[num]]&gt;0, "Diseased", "Healthy")</f>
        <v>Healthy</v>
      </c>
      <c r="G72">
        <f>IF(HeartData[[#This Row],[chol]]&gt;$P$3, 1, 0)</f>
        <v>1</v>
      </c>
      <c r="H72">
        <f>IF(HeartData[[#This Row],[trestbps]]&gt;$P$4, 1, 0)</f>
        <v>1</v>
      </c>
      <c r="I72">
        <f>IF(HeartData[[#This Row],[oldpeak]]&gt;$P$5,1,0)</f>
        <v>1</v>
      </c>
      <c r="J72">
        <f>IF(HeartData[[#This Row],[exang]]="TRUE",1,0)</f>
        <v>0</v>
      </c>
      <c r="K72">
        <f>IF(HeartData[[#This Row],[fbs]]="TRUE",1,0)</f>
        <v>0</v>
      </c>
      <c r="L72">
        <f>IF(HeartData[[#This Row],[ca]]&gt;0,1,0)</f>
        <v>0</v>
      </c>
      <c r="M72">
        <f t="shared" si="4"/>
        <v>3</v>
      </c>
      <c r="N72">
        <f t="shared" si="5"/>
        <v>0</v>
      </c>
    </row>
    <row r="73" spans="1:14" x14ac:dyDescent="0.3">
      <c r="A73">
        <f>HeartData[[#This Row],[id]]</f>
        <v>72</v>
      </c>
      <c r="B73" s="4">
        <f>HeartData[[#This Row],[age]]</f>
        <v>67</v>
      </c>
      <c r="C73" t="str">
        <f>HeartData[[#This Row],[sex]]</f>
        <v>Male</v>
      </c>
      <c r="D73" t="str">
        <f t="shared" si="3"/>
        <v>65+</v>
      </c>
      <c r="E73" t="str">
        <f>HeartData[[#This Row],[cp]]</f>
        <v>asymptomatic</v>
      </c>
      <c r="F73" t="str">
        <f>IF(HeartData[[#This Row],[num]]&gt;0, "Diseased", "Healthy")</f>
        <v>Diseased</v>
      </c>
      <c r="G73">
        <f>IF(HeartData[[#This Row],[chol]]&gt;$P$3, 1, 0)</f>
        <v>1</v>
      </c>
      <c r="H73">
        <f>IF(HeartData[[#This Row],[trestbps]]&gt;$P$4, 1, 0)</f>
        <v>1</v>
      </c>
      <c r="I73">
        <f>IF(HeartData[[#This Row],[oldpeak]]&gt;$P$5,1,0)</f>
        <v>1</v>
      </c>
      <c r="J73">
        <f>IF(HeartData[[#This Row],[exang]]="TRUE",1,0)</f>
        <v>0</v>
      </c>
      <c r="K73">
        <f>IF(HeartData[[#This Row],[fbs]]="TRUE",1,0)</f>
        <v>1</v>
      </c>
      <c r="L73">
        <f>IF(HeartData[[#This Row],[ca]]&gt;0,1,0)</f>
        <v>1</v>
      </c>
      <c r="M73">
        <f t="shared" si="4"/>
        <v>5</v>
      </c>
      <c r="N73">
        <f t="shared" si="5"/>
        <v>1</v>
      </c>
    </row>
    <row r="74" spans="1:14" x14ac:dyDescent="0.3">
      <c r="A74">
        <f>HeartData[[#This Row],[id]]</f>
        <v>73</v>
      </c>
      <c r="B74" s="4">
        <f>HeartData[[#This Row],[age]]</f>
        <v>62</v>
      </c>
      <c r="C74" t="str">
        <f>HeartData[[#This Row],[sex]]</f>
        <v>Male</v>
      </c>
      <c r="D74" t="str">
        <f t="shared" si="3"/>
        <v>55-64</v>
      </c>
      <c r="E74" t="str">
        <f>HeartData[[#This Row],[cp]]</f>
        <v>asymptomatic</v>
      </c>
      <c r="F74" t="str">
        <f>IF(HeartData[[#This Row],[num]]&gt;0, "Diseased", "Healthy")</f>
        <v>Diseased</v>
      </c>
      <c r="G74">
        <f>IF(HeartData[[#This Row],[chol]]&gt;$P$3, 1, 0)</f>
        <v>1</v>
      </c>
      <c r="H74">
        <f>IF(HeartData[[#This Row],[trestbps]]&gt;$P$4, 1, 0)</f>
        <v>1</v>
      </c>
      <c r="I74">
        <f>IF(HeartData[[#This Row],[oldpeak]]&gt;$P$5,1,0)</f>
        <v>1</v>
      </c>
      <c r="J74">
        <f>IF(HeartData[[#This Row],[exang]]="TRUE",1,0)</f>
        <v>1</v>
      </c>
      <c r="K74">
        <f>IF(HeartData[[#This Row],[fbs]]="TRUE",1,0)</f>
        <v>0</v>
      </c>
      <c r="L74">
        <f>IF(HeartData[[#This Row],[ca]]&gt;0,1,0)</f>
        <v>1</v>
      </c>
      <c r="M74">
        <f t="shared" si="4"/>
        <v>5</v>
      </c>
      <c r="N74">
        <f t="shared" si="5"/>
        <v>1</v>
      </c>
    </row>
    <row r="75" spans="1:14" x14ac:dyDescent="0.3">
      <c r="A75">
        <f>HeartData[[#This Row],[id]]</f>
        <v>74</v>
      </c>
      <c r="B75" s="4">
        <f>HeartData[[#This Row],[age]]</f>
        <v>65</v>
      </c>
      <c r="C75" t="str">
        <f>HeartData[[#This Row],[sex]]</f>
        <v>Male</v>
      </c>
      <c r="D75" t="str">
        <f t="shared" si="3"/>
        <v>65+</v>
      </c>
      <c r="E75" t="str">
        <f>HeartData[[#This Row],[cp]]</f>
        <v>asymptomatic</v>
      </c>
      <c r="F75" t="str">
        <f>IF(HeartData[[#This Row],[num]]&gt;0, "Diseased", "Healthy")</f>
        <v>Diseased</v>
      </c>
      <c r="G75">
        <f>IF(HeartData[[#This Row],[chol]]&gt;$P$3, 1, 0)</f>
        <v>1</v>
      </c>
      <c r="H75">
        <f>IF(HeartData[[#This Row],[trestbps]]&gt;$P$4, 1, 0)</f>
        <v>1</v>
      </c>
      <c r="I75">
        <f>IF(HeartData[[#This Row],[oldpeak]]&gt;$P$5,1,0)</f>
        <v>1</v>
      </c>
      <c r="J75">
        <f>IF(HeartData[[#This Row],[exang]]="TRUE",1,0)</f>
        <v>0</v>
      </c>
      <c r="K75">
        <f>IF(HeartData[[#This Row],[fbs]]="TRUE",1,0)</f>
        <v>0</v>
      </c>
      <c r="L75">
        <f>IF(HeartData[[#This Row],[ca]]&gt;0,1,0)</f>
        <v>1</v>
      </c>
      <c r="M75">
        <f t="shared" si="4"/>
        <v>4</v>
      </c>
      <c r="N75">
        <f t="shared" si="5"/>
        <v>1</v>
      </c>
    </row>
    <row r="76" spans="1:14" x14ac:dyDescent="0.3">
      <c r="A76">
        <f>HeartData[[#This Row],[id]]</f>
        <v>75</v>
      </c>
      <c r="B76" s="4">
        <f>HeartData[[#This Row],[age]]</f>
        <v>44</v>
      </c>
      <c r="C76" t="str">
        <f>HeartData[[#This Row],[sex]]</f>
        <v>Male</v>
      </c>
      <c r="D76" t="str">
        <f t="shared" si="3"/>
        <v>Under 45</v>
      </c>
      <c r="E76" t="str">
        <f>HeartData[[#This Row],[cp]]</f>
        <v>asymptomatic</v>
      </c>
      <c r="F76" t="str">
        <f>IF(HeartData[[#This Row],[num]]&gt;0, "Diseased", "Healthy")</f>
        <v>Diseased</v>
      </c>
      <c r="G76">
        <f>IF(HeartData[[#This Row],[chol]]&gt;$P$3, 1, 0)</f>
        <v>1</v>
      </c>
      <c r="H76">
        <f>IF(HeartData[[#This Row],[trestbps]]&gt;$P$4, 1, 0)</f>
        <v>1</v>
      </c>
      <c r="I76">
        <f>IF(HeartData[[#This Row],[oldpeak]]&gt;$P$5,1,0)</f>
        <v>0</v>
      </c>
      <c r="J76">
        <f>IF(HeartData[[#This Row],[exang]]="TRUE",1,0)</f>
        <v>0</v>
      </c>
      <c r="K76">
        <f>IF(HeartData[[#This Row],[fbs]]="TRUE",1,0)</f>
        <v>0</v>
      </c>
      <c r="L76">
        <f>IF(HeartData[[#This Row],[ca]]&gt;0,1,0)</f>
        <v>1</v>
      </c>
      <c r="M76">
        <f t="shared" si="4"/>
        <v>3</v>
      </c>
      <c r="N76">
        <f t="shared" si="5"/>
        <v>1</v>
      </c>
    </row>
    <row r="77" spans="1:14" x14ac:dyDescent="0.3">
      <c r="A77">
        <f>HeartData[[#This Row],[id]]</f>
        <v>76</v>
      </c>
      <c r="B77" s="4">
        <f>HeartData[[#This Row],[age]]</f>
        <v>65</v>
      </c>
      <c r="C77" t="str">
        <f>HeartData[[#This Row],[sex]]</f>
        <v>Female</v>
      </c>
      <c r="D77" t="str">
        <f t="shared" si="3"/>
        <v>65+</v>
      </c>
      <c r="E77" t="str">
        <f>HeartData[[#This Row],[cp]]</f>
        <v>non-anginal</v>
      </c>
      <c r="F77" t="str">
        <f>IF(HeartData[[#This Row],[num]]&gt;0, "Diseased", "Healthy")</f>
        <v>Healthy</v>
      </c>
      <c r="G77">
        <f>IF(HeartData[[#This Row],[chol]]&gt;$P$3, 1, 0)</f>
        <v>1</v>
      </c>
      <c r="H77">
        <f>IF(HeartData[[#This Row],[trestbps]]&gt;$P$4, 1, 0)</f>
        <v>1</v>
      </c>
      <c r="I77">
        <f>IF(HeartData[[#This Row],[oldpeak]]&gt;$P$5,1,0)</f>
        <v>1</v>
      </c>
      <c r="J77">
        <f>IF(HeartData[[#This Row],[exang]]="TRUE",1,0)</f>
        <v>0</v>
      </c>
      <c r="K77">
        <f>IF(HeartData[[#This Row],[fbs]]="TRUE",1,0)</f>
        <v>0</v>
      </c>
      <c r="L77">
        <f>IF(HeartData[[#This Row],[ca]]&gt;0,1,0)</f>
        <v>0</v>
      </c>
      <c r="M77">
        <f t="shared" si="4"/>
        <v>3</v>
      </c>
      <c r="N77">
        <f t="shared" si="5"/>
        <v>0</v>
      </c>
    </row>
    <row r="78" spans="1:14" x14ac:dyDescent="0.3">
      <c r="A78">
        <f>HeartData[[#This Row],[id]]</f>
        <v>77</v>
      </c>
      <c r="B78" s="4">
        <f>HeartData[[#This Row],[age]]</f>
        <v>60</v>
      </c>
      <c r="C78" t="str">
        <f>HeartData[[#This Row],[sex]]</f>
        <v>Male</v>
      </c>
      <c r="D78" t="str">
        <f t="shared" si="3"/>
        <v>55-64</v>
      </c>
      <c r="E78" t="str">
        <f>HeartData[[#This Row],[cp]]</f>
        <v>asymptomatic</v>
      </c>
      <c r="F78" t="str">
        <f>IF(HeartData[[#This Row],[num]]&gt;0, "Diseased", "Healthy")</f>
        <v>Diseased</v>
      </c>
      <c r="G78">
        <f>IF(HeartData[[#This Row],[chol]]&gt;$P$3, 1, 0)</f>
        <v>1</v>
      </c>
      <c r="H78">
        <f>IF(HeartData[[#This Row],[trestbps]]&gt;$P$4, 1, 0)</f>
        <v>1</v>
      </c>
      <c r="I78">
        <f>IF(HeartData[[#This Row],[oldpeak]]&gt;$P$5,1,0)</f>
        <v>1</v>
      </c>
      <c r="J78">
        <f>IF(HeartData[[#This Row],[exang]]="TRUE",1,0)</f>
        <v>1</v>
      </c>
      <c r="K78">
        <f>IF(HeartData[[#This Row],[fbs]]="TRUE",1,0)</f>
        <v>0</v>
      </c>
      <c r="L78">
        <f>IF(HeartData[[#This Row],[ca]]&gt;0,1,0)</f>
        <v>1</v>
      </c>
      <c r="M78">
        <f t="shared" si="4"/>
        <v>5</v>
      </c>
      <c r="N78">
        <f t="shared" si="5"/>
        <v>1</v>
      </c>
    </row>
    <row r="79" spans="1:14" x14ac:dyDescent="0.3">
      <c r="A79">
        <f>HeartData[[#This Row],[id]]</f>
        <v>78</v>
      </c>
      <c r="B79" s="4">
        <f>HeartData[[#This Row],[age]]</f>
        <v>51</v>
      </c>
      <c r="C79" t="str">
        <f>HeartData[[#This Row],[sex]]</f>
        <v>Female</v>
      </c>
      <c r="D79" t="str">
        <f t="shared" si="3"/>
        <v>45-54</v>
      </c>
      <c r="E79" t="str">
        <f>HeartData[[#This Row],[cp]]</f>
        <v>non-anginal</v>
      </c>
      <c r="F79" t="str">
        <f>IF(HeartData[[#This Row],[num]]&gt;0, "Diseased", "Healthy")</f>
        <v>Healthy</v>
      </c>
      <c r="G79">
        <f>IF(HeartData[[#This Row],[chol]]&gt;$P$3, 1, 0)</f>
        <v>1</v>
      </c>
      <c r="H79">
        <f>IF(HeartData[[#This Row],[trestbps]]&gt;$P$4, 1, 0)</f>
        <v>1</v>
      </c>
      <c r="I79">
        <f>IF(HeartData[[#This Row],[oldpeak]]&gt;$P$5,1,0)</f>
        <v>1</v>
      </c>
      <c r="J79">
        <f>IF(HeartData[[#This Row],[exang]]="TRUE",1,0)</f>
        <v>0</v>
      </c>
      <c r="K79">
        <f>IF(HeartData[[#This Row],[fbs]]="TRUE",1,0)</f>
        <v>0</v>
      </c>
      <c r="L79">
        <f>IF(HeartData[[#This Row],[ca]]&gt;0,1,0)</f>
        <v>1</v>
      </c>
      <c r="M79">
        <f t="shared" si="4"/>
        <v>4</v>
      </c>
      <c r="N79">
        <f t="shared" si="5"/>
        <v>0</v>
      </c>
    </row>
    <row r="80" spans="1:14" x14ac:dyDescent="0.3">
      <c r="A80">
        <f>HeartData[[#This Row],[id]]</f>
        <v>79</v>
      </c>
      <c r="B80" s="4">
        <f>HeartData[[#This Row],[age]]</f>
        <v>48</v>
      </c>
      <c r="C80" t="str">
        <f>HeartData[[#This Row],[sex]]</f>
        <v>Male</v>
      </c>
      <c r="D80" t="str">
        <f t="shared" si="3"/>
        <v>45-54</v>
      </c>
      <c r="E80" t="str">
        <f>HeartData[[#This Row],[cp]]</f>
        <v>atypical angina</v>
      </c>
      <c r="F80" t="str">
        <f>IF(HeartData[[#This Row],[num]]&gt;0, "Diseased", "Healthy")</f>
        <v>Healthy</v>
      </c>
      <c r="G80">
        <f>IF(HeartData[[#This Row],[chol]]&gt;$P$3, 1, 0)</f>
        <v>1</v>
      </c>
      <c r="H80">
        <f>IF(HeartData[[#This Row],[trestbps]]&gt;$P$4, 1, 0)</f>
        <v>1</v>
      </c>
      <c r="I80">
        <f>IF(HeartData[[#This Row],[oldpeak]]&gt;$P$5,1,0)</f>
        <v>1</v>
      </c>
      <c r="J80">
        <f>IF(HeartData[[#This Row],[exang]]="TRUE",1,0)</f>
        <v>0</v>
      </c>
      <c r="K80">
        <f>IF(HeartData[[#This Row],[fbs]]="TRUE",1,0)</f>
        <v>0</v>
      </c>
      <c r="L80">
        <f>IF(HeartData[[#This Row],[ca]]&gt;0,1,0)</f>
        <v>0</v>
      </c>
      <c r="M80">
        <f t="shared" si="4"/>
        <v>3</v>
      </c>
      <c r="N80">
        <f t="shared" si="5"/>
        <v>0</v>
      </c>
    </row>
    <row r="81" spans="1:14" x14ac:dyDescent="0.3">
      <c r="A81">
        <f>HeartData[[#This Row],[id]]</f>
        <v>80</v>
      </c>
      <c r="B81" s="4">
        <f>HeartData[[#This Row],[age]]</f>
        <v>58</v>
      </c>
      <c r="C81" t="str">
        <f>HeartData[[#This Row],[sex]]</f>
        <v>Male</v>
      </c>
      <c r="D81" t="str">
        <f t="shared" si="3"/>
        <v>55-64</v>
      </c>
      <c r="E81" t="str">
        <f>HeartData[[#This Row],[cp]]</f>
        <v>asymptomatic</v>
      </c>
      <c r="F81" t="str">
        <f>IF(HeartData[[#This Row],[num]]&gt;0, "Diseased", "Healthy")</f>
        <v>Diseased</v>
      </c>
      <c r="G81">
        <f>IF(HeartData[[#This Row],[chol]]&gt;$P$3, 1, 0)</f>
        <v>1</v>
      </c>
      <c r="H81">
        <f>IF(HeartData[[#This Row],[trestbps]]&gt;$P$4, 1, 0)</f>
        <v>1</v>
      </c>
      <c r="I81">
        <f>IF(HeartData[[#This Row],[oldpeak]]&gt;$P$5,1,0)</f>
        <v>1</v>
      </c>
      <c r="J81">
        <f>IF(HeartData[[#This Row],[exang]]="TRUE",1,0)</f>
        <v>1</v>
      </c>
      <c r="K81">
        <f>IF(HeartData[[#This Row],[fbs]]="TRUE",1,0)</f>
        <v>0</v>
      </c>
      <c r="L81">
        <f>IF(HeartData[[#This Row],[ca]]&gt;0,1,0)</f>
        <v>0</v>
      </c>
      <c r="M81">
        <f t="shared" si="4"/>
        <v>4</v>
      </c>
      <c r="N81">
        <f t="shared" si="5"/>
        <v>1</v>
      </c>
    </row>
    <row r="82" spans="1:14" x14ac:dyDescent="0.3">
      <c r="A82">
        <f>HeartData[[#This Row],[id]]</f>
        <v>81</v>
      </c>
      <c r="B82" s="4">
        <f>HeartData[[#This Row],[age]]</f>
        <v>45</v>
      </c>
      <c r="C82" t="str">
        <f>HeartData[[#This Row],[sex]]</f>
        <v>Male</v>
      </c>
      <c r="D82" t="str">
        <f t="shared" si="3"/>
        <v>45-54</v>
      </c>
      <c r="E82" t="str">
        <f>HeartData[[#This Row],[cp]]</f>
        <v>asymptomatic</v>
      </c>
      <c r="F82" t="str">
        <f>IF(HeartData[[#This Row],[num]]&gt;0, "Diseased", "Healthy")</f>
        <v>Healthy</v>
      </c>
      <c r="G82">
        <f>IF(HeartData[[#This Row],[chol]]&gt;$P$3, 1, 0)</f>
        <v>1</v>
      </c>
      <c r="H82">
        <f>IF(HeartData[[#This Row],[trestbps]]&gt;$P$4, 1, 0)</f>
        <v>1</v>
      </c>
      <c r="I82">
        <f>IF(HeartData[[#This Row],[oldpeak]]&gt;$P$5,1,0)</f>
        <v>1</v>
      </c>
      <c r="J82">
        <f>IF(HeartData[[#This Row],[exang]]="TRUE",1,0)</f>
        <v>1</v>
      </c>
      <c r="K82">
        <f>IF(HeartData[[#This Row],[fbs]]="TRUE",1,0)</f>
        <v>0</v>
      </c>
      <c r="L82">
        <f>IF(HeartData[[#This Row],[ca]]&gt;0,1,0)</f>
        <v>0</v>
      </c>
      <c r="M82">
        <f t="shared" si="4"/>
        <v>4</v>
      </c>
      <c r="N82">
        <f t="shared" si="5"/>
        <v>0</v>
      </c>
    </row>
    <row r="83" spans="1:14" x14ac:dyDescent="0.3">
      <c r="A83">
        <f>HeartData[[#This Row],[id]]</f>
        <v>82</v>
      </c>
      <c r="B83" s="4">
        <f>HeartData[[#This Row],[age]]</f>
        <v>53</v>
      </c>
      <c r="C83" t="str">
        <f>HeartData[[#This Row],[sex]]</f>
        <v>Female</v>
      </c>
      <c r="D83" t="str">
        <f t="shared" si="3"/>
        <v>45-54</v>
      </c>
      <c r="E83" t="str">
        <f>HeartData[[#This Row],[cp]]</f>
        <v>asymptomatic</v>
      </c>
      <c r="F83" t="str">
        <f>IF(HeartData[[#This Row],[num]]&gt;0, "Diseased", "Healthy")</f>
        <v>Healthy</v>
      </c>
      <c r="G83">
        <f>IF(HeartData[[#This Row],[chol]]&gt;$P$3, 1, 0)</f>
        <v>1</v>
      </c>
      <c r="H83">
        <f>IF(HeartData[[#This Row],[trestbps]]&gt;$P$4, 1, 0)</f>
        <v>1</v>
      </c>
      <c r="I83">
        <f>IF(HeartData[[#This Row],[oldpeak]]&gt;$P$5,1,0)</f>
        <v>1</v>
      </c>
      <c r="J83">
        <f>IF(HeartData[[#This Row],[exang]]="TRUE",1,0)</f>
        <v>0</v>
      </c>
      <c r="K83">
        <f>IF(HeartData[[#This Row],[fbs]]="TRUE",1,0)</f>
        <v>0</v>
      </c>
      <c r="L83">
        <f>IF(HeartData[[#This Row],[ca]]&gt;0,1,0)</f>
        <v>0</v>
      </c>
      <c r="M83">
        <f t="shared" si="4"/>
        <v>3</v>
      </c>
      <c r="N83">
        <f t="shared" si="5"/>
        <v>0</v>
      </c>
    </row>
    <row r="84" spans="1:14" x14ac:dyDescent="0.3">
      <c r="A84">
        <f>HeartData[[#This Row],[id]]</f>
        <v>83</v>
      </c>
      <c r="B84" s="4">
        <f>HeartData[[#This Row],[age]]</f>
        <v>39</v>
      </c>
      <c r="C84" t="str">
        <f>HeartData[[#This Row],[sex]]</f>
        <v>Male</v>
      </c>
      <c r="D84" t="str">
        <f t="shared" si="3"/>
        <v>Under 45</v>
      </c>
      <c r="E84" t="str">
        <f>HeartData[[#This Row],[cp]]</f>
        <v>non-anginal</v>
      </c>
      <c r="F84" t="str">
        <f>IF(HeartData[[#This Row],[num]]&gt;0, "Diseased", "Healthy")</f>
        <v>Healthy</v>
      </c>
      <c r="G84">
        <f>IF(HeartData[[#This Row],[chol]]&gt;$P$3, 1, 0)</f>
        <v>1</v>
      </c>
      <c r="H84">
        <f>IF(HeartData[[#This Row],[trestbps]]&gt;$P$4, 1, 0)</f>
        <v>1</v>
      </c>
      <c r="I84">
        <f>IF(HeartData[[#This Row],[oldpeak]]&gt;$P$5,1,0)</f>
        <v>0</v>
      </c>
      <c r="J84">
        <f>IF(HeartData[[#This Row],[exang]]="TRUE",1,0)</f>
        <v>0</v>
      </c>
      <c r="K84">
        <f>IF(HeartData[[#This Row],[fbs]]="TRUE",1,0)</f>
        <v>0</v>
      </c>
      <c r="L84">
        <f>IF(HeartData[[#This Row],[ca]]&gt;0,1,0)</f>
        <v>0</v>
      </c>
      <c r="M84">
        <f t="shared" si="4"/>
        <v>2</v>
      </c>
      <c r="N84">
        <f t="shared" si="5"/>
        <v>0</v>
      </c>
    </row>
    <row r="85" spans="1:14" x14ac:dyDescent="0.3">
      <c r="A85">
        <f>HeartData[[#This Row],[id]]</f>
        <v>84</v>
      </c>
      <c r="B85" s="4">
        <f>HeartData[[#This Row],[age]]</f>
        <v>68</v>
      </c>
      <c r="C85" t="str">
        <f>HeartData[[#This Row],[sex]]</f>
        <v>Male</v>
      </c>
      <c r="D85" t="str">
        <f t="shared" si="3"/>
        <v>65+</v>
      </c>
      <c r="E85" t="str">
        <f>HeartData[[#This Row],[cp]]</f>
        <v>non-anginal</v>
      </c>
      <c r="F85" t="str">
        <f>IF(HeartData[[#This Row],[num]]&gt;0, "Diseased", "Healthy")</f>
        <v>Diseased</v>
      </c>
      <c r="G85">
        <f>IF(HeartData[[#This Row],[chol]]&gt;$P$3, 1, 0)</f>
        <v>1</v>
      </c>
      <c r="H85">
        <f>IF(HeartData[[#This Row],[trestbps]]&gt;$P$4, 1, 0)</f>
        <v>1</v>
      </c>
      <c r="I85">
        <f>IF(HeartData[[#This Row],[oldpeak]]&gt;$P$5,1,0)</f>
        <v>1</v>
      </c>
      <c r="J85">
        <f>IF(HeartData[[#This Row],[exang]]="TRUE",1,0)</f>
        <v>1</v>
      </c>
      <c r="K85">
        <f>IF(HeartData[[#This Row],[fbs]]="TRUE",1,0)</f>
        <v>1</v>
      </c>
      <c r="L85">
        <f>IF(HeartData[[#This Row],[ca]]&gt;0,1,0)</f>
        <v>0</v>
      </c>
      <c r="M85">
        <f t="shared" si="4"/>
        <v>5</v>
      </c>
      <c r="N85">
        <f t="shared" si="5"/>
        <v>1</v>
      </c>
    </row>
    <row r="86" spans="1:14" x14ac:dyDescent="0.3">
      <c r="A86">
        <f>HeartData[[#This Row],[id]]</f>
        <v>85</v>
      </c>
      <c r="B86" s="4">
        <f>HeartData[[#This Row],[age]]</f>
        <v>52</v>
      </c>
      <c r="C86" t="str">
        <f>HeartData[[#This Row],[sex]]</f>
        <v>Male</v>
      </c>
      <c r="D86" t="str">
        <f t="shared" si="3"/>
        <v>45-54</v>
      </c>
      <c r="E86" t="str">
        <f>HeartData[[#This Row],[cp]]</f>
        <v>atypical angina</v>
      </c>
      <c r="F86" t="str">
        <f>IF(HeartData[[#This Row],[num]]&gt;0, "Diseased", "Healthy")</f>
        <v>Healthy</v>
      </c>
      <c r="G86">
        <f>IF(HeartData[[#This Row],[chol]]&gt;$P$3, 1, 0)</f>
        <v>1</v>
      </c>
      <c r="H86">
        <f>IF(HeartData[[#This Row],[trestbps]]&gt;$P$4, 1, 0)</f>
        <v>1</v>
      </c>
      <c r="I86">
        <f>IF(HeartData[[#This Row],[oldpeak]]&gt;$P$5,1,0)</f>
        <v>1</v>
      </c>
      <c r="J86">
        <f>IF(HeartData[[#This Row],[exang]]="TRUE",1,0)</f>
        <v>0</v>
      </c>
      <c r="K86">
        <f>IF(HeartData[[#This Row],[fbs]]="TRUE",1,0)</f>
        <v>0</v>
      </c>
      <c r="L86">
        <f>IF(HeartData[[#This Row],[ca]]&gt;0,1,0)</f>
        <v>0</v>
      </c>
      <c r="M86">
        <f t="shared" si="4"/>
        <v>3</v>
      </c>
      <c r="N86">
        <f t="shared" si="5"/>
        <v>0</v>
      </c>
    </row>
    <row r="87" spans="1:14" x14ac:dyDescent="0.3">
      <c r="A87">
        <f>HeartData[[#This Row],[id]]</f>
        <v>86</v>
      </c>
      <c r="B87" s="4">
        <f>HeartData[[#This Row],[age]]</f>
        <v>44</v>
      </c>
      <c r="C87" t="str">
        <f>HeartData[[#This Row],[sex]]</f>
        <v>Male</v>
      </c>
      <c r="D87" t="str">
        <f t="shared" si="3"/>
        <v>Under 45</v>
      </c>
      <c r="E87" t="str">
        <f>HeartData[[#This Row],[cp]]</f>
        <v>non-anginal</v>
      </c>
      <c r="F87" t="str">
        <f>IF(HeartData[[#This Row],[num]]&gt;0, "Diseased", "Healthy")</f>
        <v>Healthy</v>
      </c>
      <c r="G87">
        <f>IF(HeartData[[#This Row],[chol]]&gt;$P$3, 1, 0)</f>
        <v>1</v>
      </c>
      <c r="H87">
        <f>IF(HeartData[[#This Row],[trestbps]]&gt;$P$4, 1, 0)</f>
        <v>1</v>
      </c>
      <c r="I87">
        <f>IF(HeartData[[#This Row],[oldpeak]]&gt;$P$5,1,0)</f>
        <v>0</v>
      </c>
      <c r="J87">
        <f>IF(HeartData[[#This Row],[exang]]="TRUE",1,0)</f>
        <v>0</v>
      </c>
      <c r="K87">
        <f>IF(HeartData[[#This Row],[fbs]]="TRUE",1,0)</f>
        <v>0</v>
      </c>
      <c r="L87">
        <f>IF(HeartData[[#This Row],[ca]]&gt;0,1,0)</f>
        <v>0</v>
      </c>
      <c r="M87">
        <f t="shared" si="4"/>
        <v>2</v>
      </c>
      <c r="N87">
        <f t="shared" si="5"/>
        <v>0</v>
      </c>
    </row>
    <row r="88" spans="1:14" x14ac:dyDescent="0.3">
      <c r="A88">
        <f>HeartData[[#This Row],[id]]</f>
        <v>87</v>
      </c>
      <c r="B88" s="4">
        <f>HeartData[[#This Row],[age]]</f>
        <v>47</v>
      </c>
      <c r="C88" t="str">
        <f>HeartData[[#This Row],[sex]]</f>
        <v>Male</v>
      </c>
      <c r="D88" t="str">
        <f t="shared" si="3"/>
        <v>45-54</v>
      </c>
      <c r="E88" t="str">
        <f>HeartData[[#This Row],[cp]]</f>
        <v>non-anginal</v>
      </c>
      <c r="F88" t="str">
        <f>IF(HeartData[[#This Row],[num]]&gt;0, "Diseased", "Healthy")</f>
        <v>Healthy</v>
      </c>
      <c r="G88">
        <f>IF(HeartData[[#This Row],[chol]]&gt;$P$3, 1, 0)</f>
        <v>1</v>
      </c>
      <c r="H88">
        <f>IF(HeartData[[#This Row],[trestbps]]&gt;$P$4, 1, 0)</f>
        <v>1</v>
      </c>
      <c r="I88">
        <f>IF(HeartData[[#This Row],[oldpeak]]&gt;$P$5,1,0)</f>
        <v>0</v>
      </c>
      <c r="J88">
        <f>IF(HeartData[[#This Row],[exang]]="TRUE",1,0)</f>
        <v>0</v>
      </c>
      <c r="K88">
        <f>IF(HeartData[[#This Row],[fbs]]="TRUE",1,0)</f>
        <v>0</v>
      </c>
      <c r="L88">
        <f>IF(HeartData[[#This Row],[ca]]&gt;0,1,0)</f>
        <v>0</v>
      </c>
      <c r="M88">
        <f t="shared" si="4"/>
        <v>2</v>
      </c>
      <c r="N88">
        <f t="shared" si="5"/>
        <v>0</v>
      </c>
    </row>
    <row r="89" spans="1:14" x14ac:dyDescent="0.3">
      <c r="A89">
        <f>HeartData[[#This Row],[id]]</f>
        <v>88</v>
      </c>
      <c r="B89" s="4">
        <f>HeartData[[#This Row],[age]]</f>
        <v>53</v>
      </c>
      <c r="C89" t="str">
        <f>HeartData[[#This Row],[sex]]</f>
        <v>Female</v>
      </c>
      <c r="D89" t="str">
        <f t="shared" si="3"/>
        <v>45-54</v>
      </c>
      <c r="E89" t="str">
        <f>HeartData[[#This Row],[cp]]</f>
        <v>non-anginal</v>
      </c>
      <c r="F89" t="str">
        <f>IF(HeartData[[#This Row],[num]]&gt;0, "Diseased", "Healthy")</f>
        <v>Healthy</v>
      </c>
      <c r="G89">
        <f>IF(HeartData[[#This Row],[chol]]&gt;$P$3, 1, 0)</f>
        <v>1</v>
      </c>
      <c r="H89">
        <f>IF(HeartData[[#This Row],[trestbps]]&gt;$P$4, 1, 0)</f>
        <v>1</v>
      </c>
      <c r="I89">
        <f>IF(HeartData[[#This Row],[oldpeak]]&gt;$P$5,1,0)</f>
        <v>0</v>
      </c>
      <c r="J89">
        <f>IF(HeartData[[#This Row],[exang]]="TRUE",1,0)</f>
        <v>0</v>
      </c>
      <c r="K89">
        <f>IF(HeartData[[#This Row],[fbs]]="TRUE",1,0)</f>
        <v>0</v>
      </c>
      <c r="L89">
        <f>IF(HeartData[[#This Row],[ca]]&gt;0,1,0)</f>
        <v>0</v>
      </c>
      <c r="M89">
        <f t="shared" si="4"/>
        <v>2</v>
      </c>
      <c r="N89">
        <f t="shared" si="5"/>
        <v>0</v>
      </c>
    </row>
    <row r="90" spans="1:14" x14ac:dyDescent="0.3">
      <c r="A90">
        <f>HeartData[[#This Row],[id]]</f>
        <v>89</v>
      </c>
      <c r="B90" s="4">
        <f>HeartData[[#This Row],[age]]</f>
        <v>53</v>
      </c>
      <c r="C90" t="str">
        <f>HeartData[[#This Row],[sex]]</f>
        <v>Female</v>
      </c>
      <c r="D90" t="str">
        <f t="shared" si="3"/>
        <v>45-54</v>
      </c>
      <c r="E90" t="str">
        <f>HeartData[[#This Row],[cp]]</f>
        <v>asymptomatic</v>
      </c>
      <c r="F90" t="str">
        <f>IF(HeartData[[#This Row],[num]]&gt;0, "Diseased", "Healthy")</f>
        <v>Healthy</v>
      </c>
      <c r="G90">
        <f>IF(HeartData[[#This Row],[chol]]&gt;$P$3, 1, 0)</f>
        <v>1</v>
      </c>
      <c r="H90">
        <f>IF(HeartData[[#This Row],[trestbps]]&gt;$P$4, 1, 0)</f>
        <v>1</v>
      </c>
      <c r="I90">
        <f>IF(HeartData[[#This Row],[oldpeak]]&gt;$P$5,1,0)</f>
        <v>0</v>
      </c>
      <c r="J90">
        <f>IF(HeartData[[#This Row],[exang]]="TRUE",1,0)</f>
        <v>0</v>
      </c>
      <c r="K90">
        <f>IF(HeartData[[#This Row],[fbs]]="TRUE",1,0)</f>
        <v>0</v>
      </c>
      <c r="L90">
        <f>IF(HeartData[[#This Row],[ca]]&gt;0,1,0)</f>
        <v>0</v>
      </c>
      <c r="M90">
        <f t="shared" si="4"/>
        <v>2</v>
      </c>
      <c r="N90">
        <f t="shared" si="5"/>
        <v>0</v>
      </c>
    </row>
    <row r="91" spans="1:14" x14ac:dyDescent="0.3">
      <c r="A91">
        <f>HeartData[[#This Row],[id]]</f>
        <v>90</v>
      </c>
      <c r="B91" s="4">
        <f>HeartData[[#This Row],[age]]</f>
        <v>51</v>
      </c>
      <c r="C91" t="str">
        <f>HeartData[[#This Row],[sex]]</f>
        <v>Female</v>
      </c>
      <c r="D91" t="str">
        <f t="shared" si="3"/>
        <v>45-54</v>
      </c>
      <c r="E91" t="str">
        <f>HeartData[[#This Row],[cp]]</f>
        <v>non-anginal</v>
      </c>
      <c r="F91" t="str">
        <f>IF(HeartData[[#This Row],[num]]&gt;0, "Diseased", "Healthy")</f>
        <v>Healthy</v>
      </c>
      <c r="G91">
        <f>IF(HeartData[[#This Row],[chol]]&gt;$P$3, 1, 0)</f>
        <v>1</v>
      </c>
      <c r="H91">
        <f>IF(HeartData[[#This Row],[trestbps]]&gt;$P$4, 1, 0)</f>
        <v>1</v>
      </c>
      <c r="I91">
        <f>IF(HeartData[[#This Row],[oldpeak]]&gt;$P$5,1,0)</f>
        <v>1</v>
      </c>
      <c r="J91">
        <f>IF(HeartData[[#This Row],[exang]]="TRUE",1,0)</f>
        <v>0</v>
      </c>
      <c r="K91">
        <f>IF(HeartData[[#This Row],[fbs]]="TRUE",1,0)</f>
        <v>0</v>
      </c>
      <c r="L91">
        <f>IF(HeartData[[#This Row],[ca]]&gt;0,1,0)</f>
        <v>0</v>
      </c>
      <c r="M91">
        <f t="shared" si="4"/>
        <v>3</v>
      </c>
      <c r="N91">
        <f t="shared" si="5"/>
        <v>0</v>
      </c>
    </row>
    <row r="92" spans="1:14" x14ac:dyDescent="0.3">
      <c r="A92">
        <f>HeartData[[#This Row],[id]]</f>
        <v>91</v>
      </c>
      <c r="B92" s="4">
        <f>HeartData[[#This Row],[age]]</f>
        <v>66</v>
      </c>
      <c r="C92" t="str">
        <f>HeartData[[#This Row],[sex]]</f>
        <v>Male</v>
      </c>
      <c r="D92" t="str">
        <f t="shared" si="3"/>
        <v>65+</v>
      </c>
      <c r="E92" t="str">
        <f>HeartData[[#This Row],[cp]]</f>
        <v>asymptomatic</v>
      </c>
      <c r="F92" t="str">
        <f>IF(HeartData[[#This Row],[num]]&gt;0, "Diseased", "Healthy")</f>
        <v>Healthy</v>
      </c>
      <c r="G92">
        <f>IF(HeartData[[#This Row],[chol]]&gt;$P$3, 1, 0)</f>
        <v>1</v>
      </c>
      <c r="H92">
        <f>IF(HeartData[[#This Row],[trestbps]]&gt;$P$4, 1, 0)</f>
        <v>1</v>
      </c>
      <c r="I92">
        <f>IF(HeartData[[#This Row],[oldpeak]]&gt;$P$5,1,0)</f>
        <v>1</v>
      </c>
      <c r="J92">
        <f>IF(HeartData[[#This Row],[exang]]="TRUE",1,0)</f>
        <v>0</v>
      </c>
      <c r="K92">
        <f>IF(HeartData[[#This Row],[fbs]]="TRUE",1,0)</f>
        <v>0</v>
      </c>
      <c r="L92">
        <f>IF(HeartData[[#This Row],[ca]]&gt;0,1,0)</f>
        <v>0</v>
      </c>
      <c r="M92">
        <f t="shared" si="4"/>
        <v>3</v>
      </c>
      <c r="N92">
        <f t="shared" si="5"/>
        <v>0</v>
      </c>
    </row>
    <row r="93" spans="1:14" x14ac:dyDescent="0.3">
      <c r="A93">
        <f>HeartData[[#This Row],[id]]</f>
        <v>92</v>
      </c>
      <c r="B93" s="4">
        <f>HeartData[[#This Row],[age]]</f>
        <v>62</v>
      </c>
      <c r="C93" t="str">
        <f>HeartData[[#This Row],[sex]]</f>
        <v>Female</v>
      </c>
      <c r="D93" t="str">
        <f t="shared" si="3"/>
        <v>55-64</v>
      </c>
      <c r="E93" t="str">
        <f>HeartData[[#This Row],[cp]]</f>
        <v>asymptomatic</v>
      </c>
      <c r="F93" t="str">
        <f>IF(HeartData[[#This Row],[num]]&gt;0, "Diseased", "Healthy")</f>
        <v>Diseased</v>
      </c>
      <c r="G93">
        <f>IF(HeartData[[#This Row],[chol]]&gt;$P$3, 1, 0)</f>
        <v>1</v>
      </c>
      <c r="H93">
        <f>IF(HeartData[[#This Row],[trestbps]]&gt;$P$4, 1, 0)</f>
        <v>1</v>
      </c>
      <c r="I93">
        <f>IF(HeartData[[#This Row],[oldpeak]]&gt;$P$5,1,0)</f>
        <v>1</v>
      </c>
      <c r="J93">
        <f>IF(HeartData[[#This Row],[exang]]="TRUE",1,0)</f>
        <v>0</v>
      </c>
      <c r="K93">
        <f>IF(HeartData[[#This Row],[fbs]]="TRUE",1,0)</f>
        <v>0</v>
      </c>
      <c r="L93">
        <f>IF(HeartData[[#This Row],[ca]]&gt;0,1,0)</f>
        <v>1</v>
      </c>
      <c r="M93">
        <f t="shared" si="4"/>
        <v>4</v>
      </c>
      <c r="N93">
        <f t="shared" si="5"/>
        <v>1</v>
      </c>
    </row>
    <row r="94" spans="1:14" x14ac:dyDescent="0.3">
      <c r="A94">
        <f>HeartData[[#This Row],[id]]</f>
        <v>93</v>
      </c>
      <c r="B94" s="4">
        <f>HeartData[[#This Row],[age]]</f>
        <v>62</v>
      </c>
      <c r="C94" t="str">
        <f>HeartData[[#This Row],[sex]]</f>
        <v>Male</v>
      </c>
      <c r="D94" t="str">
        <f t="shared" si="3"/>
        <v>55-64</v>
      </c>
      <c r="E94" t="str">
        <f>HeartData[[#This Row],[cp]]</f>
        <v>non-anginal</v>
      </c>
      <c r="F94" t="str">
        <f>IF(HeartData[[#This Row],[num]]&gt;0, "Diseased", "Healthy")</f>
        <v>Healthy</v>
      </c>
      <c r="G94">
        <f>IF(HeartData[[#This Row],[chol]]&gt;$P$3, 1, 0)</f>
        <v>1</v>
      </c>
      <c r="H94">
        <f>IF(HeartData[[#This Row],[trestbps]]&gt;$P$4, 1, 0)</f>
        <v>1</v>
      </c>
      <c r="I94">
        <f>IF(HeartData[[#This Row],[oldpeak]]&gt;$P$5,1,0)</f>
        <v>1</v>
      </c>
      <c r="J94">
        <f>IF(HeartData[[#This Row],[exang]]="TRUE",1,0)</f>
        <v>0</v>
      </c>
      <c r="K94">
        <f>IF(HeartData[[#This Row],[fbs]]="TRUE",1,0)</f>
        <v>0</v>
      </c>
      <c r="L94">
        <f>IF(HeartData[[#This Row],[ca]]&gt;0,1,0)</f>
        <v>1</v>
      </c>
      <c r="M94">
        <f t="shared" si="4"/>
        <v>4</v>
      </c>
      <c r="N94">
        <f t="shared" si="5"/>
        <v>0</v>
      </c>
    </row>
    <row r="95" spans="1:14" x14ac:dyDescent="0.3">
      <c r="A95">
        <f>HeartData[[#This Row],[id]]</f>
        <v>94</v>
      </c>
      <c r="B95" s="4">
        <f>HeartData[[#This Row],[age]]</f>
        <v>44</v>
      </c>
      <c r="C95" t="str">
        <f>HeartData[[#This Row],[sex]]</f>
        <v>Female</v>
      </c>
      <c r="D95" t="str">
        <f t="shared" si="3"/>
        <v>Under 45</v>
      </c>
      <c r="E95" t="str">
        <f>HeartData[[#This Row],[cp]]</f>
        <v>non-anginal</v>
      </c>
      <c r="F95" t="str">
        <f>IF(HeartData[[#This Row],[num]]&gt;0, "Diseased", "Healthy")</f>
        <v>Healthy</v>
      </c>
      <c r="G95">
        <f>IF(HeartData[[#This Row],[chol]]&gt;$P$3, 1, 0)</f>
        <v>1</v>
      </c>
      <c r="H95">
        <f>IF(HeartData[[#This Row],[trestbps]]&gt;$P$4, 1, 0)</f>
        <v>1</v>
      </c>
      <c r="I95">
        <f>IF(HeartData[[#This Row],[oldpeak]]&gt;$P$5,1,0)</f>
        <v>1</v>
      </c>
      <c r="J95">
        <f>IF(HeartData[[#This Row],[exang]]="TRUE",1,0)</f>
        <v>0</v>
      </c>
      <c r="K95">
        <f>IF(HeartData[[#This Row],[fbs]]="TRUE",1,0)</f>
        <v>0</v>
      </c>
      <c r="L95">
        <f>IF(HeartData[[#This Row],[ca]]&gt;0,1,0)</f>
        <v>0</v>
      </c>
      <c r="M95">
        <f t="shared" si="4"/>
        <v>3</v>
      </c>
      <c r="N95">
        <f t="shared" si="5"/>
        <v>0</v>
      </c>
    </row>
    <row r="96" spans="1:14" x14ac:dyDescent="0.3">
      <c r="A96">
        <f>HeartData[[#This Row],[id]]</f>
        <v>95</v>
      </c>
      <c r="B96" s="4">
        <f>HeartData[[#This Row],[age]]</f>
        <v>63</v>
      </c>
      <c r="C96" t="str">
        <f>HeartData[[#This Row],[sex]]</f>
        <v>Female</v>
      </c>
      <c r="D96" t="str">
        <f t="shared" si="3"/>
        <v>55-64</v>
      </c>
      <c r="E96" t="str">
        <f>HeartData[[#This Row],[cp]]</f>
        <v>non-anginal</v>
      </c>
      <c r="F96" t="str">
        <f>IF(HeartData[[#This Row],[num]]&gt;0, "Diseased", "Healthy")</f>
        <v>Healthy</v>
      </c>
      <c r="G96">
        <f>IF(HeartData[[#This Row],[chol]]&gt;$P$3, 1, 0)</f>
        <v>1</v>
      </c>
      <c r="H96">
        <f>IF(HeartData[[#This Row],[trestbps]]&gt;$P$4, 1, 0)</f>
        <v>1</v>
      </c>
      <c r="I96">
        <f>IF(HeartData[[#This Row],[oldpeak]]&gt;$P$5,1,0)</f>
        <v>0</v>
      </c>
      <c r="J96">
        <f>IF(HeartData[[#This Row],[exang]]="TRUE",1,0)</f>
        <v>0</v>
      </c>
      <c r="K96">
        <f>IF(HeartData[[#This Row],[fbs]]="TRUE",1,0)</f>
        <v>0</v>
      </c>
      <c r="L96">
        <f>IF(HeartData[[#This Row],[ca]]&gt;0,1,0)</f>
        <v>0</v>
      </c>
      <c r="M96">
        <f t="shared" si="4"/>
        <v>2</v>
      </c>
      <c r="N96">
        <f t="shared" si="5"/>
        <v>0</v>
      </c>
    </row>
    <row r="97" spans="1:14" x14ac:dyDescent="0.3">
      <c r="A97">
        <f>HeartData[[#This Row],[id]]</f>
        <v>96</v>
      </c>
      <c r="B97" s="4">
        <f>HeartData[[#This Row],[age]]</f>
        <v>52</v>
      </c>
      <c r="C97" t="str">
        <f>HeartData[[#This Row],[sex]]</f>
        <v>Male</v>
      </c>
      <c r="D97" t="str">
        <f t="shared" si="3"/>
        <v>45-54</v>
      </c>
      <c r="E97" t="str">
        <f>HeartData[[#This Row],[cp]]</f>
        <v>asymptomatic</v>
      </c>
      <c r="F97" t="str">
        <f>IF(HeartData[[#This Row],[num]]&gt;0, "Diseased", "Healthy")</f>
        <v>Diseased</v>
      </c>
      <c r="G97">
        <f>IF(HeartData[[#This Row],[chol]]&gt;$P$3, 1, 0)</f>
        <v>1</v>
      </c>
      <c r="H97">
        <f>IF(HeartData[[#This Row],[trestbps]]&gt;$P$4, 1, 0)</f>
        <v>1</v>
      </c>
      <c r="I97">
        <f>IF(HeartData[[#This Row],[oldpeak]]&gt;$P$5,1,0)</f>
        <v>0</v>
      </c>
      <c r="J97">
        <f>IF(HeartData[[#This Row],[exang]]="TRUE",1,0)</f>
        <v>1</v>
      </c>
      <c r="K97">
        <f>IF(HeartData[[#This Row],[fbs]]="TRUE",1,0)</f>
        <v>0</v>
      </c>
      <c r="L97">
        <f>IF(HeartData[[#This Row],[ca]]&gt;0,1,0)</f>
        <v>1</v>
      </c>
      <c r="M97">
        <f t="shared" si="4"/>
        <v>4</v>
      </c>
      <c r="N97">
        <f t="shared" si="5"/>
        <v>1</v>
      </c>
    </row>
    <row r="98" spans="1:14" x14ac:dyDescent="0.3">
      <c r="A98">
        <f>HeartData[[#This Row],[id]]</f>
        <v>97</v>
      </c>
      <c r="B98" s="4">
        <f>HeartData[[#This Row],[age]]</f>
        <v>59</v>
      </c>
      <c r="C98" t="str">
        <f>HeartData[[#This Row],[sex]]</f>
        <v>Male</v>
      </c>
      <c r="D98" t="str">
        <f t="shared" si="3"/>
        <v>55-64</v>
      </c>
      <c r="E98" t="str">
        <f>HeartData[[#This Row],[cp]]</f>
        <v>asymptomatic</v>
      </c>
      <c r="F98" t="str">
        <f>IF(HeartData[[#This Row],[num]]&gt;0, "Diseased", "Healthy")</f>
        <v>Diseased</v>
      </c>
      <c r="G98">
        <f>IF(HeartData[[#This Row],[chol]]&gt;$P$3, 1, 0)</f>
        <v>1</v>
      </c>
      <c r="H98">
        <f>IF(HeartData[[#This Row],[trestbps]]&gt;$P$4, 1, 0)</f>
        <v>1</v>
      </c>
      <c r="I98">
        <f>IF(HeartData[[#This Row],[oldpeak]]&gt;$P$5,1,0)</f>
        <v>1</v>
      </c>
      <c r="J98">
        <f>IF(HeartData[[#This Row],[exang]]="TRUE",1,0)</f>
        <v>1</v>
      </c>
      <c r="K98">
        <f>IF(HeartData[[#This Row],[fbs]]="TRUE",1,0)</f>
        <v>0</v>
      </c>
      <c r="L98">
        <f>IF(HeartData[[#This Row],[ca]]&gt;0,1,0)</f>
        <v>1</v>
      </c>
      <c r="M98">
        <f t="shared" si="4"/>
        <v>5</v>
      </c>
      <c r="N98">
        <f t="shared" si="5"/>
        <v>1</v>
      </c>
    </row>
    <row r="99" spans="1:14" x14ac:dyDescent="0.3">
      <c r="A99">
        <f>HeartData[[#This Row],[id]]</f>
        <v>98</v>
      </c>
      <c r="B99" s="4">
        <f>HeartData[[#This Row],[age]]</f>
        <v>60</v>
      </c>
      <c r="C99" t="str">
        <f>HeartData[[#This Row],[sex]]</f>
        <v>Female</v>
      </c>
      <c r="D99" t="str">
        <f t="shared" si="3"/>
        <v>55-64</v>
      </c>
      <c r="E99" t="str">
        <f>HeartData[[#This Row],[cp]]</f>
        <v>asymptomatic</v>
      </c>
      <c r="F99" t="str">
        <f>IF(HeartData[[#This Row],[num]]&gt;0, "Diseased", "Healthy")</f>
        <v>Diseased</v>
      </c>
      <c r="G99">
        <f>IF(HeartData[[#This Row],[chol]]&gt;$P$3, 1, 0)</f>
        <v>1</v>
      </c>
      <c r="H99">
        <f>IF(HeartData[[#This Row],[trestbps]]&gt;$P$4, 1, 0)</f>
        <v>1</v>
      </c>
      <c r="I99">
        <f>IF(HeartData[[#This Row],[oldpeak]]&gt;$P$5,1,0)</f>
        <v>1</v>
      </c>
      <c r="J99">
        <f>IF(HeartData[[#This Row],[exang]]="TRUE",1,0)</f>
        <v>0</v>
      </c>
      <c r="K99">
        <f>IF(HeartData[[#This Row],[fbs]]="TRUE",1,0)</f>
        <v>0</v>
      </c>
      <c r="L99">
        <f>IF(HeartData[[#This Row],[ca]]&gt;0,1,0)</f>
        <v>1</v>
      </c>
      <c r="M99">
        <f t="shared" si="4"/>
        <v>4</v>
      </c>
      <c r="N99">
        <f t="shared" si="5"/>
        <v>1</v>
      </c>
    </row>
    <row r="100" spans="1:14" x14ac:dyDescent="0.3">
      <c r="A100">
        <f>HeartData[[#This Row],[id]]</f>
        <v>99</v>
      </c>
      <c r="B100" s="4">
        <f>HeartData[[#This Row],[age]]</f>
        <v>52</v>
      </c>
      <c r="C100" t="str">
        <f>HeartData[[#This Row],[sex]]</f>
        <v>Male</v>
      </c>
      <c r="D100" t="str">
        <f t="shared" si="3"/>
        <v>45-54</v>
      </c>
      <c r="E100" t="str">
        <f>HeartData[[#This Row],[cp]]</f>
        <v>atypical angina</v>
      </c>
      <c r="F100" t="str">
        <f>IF(HeartData[[#This Row],[num]]&gt;0, "Diseased", "Healthy")</f>
        <v>Healthy</v>
      </c>
      <c r="G100">
        <f>IF(HeartData[[#This Row],[chol]]&gt;$P$3, 1, 0)</f>
        <v>1</v>
      </c>
      <c r="H100">
        <f>IF(HeartData[[#This Row],[trestbps]]&gt;$P$4, 1, 0)</f>
        <v>1</v>
      </c>
      <c r="I100">
        <f>IF(HeartData[[#This Row],[oldpeak]]&gt;$P$5,1,0)</f>
        <v>1</v>
      </c>
      <c r="J100">
        <f>IF(HeartData[[#This Row],[exang]]="TRUE",1,0)</f>
        <v>0</v>
      </c>
      <c r="K100">
        <f>IF(HeartData[[#This Row],[fbs]]="TRUE",1,0)</f>
        <v>0</v>
      </c>
      <c r="L100">
        <f>IF(HeartData[[#This Row],[ca]]&gt;0,1,0)</f>
        <v>1</v>
      </c>
      <c r="M100">
        <f t="shared" si="4"/>
        <v>4</v>
      </c>
      <c r="N100">
        <f t="shared" si="5"/>
        <v>0</v>
      </c>
    </row>
    <row r="101" spans="1:14" x14ac:dyDescent="0.3">
      <c r="A101">
        <f>HeartData[[#This Row],[id]]</f>
        <v>100</v>
      </c>
      <c r="B101" s="4">
        <f>HeartData[[#This Row],[age]]</f>
        <v>48</v>
      </c>
      <c r="C101" t="str">
        <f>HeartData[[#This Row],[sex]]</f>
        <v>Male</v>
      </c>
      <c r="D101" t="str">
        <f t="shared" si="3"/>
        <v>45-54</v>
      </c>
      <c r="E101" t="str">
        <f>HeartData[[#This Row],[cp]]</f>
        <v>asymptomatic</v>
      </c>
      <c r="F101" t="str">
        <f>IF(HeartData[[#This Row],[num]]&gt;0, "Diseased", "Healthy")</f>
        <v>Healthy</v>
      </c>
      <c r="G101">
        <f>IF(HeartData[[#This Row],[chol]]&gt;$P$3, 1, 0)</f>
        <v>1</v>
      </c>
      <c r="H101">
        <f>IF(HeartData[[#This Row],[trestbps]]&gt;$P$4, 1, 0)</f>
        <v>1</v>
      </c>
      <c r="I101">
        <f>IF(HeartData[[#This Row],[oldpeak]]&gt;$P$5,1,0)</f>
        <v>0</v>
      </c>
      <c r="J101">
        <f>IF(HeartData[[#This Row],[exang]]="TRUE",1,0)</f>
        <v>0</v>
      </c>
      <c r="K101">
        <f>IF(HeartData[[#This Row],[fbs]]="TRUE",1,0)</f>
        <v>0</v>
      </c>
      <c r="L101">
        <f>IF(HeartData[[#This Row],[ca]]&gt;0,1,0)</f>
        <v>0</v>
      </c>
      <c r="M101">
        <f t="shared" si="4"/>
        <v>2</v>
      </c>
      <c r="N101">
        <f t="shared" si="5"/>
        <v>0</v>
      </c>
    </row>
    <row r="102" spans="1:14" x14ac:dyDescent="0.3">
      <c r="A102">
        <f>HeartData[[#This Row],[id]]</f>
        <v>101</v>
      </c>
      <c r="B102" s="4">
        <f>HeartData[[#This Row],[age]]</f>
        <v>45</v>
      </c>
      <c r="C102" t="str">
        <f>HeartData[[#This Row],[sex]]</f>
        <v>Male</v>
      </c>
      <c r="D102" t="str">
        <f t="shared" si="3"/>
        <v>45-54</v>
      </c>
      <c r="E102" t="str">
        <f>HeartData[[#This Row],[cp]]</f>
        <v>asymptomatic</v>
      </c>
      <c r="F102" t="str">
        <f>IF(HeartData[[#This Row],[num]]&gt;0, "Diseased", "Healthy")</f>
        <v>Healthy</v>
      </c>
      <c r="G102">
        <f>IF(HeartData[[#This Row],[chol]]&gt;$P$3, 1, 0)</f>
        <v>1</v>
      </c>
      <c r="H102">
        <f>IF(HeartData[[#This Row],[trestbps]]&gt;$P$4, 1, 0)</f>
        <v>1</v>
      </c>
      <c r="I102">
        <f>IF(HeartData[[#This Row],[oldpeak]]&gt;$P$5,1,0)</f>
        <v>0</v>
      </c>
      <c r="J102">
        <f>IF(HeartData[[#This Row],[exang]]="TRUE",1,0)</f>
        <v>0</v>
      </c>
      <c r="K102">
        <f>IF(HeartData[[#This Row],[fbs]]="TRUE",1,0)</f>
        <v>0</v>
      </c>
      <c r="L102">
        <f>IF(HeartData[[#This Row],[ca]]&gt;0,1,0)</f>
        <v>0</v>
      </c>
      <c r="M102">
        <f t="shared" si="4"/>
        <v>2</v>
      </c>
      <c r="N102">
        <f t="shared" si="5"/>
        <v>0</v>
      </c>
    </row>
    <row r="103" spans="1:14" x14ac:dyDescent="0.3">
      <c r="A103">
        <f>HeartData[[#This Row],[id]]</f>
        <v>102</v>
      </c>
      <c r="B103" s="4">
        <f>HeartData[[#This Row],[age]]</f>
        <v>34</v>
      </c>
      <c r="C103" t="str">
        <f>HeartData[[#This Row],[sex]]</f>
        <v>Male</v>
      </c>
      <c r="D103" t="str">
        <f t="shared" si="3"/>
        <v>Under 45</v>
      </c>
      <c r="E103" t="str">
        <f>HeartData[[#This Row],[cp]]</f>
        <v>typical angina</v>
      </c>
      <c r="F103" t="str">
        <f>IF(HeartData[[#This Row],[num]]&gt;0, "Diseased", "Healthy")</f>
        <v>Healthy</v>
      </c>
      <c r="G103">
        <f>IF(HeartData[[#This Row],[chol]]&gt;$P$3, 1, 0)</f>
        <v>1</v>
      </c>
      <c r="H103">
        <f>IF(HeartData[[#This Row],[trestbps]]&gt;$P$4, 1, 0)</f>
        <v>1</v>
      </c>
      <c r="I103">
        <f>IF(HeartData[[#This Row],[oldpeak]]&gt;$P$5,1,0)</f>
        <v>0</v>
      </c>
      <c r="J103">
        <f>IF(HeartData[[#This Row],[exang]]="TRUE",1,0)</f>
        <v>0</v>
      </c>
      <c r="K103">
        <f>IF(HeartData[[#This Row],[fbs]]="TRUE",1,0)</f>
        <v>0</v>
      </c>
      <c r="L103">
        <f>IF(HeartData[[#This Row],[ca]]&gt;0,1,0)</f>
        <v>0</v>
      </c>
      <c r="M103">
        <f t="shared" si="4"/>
        <v>2</v>
      </c>
      <c r="N103">
        <f t="shared" si="5"/>
        <v>0</v>
      </c>
    </row>
    <row r="104" spans="1:14" x14ac:dyDescent="0.3">
      <c r="A104">
        <f>HeartData[[#This Row],[id]]</f>
        <v>103</v>
      </c>
      <c r="B104" s="4">
        <f>HeartData[[#This Row],[age]]</f>
        <v>57</v>
      </c>
      <c r="C104" t="str">
        <f>HeartData[[#This Row],[sex]]</f>
        <v>Female</v>
      </c>
      <c r="D104" t="str">
        <f t="shared" si="3"/>
        <v>55-64</v>
      </c>
      <c r="E104" t="str">
        <f>HeartData[[#This Row],[cp]]</f>
        <v>asymptomatic</v>
      </c>
      <c r="F104" t="str">
        <f>IF(HeartData[[#This Row],[num]]&gt;0, "Diseased", "Healthy")</f>
        <v>Healthy</v>
      </c>
      <c r="G104">
        <f>IF(HeartData[[#This Row],[chol]]&gt;$P$3, 1, 0)</f>
        <v>1</v>
      </c>
      <c r="H104">
        <f>IF(HeartData[[#This Row],[trestbps]]&gt;$P$4, 1, 0)</f>
        <v>1</v>
      </c>
      <c r="I104">
        <f>IF(HeartData[[#This Row],[oldpeak]]&gt;$P$5,1,0)</f>
        <v>0</v>
      </c>
      <c r="J104">
        <f>IF(HeartData[[#This Row],[exang]]="TRUE",1,0)</f>
        <v>0</v>
      </c>
      <c r="K104">
        <f>IF(HeartData[[#This Row],[fbs]]="TRUE",1,0)</f>
        <v>0</v>
      </c>
      <c r="L104">
        <f>IF(HeartData[[#This Row],[ca]]&gt;0,1,0)</f>
        <v>1</v>
      </c>
      <c r="M104">
        <f t="shared" si="4"/>
        <v>3</v>
      </c>
      <c r="N104">
        <f t="shared" si="5"/>
        <v>0</v>
      </c>
    </row>
    <row r="105" spans="1:14" x14ac:dyDescent="0.3">
      <c r="A105">
        <f>HeartData[[#This Row],[id]]</f>
        <v>104</v>
      </c>
      <c r="B105" s="4">
        <f>HeartData[[#This Row],[age]]</f>
        <v>71</v>
      </c>
      <c r="C105" t="str">
        <f>HeartData[[#This Row],[sex]]</f>
        <v>Female</v>
      </c>
      <c r="D105" t="str">
        <f t="shared" si="3"/>
        <v>65+</v>
      </c>
      <c r="E105" t="str">
        <f>HeartData[[#This Row],[cp]]</f>
        <v>non-anginal</v>
      </c>
      <c r="F105" t="str">
        <f>IF(HeartData[[#This Row],[num]]&gt;0, "Diseased", "Healthy")</f>
        <v>Healthy</v>
      </c>
      <c r="G105">
        <f>IF(HeartData[[#This Row],[chol]]&gt;$P$3, 1, 0)</f>
        <v>1</v>
      </c>
      <c r="H105">
        <f>IF(HeartData[[#This Row],[trestbps]]&gt;$P$4, 1, 0)</f>
        <v>1</v>
      </c>
      <c r="I105">
        <f>IF(HeartData[[#This Row],[oldpeak]]&gt;$P$5,1,0)</f>
        <v>0</v>
      </c>
      <c r="J105">
        <f>IF(HeartData[[#This Row],[exang]]="TRUE",1,0)</f>
        <v>0</v>
      </c>
      <c r="K105">
        <f>IF(HeartData[[#This Row],[fbs]]="TRUE",1,0)</f>
        <v>1</v>
      </c>
      <c r="L105">
        <f>IF(HeartData[[#This Row],[ca]]&gt;0,1,0)</f>
        <v>1</v>
      </c>
      <c r="M105">
        <f t="shared" si="4"/>
        <v>4</v>
      </c>
      <c r="N105">
        <f t="shared" si="5"/>
        <v>0</v>
      </c>
    </row>
    <row r="106" spans="1:14" x14ac:dyDescent="0.3">
      <c r="A106">
        <f>HeartData[[#This Row],[id]]</f>
        <v>105</v>
      </c>
      <c r="B106" s="4">
        <f>HeartData[[#This Row],[age]]</f>
        <v>49</v>
      </c>
      <c r="C106" t="str">
        <f>HeartData[[#This Row],[sex]]</f>
        <v>Male</v>
      </c>
      <c r="D106" t="str">
        <f t="shared" si="3"/>
        <v>45-54</v>
      </c>
      <c r="E106" t="str">
        <f>HeartData[[#This Row],[cp]]</f>
        <v>non-anginal</v>
      </c>
      <c r="F106" t="str">
        <f>IF(HeartData[[#This Row],[num]]&gt;0, "Diseased", "Healthy")</f>
        <v>Diseased</v>
      </c>
      <c r="G106">
        <f>IF(HeartData[[#This Row],[chol]]&gt;$P$3, 1, 0)</f>
        <v>1</v>
      </c>
      <c r="H106">
        <f>IF(HeartData[[#This Row],[trestbps]]&gt;$P$4, 1, 0)</f>
        <v>1</v>
      </c>
      <c r="I106">
        <f>IF(HeartData[[#This Row],[oldpeak]]&gt;$P$5,1,0)</f>
        <v>1</v>
      </c>
      <c r="J106">
        <f>IF(HeartData[[#This Row],[exang]]="TRUE",1,0)</f>
        <v>0</v>
      </c>
      <c r="K106">
        <f>IF(HeartData[[#This Row],[fbs]]="TRUE",1,0)</f>
        <v>0</v>
      </c>
      <c r="L106">
        <f>IF(HeartData[[#This Row],[ca]]&gt;0,1,0)</f>
        <v>1</v>
      </c>
      <c r="M106">
        <f t="shared" si="4"/>
        <v>4</v>
      </c>
      <c r="N106">
        <f t="shared" si="5"/>
        <v>1</v>
      </c>
    </row>
    <row r="107" spans="1:14" x14ac:dyDescent="0.3">
      <c r="A107">
        <f>HeartData[[#This Row],[id]]</f>
        <v>106</v>
      </c>
      <c r="B107" s="4">
        <f>HeartData[[#This Row],[age]]</f>
        <v>54</v>
      </c>
      <c r="C107" t="str">
        <f>HeartData[[#This Row],[sex]]</f>
        <v>Male</v>
      </c>
      <c r="D107" t="str">
        <f t="shared" si="3"/>
        <v>45-54</v>
      </c>
      <c r="E107" t="str">
        <f>HeartData[[#This Row],[cp]]</f>
        <v>atypical angina</v>
      </c>
      <c r="F107" t="str">
        <f>IF(HeartData[[#This Row],[num]]&gt;0, "Diseased", "Healthy")</f>
        <v>Healthy</v>
      </c>
      <c r="G107">
        <f>IF(HeartData[[#This Row],[chol]]&gt;$P$3, 1, 0)</f>
        <v>1</v>
      </c>
      <c r="H107">
        <f>IF(HeartData[[#This Row],[trestbps]]&gt;$P$4, 1, 0)</f>
        <v>1</v>
      </c>
      <c r="I107">
        <f>IF(HeartData[[#This Row],[oldpeak]]&gt;$P$5,1,0)</f>
        <v>0</v>
      </c>
      <c r="J107">
        <f>IF(HeartData[[#This Row],[exang]]="TRUE",1,0)</f>
        <v>0</v>
      </c>
      <c r="K107">
        <f>IF(HeartData[[#This Row],[fbs]]="TRUE",1,0)</f>
        <v>0</v>
      </c>
      <c r="L107">
        <f>IF(HeartData[[#This Row],[ca]]&gt;0,1,0)</f>
        <v>0</v>
      </c>
      <c r="M107">
        <f t="shared" si="4"/>
        <v>2</v>
      </c>
      <c r="N107">
        <f t="shared" si="5"/>
        <v>0</v>
      </c>
    </row>
    <row r="108" spans="1:14" x14ac:dyDescent="0.3">
      <c r="A108">
        <f>HeartData[[#This Row],[id]]</f>
        <v>107</v>
      </c>
      <c r="B108" s="4">
        <f>HeartData[[#This Row],[age]]</f>
        <v>59</v>
      </c>
      <c r="C108" t="str">
        <f>HeartData[[#This Row],[sex]]</f>
        <v>Male</v>
      </c>
      <c r="D108" t="str">
        <f t="shared" si="3"/>
        <v>55-64</v>
      </c>
      <c r="E108" t="str">
        <f>HeartData[[#This Row],[cp]]</f>
        <v>asymptomatic</v>
      </c>
      <c r="F108" t="str">
        <f>IF(HeartData[[#This Row],[num]]&gt;0, "Diseased", "Healthy")</f>
        <v>Diseased</v>
      </c>
      <c r="G108">
        <f>IF(HeartData[[#This Row],[chol]]&gt;$P$3, 1, 0)</f>
        <v>1</v>
      </c>
      <c r="H108">
        <f>IF(HeartData[[#This Row],[trestbps]]&gt;$P$4, 1, 0)</f>
        <v>1</v>
      </c>
      <c r="I108">
        <f>IF(HeartData[[#This Row],[oldpeak]]&gt;$P$5,1,0)</f>
        <v>0</v>
      </c>
      <c r="J108">
        <f>IF(HeartData[[#This Row],[exang]]="TRUE",1,0)</f>
        <v>1</v>
      </c>
      <c r="K108">
        <f>IF(HeartData[[#This Row],[fbs]]="TRUE",1,0)</f>
        <v>0</v>
      </c>
      <c r="L108">
        <f>IF(HeartData[[#This Row],[ca]]&gt;0,1,0)</f>
        <v>1</v>
      </c>
      <c r="M108">
        <f t="shared" si="4"/>
        <v>4</v>
      </c>
      <c r="N108">
        <f t="shared" si="5"/>
        <v>1</v>
      </c>
    </row>
    <row r="109" spans="1:14" x14ac:dyDescent="0.3">
      <c r="A109">
        <f>HeartData[[#This Row],[id]]</f>
        <v>108</v>
      </c>
      <c r="B109" s="4">
        <f>HeartData[[#This Row],[age]]</f>
        <v>57</v>
      </c>
      <c r="C109" t="str">
        <f>HeartData[[#This Row],[sex]]</f>
        <v>Male</v>
      </c>
      <c r="D109" t="str">
        <f t="shared" si="3"/>
        <v>55-64</v>
      </c>
      <c r="E109" t="str">
        <f>HeartData[[#This Row],[cp]]</f>
        <v>non-anginal</v>
      </c>
      <c r="F109" t="str">
        <f>IF(HeartData[[#This Row],[num]]&gt;0, "Diseased", "Healthy")</f>
        <v>Diseased</v>
      </c>
      <c r="G109">
        <f>IF(HeartData[[#This Row],[chol]]&gt;$P$3, 1, 0)</f>
        <v>1</v>
      </c>
      <c r="H109">
        <f>IF(HeartData[[#This Row],[trestbps]]&gt;$P$4, 1, 0)</f>
        <v>1</v>
      </c>
      <c r="I109">
        <f>IF(HeartData[[#This Row],[oldpeak]]&gt;$P$5,1,0)</f>
        <v>1</v>
      </c>
      <c r="J109">
        <f>IF(HeartData[[#This Row],[exang]]="TRUE",1,0)</f>
        <v>0</v>
      </c>
      <c r="K109">
        <f>IF(HeartData[[#This Row],[fbs]]="TRUE",1,0)</f>
        <v>0</v>
      </c>
      <c r="L109">
        <f>IF(HeartData[[#This Row],[ca]]&gt;0,1,0)</f>
        <v>1</v>
      </c>
      <c r="M109">
        <f t="shared" si="4"/>
        <v>4</v>
      </c>
      <c r="N109">
        <f t="shared" si="5"/>
        <v>1</v>
      </c>
    </row>
    <row r="110" spans="1:14" x14ac:dyDescent="0.3">
      <c r="A110">
        <f>HeartData[[#This Row],[id]]</f>
        <v>109</v>
      </c>
      <c r="B110" s="4">
        <f>HeartData[[#This Row],[age]]</f>
        <v>61</v>
      </c>
      <c r="C110" t="str">
        <f>HeartData[[#This Row],[sex]]</f>
        <v>Male</v>
      </c>
      <c r="D110" t="str">
        <f t="shared" si="3"/>
        <v>55-64</v>
      </c>
      <c r="E110" t="str">
        <f>HeartData[[#This Row],[cp]]</f>
        <v>asymptomatic</v>
      </c>
      <c r="F110" t="str">
        <f>IF(HeartData[[#This Row],[num]]&gt;0, "Diseased", "Healthy")</f>
        <v>Diseased</v>
      </c>
      <c r="G110">
        <f>IF(HeartData[[#This Row],[chol]]&gt;$P$3, 1, 0)</f>
        <v>1</v>
      </c>
      <c r="H110">
        <f>IF(HeartData[[#This Row],[trestbps]]&gt;$P$4, 1, 0)</f>
        <v>1</v>
      </c>
      <c r="I110">
        <f>IF(HeartData[[#This Row],[oldpeak]]&gt;$P$5,1,0)</f>
        <v>1</v>
      </c>
      <c r="J110">
        <f>IF(HeartData[[#This Row],[exang]]="TRUE",1,0)</f>
        <v>1</v>
      </c>
      <c r="K110">
        <f>IF(HeartData[[#This Row],[fbs]]="TRUE",1,0)</f>
        <v>0</v>
      </c>
      <c r="L110">
        <f>IF(HeartData[[#This Row],[ca]]&gt;0,1,0)</f>
        <v>1</v>
      </c>
      <c r="M110">
        <f t="shared" si="4"/>
        <v>5</v>
      </c>
      <c r="N110">
        <f t="shared" si="5"/>
        <v>1</v>
      </c>
    </row>
    <row r="111" spans="1:14" x14ac:dyDescent="0.3">
      <c r="A111">
        <f>HeartData[[#This Row],[id]]</f>
        <v>110</v>
      </c>
      <c r="B111" s="4">
        <f>HeartData[[#This Row],[age]]</f>
        <v>39</v>
      </c>
      <c r="C111" t="str">
        <f>HeartData[[#This Row],[sex]]</f>
        <v>Male</v>
      </c>
      <c r="D111" t="str">
        <f t="shared" si="3"/>
        <v>Under 45</v>
      </c>
      <c r="E111" t="str">
        <f>HeartData[[#This Row],[cp]]</f>
        <v>asymptomatic</v>
      </c>
      <c r="F111" t="str">
        <f>IF(HeartData[[#This Row],[num]]&gt;0, "Diseased", "Healthy")</f>
        <v>Diseased</v>
      </c>
      <c r="G111">
        <f>IF(HeartData[[#This Row],[chol]]&gt;$P$3, 1, 0)</f>
        <v>1</v>
      </c>
      <c r="H111">
        <f>IF(HeartData[[#This Row],[trestbps]]&gt;$P$4, 1, 0)</f>
        <v>1</v>
      </c>
      <c r="I111">
        <f>IF(HeartData[[#This Row],[oldpeak]]&gt;$P$5,1,0)</f>
        <v>1</v>
      </c>
      <c r="J111">
        <f>IF(HeartData[[#This Row],[exang]]="TRUE",1,0)</f>
        <v>0</v>
      </c>
      <c r="K111">
        <f>IF(HeartData[[#This Row],[fbs]]="TRUE",1,0)</f>
        <v>0</v>
      </c>
      <c r="L111">
        <f>IF(HeartData[[#This Row],[ca]]&gt;0,1,0)</f>
        <v>0</v>
      </c>
      <c r="M111">
        <f t="shared" si="4"/>
        <v>3</v>
      </c>
      <c r="N111">
        <f t="shared" si="5"/>
        <v>1</v>
      </c>
    </row>
    <row r="112" spans="1:14" x14ac:dyDescent="0.3">
      <c r="A112">
        <f>HeartData[[#This Row],[id]]</f>
        <v>111</v>
      </c>
      <c r="B112" s="4">
        <f>HeartData[[#This Row],[age]]</f>
        <v>61</v>
      </c>
      <c r="C112" t="str">
        <f>HeartData[[#This Row],[sex]]</f>
        <v>Female</v>
      </c>
      <c r="D112" t="str">
        <f t="shared" si="3"/>
        <v>55-64</v>
      </c>
      <c r="E112" t="str">
        <f>HeartData[[#This Row],[cp]]</f>
        <v>asymptomatic</v>
      </c>
      <c r="F112" t="str">
        <f>IF(HeartData[[#This Row],[num]]&gt;0, "Diseased", "Healthy")</f>
        <v>Diseased</v>
      </c>
      <c r="G112">
        <f>IF(HeartData[[#This Row],[chol]]&gt;$P$3, 1, 0)</f>
        <v>1</v>
      </c>
      <c r="H112">
        <f>IF(HeartData[[#This Row],[trestbps]]&gt;$P$4, 1, 0)</f>
        <v>1</v>
      </c>
      <c r="I112">
        <f>IF(HeartData[[#This Row],[oldpeak]]&gt;$P$5,1,0)</f>
        <v>1</v>
      </c>
      <c r="J112">
        <f>IF(HeartData[[#This Row],[exang]]="TRUE",1,0)</f>
        <v>1</v>
      </c>
      <c r="K112">
        <f>IF(HeartData[[#This Row],[fbs]]="TRUE",1,0)</f>
        <v>0</v>
      </c>
      <c r="L112">
        <f>IF(HeartData[[#This Row],[ca]]&gt;0,1,0)</f>
        <v>0</v>
      </c>
      <c r="M112">
        <f t="shared" si="4"/>
        <v>4</v>
      </c>
      <c r="N112">
        <f t="shared" si="5"/>
        <v>1</v>
      </c>
    </row>
    <row r="113" spans="1:14" x14ac:dyDescent="0.3">
      <c r="A113">
        <f>HeartData[[#This Row],[id]]</f>
        <v>112</v>
      </c>
      <c r="B113" s="4">
        <f>HeartData[[#This Row],[age]]</f>
        <v>56</v>
      </c>
      <c r="C113" t="str">
        <f>HeartData[[#This Row],[sex]]</f>
        <v>Male</v>
      </c>
      <c r="D113" t="str">
        <f t="shared" si="3"/>
        <v>55-64</v>
      </c>
      <c r="E113" t="str">
        <f>HeartData[[#This Row],[cp]]</f>
        <v>asymptomatic</v>
      </c>
      <c r="F113" t="str">
        <f>IF(HeartData[[#This Row],[num]]&gt;0, "Diseased", "Healthy")</f>
        <v>Diseased</v>
      </c>
      <c r="G113">
        <f>IF(HeartData[[#This Row],[chol]]&gt;$P$3, 1, 0)</f>
        <v>1</v>
      </c>
      <c r="H113">
        <f>IF(HeartData[[#This Row],[trestbps]]&gt;$P$4, 1, 0)</f>
        <v>1</v>
      </c>
      <c r="I113">
        <f>IF(HeartData[[#This Row],[oldpeak]]&gt;$P$5,1,0)</f>
        <v>1</v>
      </c>
      <c r="J113">
        <f>IF(HeartData[[#This Row],[exang]]="TRUE",1,0)</f>
        <v>1</v>
      </c>
      <c r="K113">
        <f>IF(HeartData[[#This Row],[fbs]]="TRUE",1,0)</f>
        <v>1</v>
      </c>
      <c r="L113">
        <f>IF(HeartData[[#This Row],[ca]]&gt;0,1,0)</f>
        <v>1</v>
      </c>
      <c r="M113">
        <f t="shared" si="4"/>
        <v>6</v>
      </c>
      <c r="N113">
        <f t="shared" si="5"/>
        <v>1</v>
      </c>
    </row>
    <row r="114" spans="1:14" x14ac:dyDescent="0.3">
      <c r="A114">
        <f>HeartData[[#This Row],[id]]</f>
        <v>113</v>
      </c>
      <c r="B114" s="4">
        <f>HeartData[[#This Row],[age]]</f>
        <v>52</v>
      </c>
      <c r="C114" t="str">
        <f>HeartData[[#This Row],[sex]]</f>
        <v>Male</v>
      </c>
      <c r="D114" t="str">
        <f t="shared" si="3"/>
        <v>45-54</v>
      </c>
      <c r="E114" t="str">
        <f>HeartData[[#This Row],[cp]]</f>
        <v>typical angina</v>
      </c>
      <c r="F114" t="str">
        <f>IF(HeartData[[#This Row],[num]]&gt;0, "Diseased", "Healthy")</f>
        <v>Healthy</v>
      </c>
      <c r="G114">
        <f>IF(HeartData[[#This Row],[chol]]&gt;$P$3, 1, 0)</f>
        <v>1</v>
      </c>
      <c r="H114">
        <f>IF(HeartData[[#This Row],[trestbps]]&gt;$P$4, 1, 0)</f>
        <v>1</v>
      </c>
      <c r="I114">
        <f>IF(HeartData[[#This Row],[oldpeak]]&gt;$P$5,1,0)</f>
        <v>0</v>
      </c>
      <c r="J114">
        <f>IF(HeartData[[#This Row],[exang]]="TRUE",1,0)</f>
        <v>0</v>
      </c>
      <c r="K114">
        <f>IF(HeartData[[#This Row],[fbs]]="TRUE",1,0)</f>
        <v>0</v>
      </c>
      <c r="L114">
        <f>IF(HeartData[[#This Row],[ca]]&gt;0,1,0)</f>
        <v>0</v>
      </c>
      <c r="M114">
        <f t="shared" si="4"/>
        <v>2</v>
      </c>
      <c r="N114">
        <f t="shared" si="5"/>
        <v>0</v>
      </c>
    </row>
    <row r="115" spans="1:14" x14ac:dyDescent="0.3">
      <c r="A115">
        <f>HeartData[[#This Row],[id]]</f>
        <v>114</v>
      </c>
      <c r="B115" s="4">
        <f>HeartData[[#This Row],[age]]</f>
        <v>43</v>
      </c>
      <c r="C115" t="str">
        <f>HeartData[[#This Row],[sex]]</f>
        <v>Female</v>
      </c>
      <c r="D115" t="str">
        <f t="shared" si="3"/>
        <v>Under 45</v>
      </c>
      <c r="E115" t="str">
        <f>HeartData[[#This Row],[cp]]</f>
        <v>asymptomatic</v>
      </c>
      <c r="F115" t="str">
        <f>IF(HeartData[[#This Row],[num]]&gt;0, "Diseased", "Healthy")</f>
        <v>Diseased</v>
      </c>
      <c r="G115">
        <f>IF(HeartData[[#This Row],[chol]]&gt;$P$3, 1, 0)</f>
        <v>1</v>
      </c>
      <c r="H115">
        <f>IF(HeartData[[#This Row],[trestbps]]&gt;$P$4, 1, 0)</f>
        <v>1</v>
      </c>
      <c r="I115">
        <f>IF(HeartData[[#This Row],[oldpeak]]&gt;$P$5,1,0)</f>
        <v>1</v>
      </c>
      <c r="J115">
        <f>IF(HeartData[[#This Row],[exang]]="TRUE",1,0)</f>
        <v>1</v>
      </c>
      <c r="K115">
        <f>IF(HeartData[[#This Row],[fbs]]="TRUE",1,0)</f>
        <v>1</v>
      </c>
      <c r="L115">
        <f>IF(HeartData[[#This Row],[ca]]&gt;0,1,0)</f>
        <v>0</v>
      </c>
      <c r="M115">
        <f t="shared" si="4"/>
        <v>5</v>
      </c>
      <c r="N115">
        <f t="shared" si="5"/>
        <v>1</v>
      </c>
    </row>
    <row r="116" spans="1:14" x14ac:dyDescent="0.3">
      <c r="A116">
        <f>HeartData[[#This Row],[id]]</f>
        <v>115</v>
      </c>
      <c r="B116" s="4">
        <f>HeartData[[#This Row],[age]]</f>
        <v>62</v>
      </c>
      <c r="C116" t="str">
        <f>HeartData[[#This Row],[sex]]</f>
        <v>Female</v>
      </c>
      <c r="D116" t="str">
        <f t="shared" si="3"/>
        <v>55-64</v>
      </c>
      <c r="E116" t="str">
        <f>HeartData[[#This Row],[cp]]</f>
        <v>non-anginal</v>
      </c>
      <c r="F116" t="str">
        <f>IF(HeartData[[#This Row],[num]]&gt;0, "Diseased", "Healthy")</f>
        <v>Diseased</v>
      </c>
      <c r="G116">
        <f>IF(HeartData[[#This Row],[chol]]&gt;$P$3, 1, 0)</f>
        <v>1</v>
      </c>
      <c r="H116">
        <f>IF(HeartData[[#This Row],[trestbps]]&gt;$P$4, 1, 0)</f>
        <v>1</v>
      </c>
      <c r="I116">
        <f>IF(HeartData[[#This Row],[oldpeak]]&gt;$P$5,1,0)</f>
        <v>1</v>
      </c>
      <c r="J116">
        <f>IF(HeartData[[#This Row],[exang]]="TRUE",1,0)</f>
        <v>0</v>
      </c>
      <c r="K116">
        <f>IF(HeartData[[#This Row],[fbs]]="TRUE",1,0)</f>
        <v>0</v>
      </c>
      <c r="L116">
        <f>IF(HeartData[[#This Row],[ca]]&gt;0,1,0)</f>
        <v>1</v>
      </c>
      <c r="M116">
        <f t="shared" si="4"/>
        <v>4</v>
      </c>
      <c r="N116">
        <f t="shared" si="5"/>
        <v>1</v>
      </c>
    </row>
    <row r="117" spans="1:14" x14ac:dyDescent="0.3">
      <c r="A117">
        <f>HeartData[[#This Row],[id]]</f>
        <v>116</v>
      </c>
      <c r="B117" s="4">
        <f>HeartData[[#This Row],[age]]</f>
        <v>41</v>
      </c>
      <c r="C117" t="str">
        <f>HeartData[[#This Row],[sex]]</f>
        <v>Male</v>
      </c>
      <c r="D117" t="str">
        <f t="shared" si="3"/>
        <v>Under 45</v>
      </c>
      <c r="E117" t="str">
        <f>HeartData[[#This Row],[cp]]</f>
        <v>atypical angina</v>
      </c>
      <c r="F117" t="str">
        <f>IF(HeartData[[#This Row],[num]]&gt;0, "Diseased", "Healthy")</f>
        <v>Healthy</v>
      </c>
      <c r="G117">
        <f>IF(HeartData[[#This Row],[chol]]&gt;$P$3, 1, 0)</f>
        <v>1</v>
      </c>
      <c r="H117">
        <f>IF(HeartData[[#This Row],[trestbps]]&gt;$P$4, 1, 0)</f>
        <v>1</v>
      </c>
      <c r="I117">
        <f>IF(HeartData[[#This Row],[oldpeak]]&gt;$P$5,1,0)</f>
        <v>0</v>
      </c>
      <c r="J117">
        <f>IF(HeartData[[#This Row],[exang]]="TRUE",1,0)</f>
        <v>0</v>
      </c>
      <c r="K117">
        <f>IF(HeartData[[#This Row],[fbs]]="TRUE",1,0)</f>
        <v>0</v>
      </c>
      <c r="L117">
        <f>IF(HeartData[[#This Row],[ca]]&gt;0,1,0)</f>
        <v>0</v>
      </c>
      <c r="M117">
        <f t="shared" si="4"/>
        <v>2</v>
      </c>
      <c r="N117">
        <f t="shared" si="5"/>
        <v>0</v>
      </c>
    </row>
    <row r="118" spans="1:14" x14ac:dyDescent="0.3">
      <c r="A118">
        <f>HeartData[[#This Row],[id]]</f>
        <v>117</v>
      </c>
      <c r="B118" s="4">
        <f>HeartData[[#This Row],[age]]</f>
        <v>58</v>
      </c>
      <c r="C118" t="str">
        <f>HeartData[[#This Row],[sex]]</f>
        <v>Male</v>
      </c>
      <c r="D118" t="str">
        <f t="shared" si="3"/>
        <v>55-64</v>
      </c>
      <c r="E118" t="str">
        <f>HeartData[[#This Row],[cp]]</f>
        <v>non-anginal</v>
      </c>
      <c r="F118" t="str">
        <f>IF(HeartData[[#This Row],[num]]&gt;0, "Diseased", "Healthy")</f>
        <v>Healthy</v>
      </c>
      <c r="G118">
        <f>IF(HeartData[[#This Row],[chol]]&gt;$P$3, 1, 0)</f>
        <v>1</v>
      </c>
      <c r="H118">
        <f>IF(HeartData[[#This Row],[trestbps]]&gt;$P$4, 1, 0)</f>
        <v>1</v>
      </c>
      <c r="I118">
        <f>IF(HeartData[[#This Row],[oldpeak]]&gt;$P$5,1,0)</f>
        <v>0</v>
      </c>
      <c r="J118">
        <f>IF(HeartData[[#This Row],[exang]]="TRUE",1,0)</f>
        <v>0</v>
      </c>
      <c r="K118">
        <f>IF(HeartData[[#This Row],[fbs]]="TRUE",1,0)</f>
        <v>1</v>
      </c>
      <c r="L118">
        <f>IF(HeartData[[#This Row],[ca]]&gt;0,1,0)</f>
        <v>0</v>
      </c>
      <c r="M118">
        <f t="shared" si="4"/>
        <v>3</v>
      </c>
      <c r="N118">
        <f t="shared" si="5"/>
        <v>0</v>
      </c>
    </row>
    <row r="119" spans="1:14" x14ac:dyDescent="0.3">
      <c r="A119">
        <f>HeartData[[#This Row],[id]]</f>
        <v>118</v>
      </c>
      <c r="B119" s="4">
        <f>HeartData[[#This Row],[age]]</f>
        <v>35</v>
      </c>
      <c r="C119" t="str">
        <f>HeartData[[#This Row],[sex]]</f>
        <v>Female</v>
      </c>
      <c r="D119" t="str">
        <f t="shared" si="3"/>
        <v>Under 45</v>
      </c>
      <c r="E119" t="str">
        <f>HeartData[[#This Row],[cp]]</f>
        <v>asymptomatic</v>
      </c>
      <c r="F119" t="str">
        <f>IF(HeartData[[#This Row],[num]]&gt;0, "Diseased", "Healthy")</f>
        <v>Healthy</v>
      </c>
      <c r="G119">
        <f>IF(HeartData[[#This Row],[chol]]&gt;$P$3, 1, 0)</f>
        <v>1</v>
      </c>
      <c r="H119">
        <f>IF(HeartData[[#This Row],[trestbps]]&gt;$P$4, 1, 0)</f>
        <v>1</v>
      </c>
      <c r="I119">
        <f>IF(HeartData[[#This Row],[oldpeak]]&gt;$P$5,1,0)</f>
        <v>1</v>
      </c>
      <c r="J119">
        <f>IF(HeartData[[#This Row],[exang]]="TRUE",1,0)</f>
        <v>0</v>
      </c>
      <c r="K119">
        <f>IF(HeartData[[#This Row],[fbs]]="TRUE",1,0)</f>
        <v>0</v>
      </c>
      <c r="L119">
        <f>IF(HeartData[[#This Row],[ca]]&gt;0,1,0)</f>
        <v>0</v>
      </c>
      <c r="M119">
        <f t="shared" si="4"/>
        <v>3</v>
      </c>
      <c r="N119">
        <f t="shared" si="5"/>
        <v>0</v>
      </c>
    </row>
    <row r="120" spans="1:14" x14ac:dyDescent="0.3">
      <c r="A120">
        <f>HeartData[[#This Row],[id]]</f>
        <v>119</v>
      </c>
      <c r="B120" s="4">
        <f>HeartData[[#This Row],[age]]</f>
        <v>63</v>
      </c>
      <c r="C120" t="str">
        <f>HeartData[[#This Row],[sex]]</f>
        <v>Male</v>
      </c>
      <c r="D120" t="str">
        <f t="shared" si="3"/>
        <v>55-64</v>
      </c>
      <c r="E120" t="str">
        <f>HeartData[[#This Row],[cp]]</f>
        <v>asymptomatic</v>
      </c>
      <c r="F120" t="str">
        <f>IF(HeartData[[#This Row],[num]]&gt;0, "Diseased", "Healthy")</f>
        <v>Diseased</v>
      </c>
      <c r="G120">
        <f>IF(HeartData[[#This Row],[chol]]&gt;$P$3, 1, 0)</f>
        <v>1</v>
      </c>
      <c r="H120">
        <f>IF(HeartData[[#This Row],[trestbps]]&gt;$P$4, 1, 0)</f>
        <v>1</v>
      </c>
      <c r="I120">
        <f>IF(HeartData[[#This Row],[oldpeak]]&gt;$P$5,1,0)</f>
        <v>1</v>
      </c>
      <c r="J120">
        <f>IF(HeartData[[#This Row],[exang]]="TRUE",1,0)</f>
        <v>1</v>
      </c>
      <c r="K120">
        <f>IF(HeartData[[#This Row],[fbs]]="TRUE",1,0)</f>
        <v>1</v>
      </c>
      <c r="L120">
        <f>IF(HeartData[[#This Row],[ca]]&gt;0,1,0)</f>
        <v>1</v>
      </c>
      <c r="M120">
        <f t="shared" si="4"/>
        <v>6</v>
      </c>
      <c r="N120">
        <f t="shared" si="5"/>
        <v>1</v>
      </c>
    </row>
    <row r="121" spans="1:14" x14ac:dyDescent="0.3">
      <c r="A121">
        <f>HeartData[[#This Row],[id]]</f>
        <v>120</v>
      </c>
      <c r="B121" s="4">
        <f>HeartData[[#This Row],[age]]</f>
        <v>65</v>
      </c>
      <c r="C121" t="str">
        <f>HeartData[[#This Row],[sex]]</f>
        <v>Male</v>
      </c>
      <c r="D121" t="str">
        <f t="shared" si="3"/>
        <v>65+</v>
      </c>
      <c r="E121" t="str">
        <f>HeartData[[#This Row],[cp]]</f>
        <v>asymptomatic</v>
      </c>
      <c r="F121" t="str">
        <f>IF(HeartData[[#This Row],[num]]&gt;0, "Diseased", "Healthy")</f>
        <v>Diseased</v>
      </c>
      <c r="G121">
        <f>IF(HeartData[[#This Row],[chol]]&gt;$P$3, 1, 0)</f>
        <v>1</v>
      </c>
      <c r="H121">
        <f>IF(HeartData[[#This Row],[trestbps]]&gt;$P$4, 1, 0)</f>
        <v>1</v>
      </c>
      <c r="I121">
        <f>IF(HeartData[[#This Row],[oldpeak]]&gt;$P$5,1,0)</f>
        <v>1</v>
      </c>
      <c r="J121">
        <f>IF(HeartData[[#This Row],[exang]]="TRUE",1,0)</f>
        <v>0</v>
      </c>
      <c r="K121">
        <f>IF(HeartData[[#This Row],[fbs]]="TRUE",1,0)</f>
        <v>0</v>
      </c>
      <c r="L121">
        <f>IF(HeartData[[#This Row],[ca]]&gt;0,1,0)</f>
        <v>1</v>
      </c>
      <c r="M121">
        <f t="shared" si="4"/>
        <v>4</v>
      </c>
      <c r="N121">
        <f t="shared" si="5"/>
        <v>1</v>
      </c>
    </row>
    <row r="122" spans="1:14" x14ac:dyDescent="0.3">
      <c r="A122">
        <f>HeartData[[#This Row],[id]]</f>
        <v>121</v>
      </c>
      <c r="B122" s="4">
        <f>HeartData[[#This Row],[age]]</f>
        <v>48</v>
      </c>
      <c r="C122" t="str">
        <f>HeartData[[#This Row],[sex]]</f>
        <v>Male</v>
      </c>
      <c r="D122" t="str">
        <f t="shared" si="3"/>
        <v>45-54</v>
      </c>
      <c r="E122" t="str">
        <f>HeartData[[#This Row],[cp]]</f>
        <v>asymptomatic</v>
      </c>
      <c r="F122" t="str">
        <f>IF(HeartData[[#This Row],[num]]&gt;0, "Diseased", "Healthy")</f>
        <v>Diseased</v>
      </c>
      <c r="G122">
        <f>IF(HeartData[[#This Row],[chol]]&gt;$P$3, 1, 0)</f>
        <v>1</v>
      </c>
      <c r="H122">
        <f>IF(HeartData[[#This Row],[trestbps]]&gt;$P$4, 1, 0)</f>
        <v>1</v>
      </c>
      <c r="I122">
        <f>IF(HeartData[[#This Row],[oldpeak]]&gt;$P$5,1,0)</f>
        <v>0</v>
      </c>
      <c r="J122">
        <f>IF(HeartData[[#This Row],[exang]]="TRUE",1,0)</f>
        <v>1</v>
      </c>
      <c r="K122">
        <f>IF(HeartData[[#This Row],[fbs]]="TRUE",1,0)</f>
        <v>1</v>
      </c>
      <c r="L122">
        <f>IF(HeartData[[#This Row],[ca]]&gt;0,1,0)</f>
        <v>1</v>
      </c>
      <c r="M122">
        <f t="shared" si="4"/>
        <v>5</v>
      </c>
      <c r="N122">
        <f t="shared" si="5"/>
        <v>1</v>
      </c>
    </row>
    <row r="123" spans="1:14" x14ac:dyDescent="0.3">
      <c r="A123">
        <f>HeartData[[#This Row],[id]]</f>
        <v>122</v>
      </c>
      <c r="B123" s="4">
        <f>HeartData[[#This Row],[age]]</f>
        <v>63</v>
      </c>
      <c r="C123" t="str">
        <f>HeartData[[#This Row],[sex]]</f>
        <v>Female</v>
      </c>
      <c r="D123" t="str">
        <f t="shared" si="3"/>
        <v>55-64</v>
      </c>
      <c r="E123" t="str">
        <f>HeartData[[#This Row],[cp]]</f>
        <v>asymptomatic</v>
      </c>
      <c r="F123" t="str">
        <f>IF(HeartData[[#This Row],[num]]&gt;0, "Diseased", "Healthy")</f>
        <v>Diseased</v>
      </c>
      <c r="G123">
        <f>IF(HeartData[[#This Row],[chol]]&gt;$P$3, 1, 0)</f>
        <v>1</v>
      </c>
      <c r="H123">
        <f>IF(HeartData[[#This Row],[trestbps]]&gt;$P$4, 1, 0)</f>
        <v>1</v>
      </c>
      <c r="I123">
        <f>IF(HeartData[[#This Row],[oldpeak]]&gt;$P$5,1,0)</f>
        <v>1</v>
      </c>
      <c r="J123">
        <f>IF(HeartData[[#This Row],[exang]]="TRUE",1,0)</f>
        <v>0</v>
      </c>
      <c r="K123">
        <f>IF(HeartData[[#This Row],[fbs]]="TRUE",1,0)</f>
        <v>0</v>
      </c>
      <c r="L123">
        <f>IF(HeartData[[#This Row],[ca]]&gt;0,1,0)</f>
        <v>1</v>
      </c>
      <c r="M123">
        <f t="shared" si="4"/>
        <v>4</v>
      </c>
      <c r="N123">
        <f t="shared" si="5"/>
        <v>1</v>
      </c>
    </row>
    <row r="124" spans="1:14" x14ac:dyDescent="0.3">
      <c r="A124">
        <f>HeartData[[#This Row],[id]]</f>
        <v>123</v>
      </c>
      <c r="B124" s="4">
        <f>HeartData[[#This Row],[age]]</f>
        <v>51</v>
      </c>
      <c r="C124" t="str">
        <f>HeartData[[#This Row],[sex]]</f>
        <v>Male</v>
      </c>
      <c r="D124" t="str">
        <f t="shared" si="3"/>
        <v>45-54</v>
      </c>
      <c r="E124" t="str">
        <f>HeartData[[#This Row],[cp]]</f>
        <v>non-anginal</v>
      </c>
      <c r="F124" t="str">
        <f>IF(HeartData[[#This Row],[num]]&gt;0, "Diseased", "Healthy")</f>
        <v>Healthy</v>
      </c>
      <c r="G124">
        <f>IF(HeartData[[#This Row],[chol]]&gt;$P$3, 1, 0)</f>
        <v>1</v>
      </c>
      <c r="H124">
        <f>IF(HeartData[[#This Row],[trestbps]]&gt;$P$4, 1, 0)</f>
        <v>1</v>
      </c>
      <c r="I124">
        <f>IF(HeartData[[#This Row],[oldpeak]]&gt;$P$5,1,0)</f>
        <v>1</v>
      </c>
      <c r="J124">
        <f>IF(HeartData[[#This Row],[exang]]="TRUE",1,0)</f>
        <v>1</v>
      </c>
      <c r="K124">
        <f>IF(HeartData[[#This Row],[fbs]]="TRUE",1,0)</f>
        <v>0</v>
      </c>
      <c r="L124">
        <f>IF(HeartData[[#This Row],[ca]]&gt;0,1,0)</f>
        <v>0</v>
      </c>
      <c r="M124">
        <f t="shared" si="4"/>
        <v>4</v>
      </c>
      <c r="N124">
        <f t="shared" si="5"/>
        <v>0</v>
      </c>
    </row>
    <row r="125" spans="1:14" x14ac:dyDescent="0.3">
      <c r="A125">
        <f>HeartData[[#This Row],[id]]</f>
        <v>124</v>
      </c>
      <c r="B125" s="4">
        <f>HeartData[[#This Row],[age]]</f>
        <v>55</v>
      </c>
      <c r="C125" t="str">
        <f>HeartData[[#This Row],[sex]]</f>
        <v>Male</v>
      </c>
      <c r="D125" t="str">
        <f t="shared" si="3"/>
        <v>55-64</v>
      </c>
      <c r="E125" t="str">
        <f>HeartData[[#This Row],[cp]]</f>
        <v>asymptomatic</v>
      </c>
      <c r="F125" t="str">
        <f>IF(HeartData[[#This Row],[num]]&gt;0, "Diseased", "Healthy")</f>
        <v>Diseased</v>
      </c>
      <c r="G125">
        <f>IF(HeartData[[#This Row],[chol]]&gt;$P$3, 1, 0)</f>
        <v>1</v>
      </c>
      <c r="H125">
        <f>IF(HeartData[[#This Row],[trestbps]]&gt;$P$4, 1, 0)</f>
        <v>1</v>
      </c>
      <c r="I125">
        <f>IF(HeartData[[#This Row],[oldpeak]]&gt;$P$5,1,0)</f>
        <v>1</v>
      </c>
      <c r="J125">
        <f>IF(HeartData[[#This Row],[exang]]="TRUE",1,0)</f>
        <v>1</v>
      </c>
      <c r="K125">
        <f>IF(HeartData[[#This Row],[fbs]]="TRUE",1,0)</f>
        <v>0</v>
      </c>
      <c r="L125">
        <f>IF(HeartData[[#This Row],[ca]]&gt;0,1,0)</f>
        <v>0</v>
      </c>
      <c r="M125">
        <f t="shared" si="4"/>
        <v>4</v>
      </c>
      <c r="N125">
        <f t="shared" si="5"/>
        <v>1</v>
      </c>
    </row>
    <row r="126" spans="1:14" x14ac:dyDescent="0.3">
      <c r="A126">
        <f>HeartData[[#This Row],[id]]</f>
        <v>125</v>
      </c>
      <c r="B126" s="4">
        <f>HeartData[[#This Row],[age]]</f>
        <v>65</v>
      </c>
      <c r="C126" t="str">
        <f>HeartData[[#This Row],[sex]]</f>
        <v>Male</v>
      </c>
      <c r="D126" t="str">
        <f t="shared" si="3"/>
        <v>65+</v>
      </c>
      <c r="E126" t="str">
        <f>HeartData[[#This Row],[cp]]</f>
        <v>typical angina</v>
      </c>
      <c r="F126" t="str">
        <f>IF(HeartData[[#This Row],[num]]&gt;0, "Diseased", "Healthy")</f>
        <v>Diseased</v>
      </c>
      <c r="G126">
        <f>IF(HeartData[[#This Row],[chol]]&gt;$P$3, 1, 0)</f>
        <v>1</v>
      </c>
      <c r="H126">
        <f>IF(HeartData[[#This Row],[trestbps]]&gt;$P$4, 1, 0)</f>
        <v>1</v>
      </c>
      <c r="I126">
        <f>IF(HeartData[[#This Row],[oldpeak]]&gt;$P$5,1,0)</f>
        <v>1</v>
      </c>
      <c r="J126">
        <f>IF(HeartData[[#This Row],[exang]]="TRUE",1,0)</f>
        <v>0</v>
      </c>
      <c r="K126">
        <f>IF(HeartData[[#This Row],[fbs]]="TRUE",1,0)</f>
        <v>1</v>
      </c>
      <c r="L126">
        <f>IF(HeartData[[#This Row],[ca]]&gt;0,1,0)</f>
        <v>1</v>
      </c>
      <c r="M126">
        <f t="shared" si="4"/>
        <v>5</v>
      </c>
      <c r="N126">
        <f t="shared" si="5"/>
        <v>1</v>
      </c>
    </row>
    <row r="127" spans="1:14" x14ac:dyDescent="0.3">
      <c r="A127">
        <f>HeartData[[#This Row],[id]]</f>
        <v>126</v>
      </c>
      <c r="B127" s="4">
        <f>HeartData[[#This Row],[age]]</f>
        <v>45</v>
      </c>
      <c r="C127" t="str">
        <f>HeartData[[#This Row],[sex]]</f>
        <v>Female</v>
      </c>
      <c r="D127" t="str">
        <f t="shared" si="3"/>
        <v>45-54</v>
      </c>
      <c r="E127" t="str">
        <f>HeartData[[#This Row],[cp]]</f>
        <v>atypical angina</v>
      </c>
      <c r="F127" t="str">
        <f>IF(HeartData[[#This Row],[num]]&gt;0, "Diseased", "Healthy")</f>
        <v>Healthy</v>
      </c>
      <c r="G127">
        <f>IF(HeartData[[#This Row],[chol]]&gt;$P$3, 1, 0)</f>
        <v>1</v>
      </c>
      <c r="H127">
        <f>IF(HeartData[[#This Row],[trestbps]]&gt;$P$4, 1, 0)</f>
        <v>1</v>
      </c>
      <c r="I127">
        <f>IF(HeartData[[#This Row],[oldpeak]]&gt;$P$5,1,0)</f>
        <v>1</v>
      </c>
      <c r="J127">
        <f>IF(HeartData[[#This Row],[exang]]="TRUE",1,0)</f>
        <v>0</v>
      </c>
      <c r="K127">
        <f>IF(HeartData[[#This Row],[fbs]]="TRUE",1,0)</f>
        <v>0</v>
      </c>
      <c r="L127">
        <f>IF(HeartData[[#This Row],[ca]]&gt;0,1,0)</f>
        <v>0</v>
      </c>
      <c r="M127">
        <f t="shared" si="4"/>
        <v>3</v>
      </c>
      <c r="N127">
        <f t="shared" si="5"/>
        <v>0</v>
      </c>
    </row>
    <row r="128" spans="1:14" x14ac:dyDescent="0.3">
      <c r="A128">
        <f>HeartData[[#This Row],[id]]</f>
        <v>127</v>
      </c>
      <c r="B128" s="4">
        <f>HeartData[[#This Row],[age]]</f>
        <v>56</v>
      </c>
      <c r="C128" t="str">
        <f>HeartData[[#This Row],[sex]]</f>
        <v>Female</v>
      </c>
      <c r="D128" t="str">
        <f t="shared" si="3"/>
        <v>55-64</v>
      </c>
      <c r="E128" t="str">
        <f>HeartData[[#This Row],[cp]]</f>
        <v>asymptomatic</v>
      </c>
      <c r="F128" t="str">
        <f>IF(HeartData[[#This Row],[num]]&gt;0, "Diseased", "Healthy")</f>
        <v>Diseased</v>
      </c>
      <c r="G128">
        <f>IF(HeartData[[#This Row],[chol]]&gt;$P$3, 1, 0)</f>
        <v>1</v>
      </c>
      <c r="H128">
        <f>IF(HeartData[[#This Row],[trestbps]]&gt;$P$4, 1, 0)</f>
        <v>1</v>
      </c>
      <c r="I128">
        <f>IF(HeartData[[#This Row],[oldpeak]]&gt;$P$5,1,0)</f>
        <v>1</v>
      </c>
      <c r="J128">
        <f>IF(HeartData[[#This Row],[exang]]="TRUE",1,0)</f>
        <v>1</v>
      </c>
      <c r="K128">
        <f>IF(HeartData[[#This Row],[fbs]]="TRUE",1,0)</f>
        <v>1</v>
      </c>
      <c r="L128">
        <f>IF(HeartData[[#This Row],[ca]]&gt;0,1,0)</f>
        <v>1</v>
      </c>
      <c r="M128">
        <f t="shared" si="4"/>
        <v>6</v>
      </c>
      <c r="N128">
        <f t="shared" si="5"/>
        <v>1</v>
      </c>
    </row>
    <row r="129" spans="1:14" x14ac:dyDescent="0.3">
      <c r="A129">
        <f>HeartData[[#This Row],[id]]</f>
        <v>128</v>
      </c>
      <c r="B129" s="4">
        <f>HeartData[[#This Row],[age]]</f>
        <v>54</v>
      </c>
      <c r="C129" t="str">
        <f>HeartData[[#This Row],[sex]]</f>
        <v>Male</v>
      </c>
      <c r="D129" t="str">
        <f t="shared" si="3"/>
        <v>45-54</v>
      </c>
      <c r="E129" t="str">
        <f>HeartData[[#This Row],[cp]]</f>
        <v>asymptomatic</v>
      </c>
      <c r="F129" t="str">
        <f>IF(HeartData[[#This Row],[num]]&gt;0, "Diseased", "Healthy")</f>
        <v>Diseased</v>
      </c>
      <c r="G129">
        <f>IF(HeartData[[#This Row],[chol]]&gt;$P$3, 1, 0)</f>
        <v>1</v>
      </c>
      <c r="H129">
        <f>IF(HeartData[[#This Row],[trestbps]]&gt;$P$4, 1, 0)</f>
        <v>1</v>
      </c>
      <c r="I129">
        <f>IF(HeartData[[#This Row],[oldpeak]]&gt;$P$5,1,0)</f>
        <v>1</v>
      </c>
      <c r="J129">
        <f>IF(HeartData[[#This Row],[exang]]="TRUE",1,0)</f>
        <v>1</v>
      </c>
      <c r="K129">
        <f>IF(HeartData[[#This Row],[fbs]]="TRUE",1,0)</f>
        <v>0</v>
      </c>
      <c r="L129">
        <f>IF(HeartData[[#This Row],[ca]]&gt;0,1,0)</f>
        <v>1</v>
      </c>
      <c r="M129">
        <f t="shared" si="4"/>
        <v>5</v>
      </c>
      <c r="N129">
        <f t="shared" si="5"/>
        <v>1</v>
      </c>
    </row>
    <row r="130" spans="1:14" x14ac:dyDescent="0.3">
      <c r="A130">
        <f>HeartData[[#This Row],[id]]</f>
        <v>129</v>
      </c>
      <c r="B130" s="4">
        <f>HeartData[[#This Row],[age]]</f>
        <v>44</v>
      </c>
      <c r="C130" t="str">
        <f>HeartData[[#This Row],[sex]]</f>
        <v>Male</v>
      </c>
      <c r="D130" t="str">
        <f t="shared" ref="D130:D193" si="6">IF(B130&lt;45,"Under 45",IF(B130&lt;=54,"45-54",IF(B130&lt;=64,"55-64","65+")))</f>
        <v>Under 45</v>
      </c>
      <c r="E130" t="str">
        <f>HeartData[[#This Row],[cp]]</f>
        <v>atypical angina</v>
      </c>
      <c r="F130" t="str">
        <f>IF(HeartData[[#This Row],[num]]&gt;0, "Diseased", "Healthy")</f>
        <v>Healthy</v>
      </c>
      <c r="G130">
        <f>IF(HeartData[[#This Row],[chol]]&gt;$P$3, 1, 0)</f>
        <v>1</v>
      </c>
      <c r="H130">
        <f>IF(HeartData[[#This Row],[trestbps]]&gt;$P$4, 1, 0)</f>
        <v>1</v>
      </c>
      <c r="I130">
        <f>IF(HeartData[[#This Row],[oldpeak]]&gt;$P$5,1,0)</f>
        <v>0</v>
      </c>
      <c r="J130">
        <f>IF(HeartData[[#This Row],[exang]]="TRUE",1,0)</f>
        <v>0</v>
      </c>
      <c r="K130">
        <f>IF(HeartData[[#This Row],[fbs]]="TRUE",1,0)</f>
        <v>0</v>
      </c>
      <c r="L130">
        <f>IF(HeartData[[#This Row],[ca]]&gt;0,1,0)</f>
        <v>0</v>
      </c>
      <c r="M130">
        <f t="shared" si="4"/>
        <v>2</v>
      </c>
      <c r="N130">
        <f t="shared" si="5"/>
        <v>0</v>
      </c>
    </row>
    <row r="131" spans="1:14" x14ac:dyDescent="0.3">
      <c r="A131">
        <f>HeartData[[#This Row],[id]]</f>
        <v>130</v>
      </c>
      <c r="B131" s="4">
        <f>HeartData[[#This Row],[age]]</f>
        <v>62</v>
      </c>
      <c r="C131" t="str">
        <f>HeartData[[#This Row],[sex]]</f>
        <v>Female</v>
      </c>
      <c r="D131" t="str">
        <f t="shared" si="6"/>
        <v>55-64</v>
      </c>
      <c r="E131" t="str">
        <f>HeartData[[#This Row],[cp]]</f>
        <v>asymptomatic</v>
      </c>
      <c r="F131" t="str">
        <f>IF(HeartData[[#This Row],[num]]&gt;0, "Diseased", "Healthy")</f>
        <v>Healthy</v>
      </c>
      <c r="G131">
        <f>IF(HeartData[[#This Row],[chol]]&gt;$P$3, 1, 0)</f>
        <v>1</v>
      </c>
      <c r="H131">
        <f>IF(HeartData[[#This Row],[trestbps]]&gt;$P$4, 1, 0)</f>
        <v>1</v>
      </c>
      <c r="I131">
        <f>IF(HeartData[[#This Row],[oldpeak]]&gt;$P$5,1,0)</f>
        <v>0</v>
      </c>
      <c r="J131">
        <f>IF(HeartData[[#This Row],[exang]]="TRUE",1,0)</f>
        <v>0</v>
      </c>
      <c r="K131">
        <f>IF(HeartData[[#This Row],[fbs]]="TRUE",1,0)</f>
        <v>0</v>
      </c>
      <c r="L131">
        <f>IF(HeartData[[#This Row],[ca]]&gt;0,1,0)</f>
        <v>0</v>
      </c>
      <c r="M131">
        <f t="shared" ref="M131:M194" si="7">G131+H131+I131+J131+K131+L131</f>
        <v>2</v>
      </c>
      <c r="N131">
        <f t="shared" ref="N131:N194" si="8">IF(F131="Diseased",1,0)</f>
        <v>0</v>
      </c>
    </row>
    <row r="132" spans="1:14" x14ac:dyDescent="0.3">
      <c r="A132">
        <f>HeartData[[#This Row],[id]]</f>
        <v>131</v>
      </c>
      <c r="B132" s="4">
        <f>HeartData[[#This Row],[age]]</f>
        <v>54</v>
      </c>
      <c r="C132" t="str">
        <f>HeartData[[#This Row],[sex]]</f>
        <v>Male</v>
      </c>
      <c r="D132" t="str">
        <f t="shared" si="6"/>
        <v>45-54</v>
      </c>
      <c r="E132" t="str">
        <f>HeartData[[#This Row],[cp]]</f>
        <v>non-anginal</v>
      </c>
      <c r="F132" t="str">
        <f>IF(HeartData[[#This Row],[num]]&gt;0, "Diseased", "Healthy")</f>
        <v>Healthy</v>
      </c>
      <c r="G132">
        <f>IF(HeartData[[#This Row],[chol]]&gt;$P$3, 1, 0)</f>
        <v>1</v>
      </c>
      <c r="H132">
        <f>IF(HeartData[[#This Row],[trestbps]]&gt;$P$4, 1, 0)</f>
        <v>1</v>
      </c>
      <c r="I132">
        <f>IF(HeartData[[#This Row],[oldpeak]]&gt;$P$5,1,0)</f>
        <v>1</v>
      </c>
      <c r="J132">
        <f>IF(HeartData[[#This Row],[exang]]="TRUE",1,0)</f>
        <v>0</v>
      </c>
      <c r="K132">
        <f>IF(HeartData[[#This Row],[fbs]]="TRUE",1,0)</f>
        <v>0</v>
      </c>
      <c r="L132">
        <f>IF(HeartData[[#This Row],[ca]]&gt;0,1,0)</f>
        <v>0</v>
      </c>
      <c r="M132">
        <f t="shared" si="7"/>
        <v>3</v>
      </c>
      <c r="N132">
        <f t="shared" si="8"/>
        <v>0</v>
      </c>
    </row>
    <row r="133" spans="1:14" x14ac:dyDescent="0.3">
      <c r="A133">
        <f>HeartData[[#This Row],[id]]</f>
        <v>132</v>
      </c>
      <c r="B133" s="4">
        <f>HeartData[[#This Row],[age]]</f>
        <v>51</v>
      </c>
      <c r="C133" t="str">
        <f>HeartData[[#This Row],[sex]]</f>
        <v>Male</v>
      </c>
      <c r="D133" t="str">
        <f t="shared" si="6"/>
        <v>45-54</v>
      </c>
      <c r="E133" t="str">
        <f>HeartData[[#This Row],[cp]]</f>
        <v>non-anginal</v>
      </c>
      <c r="F133" t="str">
        <f>IF(HeartData[[#This Row],[num]]&gt;0, "Diseased", "Healthy")</f>
        <v>Healthy</v>
      </c>
      <c r="G133">
        <f>IF(HeartData[[#This Row],[chol]]&gt;$P$3, 1, 0)</f>
        <v>1</v>
      </c>
      <c r="H133">
        <f>IF(HeartData[[#This Row],[trestbps]]&gt;$P$4, 1, 0)</f>
        <v>1</v>
      </c>
      <c r="I133">
        <f>IF(HeartData[[#This Row],[oldpeak]]&gt;$P$5,1,0)</f>
        <v>0</v>
      </c>
      <c r="J133">
        <f>IF(HeartData[[#This Row],[exang]]="TRUE",1,0)</f>
        <v>1</v>
      </c>
      <c r="K133">
        <f>IF(HeartData[[#This Row],[fbs]]="TRUE",1,0)</f>
        <v>0</v>
      </c>
      <c r="L133">
        <f>IF(HeartData[[#This Row],[ca]]&gt;0,1,0)</f>
        <v>1</v>
      </c>
      <c r="M133">
        <f t="shared" si="7"/>
        <v>4</v>
      </c>
      <c r="N133">
        <f t="shared" si="8"/>
        <v>0</v>
      </c>
    </row>
    <row r="134" spans="1:14" x14ac:dyDescent="0.3">
      <c r="A134">
        <f>HeartData[[#This Row],[id]]</f>
        <v>133</v>
      </c>
      <c r="B134" s="4">
        <f>HeartData[[#This Row],[age]]</f>
        <v>29</v>
      </c>
      <c r="C134" t="str">
        <f>HeartData[[#This Row],[sex]]</f>
        <v>Male</v>
      </c>
      <c r="D134" t="str">
        <f t="shared" si="6"/>
        <v>Under 45</v>
      </c>
      <c r="E134" t="str">
        <f>HeartData[[#This Row],[cp]]</f>
        <v>atypical angina</v>
      </c>
      <c r="F134" t="str">
        <f>IF(HeartData[[#This Row],[num]]&gt;0, "Diseased", "Healthy")</f>
        <v>Healthy</v>
      </c>
      <c r="G134">
        <f>IF(HeartData[[#This Row],[chol]]&gt;$P$3, 1, 0)</f>
        <v>1</v>
      </c>
      <c r="H134">
        <f>IF(HeartData[[#This Row],[trestbps]]&gt;$P$4, 1, 0)</f>
        <v>1</v>
      </c>
      <c r="I134">
        <f>IF(HeartData[[#This Row],[oldpeak]]&gt;$P$5,1,0)</f>
        <v>0</v>
      </c>
      <c r="J134">
        <f>IF(HeartData[[#This Row],[exang]]="TRUE",1,0)</f>
        <v>0</v>
      </c>
      <c r="K134">
        <f>IF(HeartData[[#This Row],[fbs]]="TRUE",1,0)</f>
        <v>0</v>
      </c>
      <c r="L134">
        <f>IF(HeartData[[#This Row],[ca]]&gt;0,1,0)</f>
        <v>0</v>
      </c>
      <c r="M134">
        <f t="shared" si="7"/>
        <v>2</v>
      </c>
      <c r="N134">
        <f t="shared" si="8"/>
        <v>0</v>
      </c>
    </row>
    <row r="135" spans="1:14" x14ac:dyDescent="0.3">
      <c r="A135">
        <f>HeartData[[#This Row],[id]]</f>
        <v>134</v>
      </c>
      <c r="B135" s="4">
        <f>HeartData[[#This Row],[age]]</f>
        <v>51</v>
      </c>
      <c r="C135" t="str">
        <f>HeartData[[#This Row],[sex]]</f>
        <v>Male</v>
      </c>
      <c r="D135" t="str">
        <f t="shared" si="6"/>
        <v>45-54</v>
      </c>
      <c r="E135" t="str">
        <f>HeartData[[#This Row],[cp]]</f>
        <v>asymptomatic</v>
      </c>
      <c r="F135" t="str">
        <f>IF(HeartData[[#This Row],[num]]&gt;0, "Diseased", "Healthy")</f>
        <v>Healthy</v>
      </c>
      <c r="G135">
        <f>IF(HeartData[[#This Row],[chol]]&gt;$P$3, 1, 0)</f>
        <v>1</v>
      </c>
      <c r="H135">
        <f>IF(HeartData[[#This Row],[trestbps]]&gt;$P$4, 1, 0)</f>
        <v>1</v>
      </c>
      <c r="I135">
        <f>IF(HeartData[[#This Row],[oldpeak]]&gt;$P$5,1,0)</f>
        <v>0</v>
      </c>
      <c r="J135">
        <f>IF(HeartData[[#This Row],[exang]]="TRUE",1,0)</f>
        <v>1</v>
      </c>
      <c r="K135">
        <f>IF(HeartData[[#This Row],[fbs]]="TRUE",1,0)</f>
        <v>0</v>
      </c>
      <c r="L135">
        <f>IF(HeartData[[#This Row],[ca]]&gt;0,1,0)</f>
        <v>0</v>
      </c>
      <c r="M135">
        <f t="shared" si="7"/>
        <v>3</v>
      </c>
      <c r="N135">
        <f t="shared" si="8"/>
        <v>0</v>
      </c>
    </row>
    <row r="136" spans="1:14" x14ac:dyDescent="0.3">
      <c r="A136">
        <f>HeartData[[#This Row],[id]]</f>
        <v>135</v>
      </c>
      <c r="B136" s="4">
        <f>HeartData[[#This Row],[age]]</f>
        <v>43</v>
      </c>
      <c r="C136" t="str">
        <f>HeartData[[#This Row],[sex]]</f>
        <v>Female</v>
      </c>
      <c r="D136" t="str">
        <f t="shared" si="6"/>
        <v>Under 45</v>
      </c>
      <c r="E136" t="str">
        <f>HeartData[[#This Row],[cp]]</f>
        <v>non-anginal</v>
      </c>
      <c r="F136" t="str">
        <f>IF(HeartData[[#This Row],[num]]&gt;0, "Diseased", "Healthy")</f>
        <v>Healthy</v>
      </c>
      <c r="G136">
        <f>IF(HeartData[[#This Row],[chol]]&gt;$P$3, 1, 0)</f>
        <v>1</v>
      </c>
      <c r="H136">
        <f>IF(HeartData[[#This Row],[trestbps]]&gt;$P$4, 1, 0)</f>
        <v>1</v>
      </c>
      <c r="I136">
        <f>IF(HeartData[[#This Row],[oldpeak]]&gt;$P$5,1,0)</f>
        <v>1</v>
      </c>
      <c r="J136">
        <f>IF(HeartData[[#This Row],[exang]]="TRUE",1,0)</f>
        <v>0</v>
      </c>
      <c r="K136">
        <f>IF(HeartData[[#This Row],[fbs]]="TRUE",1,0)</f>
        <v>0</v>
      </c>
      <c r="L136">
        <f>IF(HeartData[[#This Row],[ca]]&gt;0,1,0)</f>
        <v>0</v>
      </c>
      <c r="M136">
        <f t="shared" si="7"/>
        <v>3</v>
      </c>
      <c r="N136">
        <f t="shared" si="8"/>
        <v>0</v>
      </c>
    </row>
    <row r="137" spans="1:14" x14ac:dyDescent="0.3">
      <c r="A137">
        <f>HeartData[[#This Row],[id]]</f>
        <v>136</v>
      </c>
      <c r="B137" s="4">
        <f>HeartData[[#This Row],[age]]</f>
        <v>55</v>
      </c>
      <c r="C137" t="str">
        <f>HeartData[[#This Row],[sex]]</f>
        <v>Female</v>
      </c>
      <c r="D137" t="str">
        <f t="shared" si="6"/>
        <v>55-64</v>
      </c>
      <c r="E137" t="str">
        <f>HeartData[[#This Row],[cp]]</f>
        <v>atypical angina</v>
      </c>
      <c r="F137" t="str">
        <f>IF(HeartData[[#This Row],[num]]&gt;0, "Diseased", "Healthy")</f>
        <v>Healthy</v>
      </c>
      <c r="G137">
        <f>IF(HeartData[[#This Row],[chol]]&gt;$P$3, 1, 0)</f>
        <v>1</v>
      </c>
      <c r="H137">
        <f>IF(HeartData[[#This Row],[trestbps]]&gt;$P$4, 1, 0)</f>
        <v>1</v>
      </c>
      <c r="I137">
        <f>IF(HeartData[[#This Row],[oldpeak]]&gt;$P$5,1,0)</f>
        <v>1</v>
      </c>
      <c r="J137">
        <f>IF(HeartData[[#This Row],[exang]]="TRUE",1,0)</f>
        <v>0</v>
      </c>
      <c r="K137">
        <f>IF(HeartData[[#This Row],[fbs]]="TRUE",1,0)</f>
        <v>0</v>
      </c>
      <c r="L137">
        <f>IF(HeartData[[#This Row],[ca]]&gt;0,1,0)</f>
        <v>0</v>
      </c>
      <c r="M137">
        <f t="shared" si="7"/>
        <v>3</v>
      </c>
      <c r="N137">
        <f t="shared" si="8"/>
        <v>0</v>
      </c>
    </row>
    <row r="138" spans="1:14" x14ac:dyDescent="0.3">
      <c r="A138">
        <f>HeartData[[#This Row],[id]]</f>
        <v>137</v>
      </c>
      <c r="B138" s="4">
        <f>HeartData[[#This Row],[age]]</f>
        <v>70</v>
      </c>
      <c r="C138" t="str">
        <f>HeartData[[#This Row],[sex]]</f>
        <v>Male</v>
      </c>
      <c r="D138" t="str">
        <f t="shared" si="6"/>
        <v>65+</v>
      </c>
      <c r="E138" t="str">
        <f>HeartData[[#This Row],[cp]]</f>
        <v>asymptomatic</v>
      </c>
      <c r="F138" t="str">
        <f>IF(HeartData[[#This Row],[num]]&gt;0, "Diseased", "Healthy")</f>
        <v>Diseased</v>
      </c>
      <c r="G138">
        <f>IF(HeartData[[#This Row],[chol]]&gt;$P$3, 1, 0)</f>
        <v>1</v>
      </c>
      <c r="H138">
        <f>IF(HeartData[[#This Row],[trestbps]]&gt;$P$4, 1, 0)</f>
        <v>1</v>
      </c>
      <c r="I138">
        <f>IF(HeartData[[#This Row],[oldpeak]]&gt;$P$5,1,0)</f>
        <v>1</v>
      </c>
      <c r="J138">
        <f>IF(HeartData[[#This Row],[exang]]="TRUE",1,0)</f>
        <v>1</v>
      </c>
      <c r="K138">
        <f>IF(HeartData[[#This Row],[fbs]]="TRUE",1,0)</f>
        <v>0</v>
      </c>
      <c r="L138">
        <f>IF(HeartData[[#This Row],[ca]]&gt;0,1,0)</f>
        <v>0</v>
      </c>
      <c r="M138">
        <f t="shared" si="7"/>
        <v>4</v>
      </c>
      <c r="N138">
        <f t="shared" si="8"/>
        <v>1</v>
      </c>
    </row>
    <row r="139" spans="1:14" x14ac:dyDescent="0.3">
      <c r="A139">
        <f>HeartData[[#This Row],[id]]</f>
        <v>138</v>
      </c>
      <c r="B139" s="4">
        <f>HeartData[[#This Row],[age]]</f>
        <v>62</v>
      </c>
      <c r="C139" t="str">
        <f>HeartData[[#This Row],[sex]]</f>
        <v>Male</v>
      </c>
      <c r="D139" t="str">
        <f t="shared" si="6"/>
        <v>55-64</v>
      </c>
      <c r="E139" t="str">
        <f>HeartData[[#This Row],[cp]]</f>
        <v>atypical angina</v>
      </c>
      <c r="F139" t="str">
        <f>IF(HeartData[[#This Row],[num]]&gt;0, "Diseased", "Healthy")</f>
        <v>Diseased</v>
      </c>
      <c r="G139">
        <f>IF(HeartData[[#This Row],[chol]]&gt;$P$3, 1, 0)</f>
        <v>1</v>
      </c>
      <c r="H139">
        <f>IF(HeartData[[#This Row],[trestbps]]&gt;$P$4, 1, 0)</f>
        <v>1</v>
      </c>
      <c r="I139">
        <f>IF(HeartData[[#This Row],[oldpeak]]&gt;$P$5,1,0)</f>
        <v>1</v>
      </c>
      <c r="J139">
        <f>IF(HeartData[[#This Row],[exang]]="TRUE",1,0)</f>
        <v>0</v>
      </c>
      <c r="K139">
        <f>IF(HeartData[[#This Row],[fbs]]="TRUE",1,0)</f>
        <v>0</v>
      </c>
      <c r="L139">
        <f>IF(HeartData[[#This Row],[ca]]&gt;0,1,0)</f>
        <v>1</v>
      </c>
      <c r="M139">
        <f t="shared" si="7"/>
        <v>4</v>
      </c>
      <c r="N139">
        <f t="shared" si="8"/>
        <v>1</v>
      </c>
    </row>
    <row r="140" spans="1:14" x14ac:dyDescent="0.3">
      <c r="A140">
        <f>HeartData[[#This Row],[id]]</f>
        <v>139</v>
      </c>
      <c r="B140" s="4">
        <f>HeartData[[#This Row],[age]]</f>
        <v>35</v>
      </c>
      <c r="C140" t="str">
        <f>HeartData[[#This Row],[sex]]</f>
        <v>Male</v>
      </c>
      <c r="D140" t="str">
        <f t="shared" si="6"/>
        <v>Under 45</v>
      </c>
      <c r="E140" t="str">
        <f>HeartData[[#This Row],[cp]]</f>
        <v>asymptomatic</v>
      </c>
      <c r="F140" t="str">
        <f>IF(HeartData[[#This Row],[num]]&gt;0, "Diseased", "Healthy")</f>
        <v>Diseased</v>
      </c>
      <c r="G140">
        <f>IF(HeartData[[#This Row],[chol]]&gt;$P$3, 1, 0)</f>
        <v>1</v>
      </c>
      <c r="H140">
        <f>IF(HeartData[[#This Row],[trestbps]]&gt;$P$4, 1, 0)</f>
        <v>1</v>
      </c>
      <c r="I140">
        <f>IF(HeartData[[#This Row],[oldpeak]]&gt;$P$5,1,0)</f>
        <v>1</v>
      </c>
      <c r="J140">
        <f>IF(HeartData[[#This Row],[exang]]="TRUE",1,0)</f>
        <v>1</v>
      </c>
      <c r="K140">
        <f>IF(HeartData[[#This Row],[fbs]]="TRUE",1,0)</f>
        <v>0</v>
      </c>
      <c r="L140">
        <f>IF(HeartData[[#This Row],[ca]]&gt;0,1,0)</f>
        <v>0</v>
      </c>
      <c r="M140">
        <f t="shared" si="7"/>
        <v>4</v>
      </c>
      <c r="N140">
        <f t="shared" si="8"/>
        <v>1</v>
      </c>
    </row>
    <row r="141" spans="1:14" x14ac:dyDescent="0.3">
      <c r="A141">
        <f>HeartData[[#This Row],[id]]</f>
        <v>140</v>
      </c>
      <c r="B141" s="4">
        <f>HeartData[[#This Row],[age]]</f>
        <v>51</v>
      </c>
      <c r="C141" t="str">
        <f>HeartData[[#This Row],[sex]]</f>
        <v>Male</v>
      </c>
      <c r="D141" t="str">
        <f t="shared" si="6"/>
        <v>45-54</v>
      </c>
      <c r="E141" t="str">
        <f>HeartData[[#This Row],[cp]]</f>
        <v>non-anginal</v>
      </c>
      <c r="F141" t="str">
        <f>IF(HeartData[[#This Row],[num]]&gt;0, "Diseased", "Healthy")</f>
        <v>Healthy</v>
      </c>
      <c r="G141">
        <f>IF(HeartData[[#This Row],[chol]]&gt;$P$3, 1, 0)</f>
        <v>1</v>
      </c>
      <c r="H141">
        <f>IF(HeartData[[#This Row],[trestbps]]&gt;$P$4, 1, 0)</f>
        <v>1</v>
      </c>
      <c r="I141">
        <f>IF(HeartData[[#This Row],[oldpeak]]&gt;$P$5,1,0)</f>
        <v>1</v>
      </c>
      <c r="J141">
        <f>IF(HeartData[[#This Row],[exang]]="TRUE",1,0)</f>
        <v>0</v>
      </c>
      <c r="K141">
        <f>IF(HeartData[[#This Row],[fbs]]="TRUE",1,0)</f>
        <v>1</v>
      </c>
      <c r="L141">
        <f>IF(HeartData[[#This Row],[ca]]&gt;0,1,0)</f>
        <v>0</v>
      </c>
      <c r="M141">
        <f t="shared" si="7"/>
        <v>4</v>
      </c>
      <c r="N141">
        <f t="shared" si="8"/>
        <v>0</v>
      </c>
    </row>
    <row r="142" spans="1:14" x14ac:dyDescent="0.3">
      <c r="A142">
        <f>HeartData[[#This Row],[id]]</f>
        <v>141</v>
      </c>
      <c r="B142" s="4">
        <f>HeartData[[#This Row],[age]]</f>
        <v>59</v>
      </c>
      <c r="C142" t="str">
        <f>HeartData[[#This Row],[sex]]</f>
        <v>Male</v>
      </c>
      <c r="D142" t="str">
        <f t="shared" si="6"/>
        <v>55-64</v>
      </c>
      <c r="E142" t="str">
        <f>HeartData[[#This Row],[cp]]</f>
        <v>atypical angina</v>
      </c>
      <c r="F142" t="str">
        <f>IF(HeartData[[#This Row],[num]]&gt;0, "Diseased", "Healthy")</f>
        <v>Healthy</v>
      </c>
      <c r="G142">
        <f>IF(HeartData[[#This Row],[chol]]&gt;$P$3, 1, 0)</f>
        <v>1</v>
      </c>
      <c r="H142">
        <f>IF(HeartData[[#This Row],[trestbps]]&gt;$P$4, 1, 0)</f>
        <v>1</v>
      </c>
      <c r="I142">
        <f>IF(HeartData[[#This Row],[oldpeak]]&gt;$P$5,1,0)</f>
        <v>0</v>
      </c>
      <c r="J142">
        <f>IF(HeartData[[#This Row],[exang]]="TRUE",1,0)</f>
        <v>1</v>
      </c>
      <c r="K142">
        <f>IF(HeartData[[#This Row],[fbs]]="TRUE",1,0)</f>
        <v>0</v>
      </c>
      <c r="L142">
        <f>IF(HeartData[[#This Row],[ca]]&gt;0,1,0)</f>
        <v>0</v>
      </c>
      <c r="M142">
        <f t="shared" si="7"/>
        <v>3</v>
      </c>
      <c r="N142">
        <f t="shared" si="8"/>
        <v>0</v>
      </c>
    </row>
    <row r="143" spans="1:14" x14ac:dyDescent="0.3">
      <c r="A143">
        <f>HeartData[[#This Row],[id]]</f>
        <v>142</v>
      </c>
      <c r="B143" s="4">
        <f>HeartData[[#This Row],[age]]</f>
        <v>59</v>
      </c>
      <c r="C143" t="str">
        <f>HeartData[[#This Row],[sex]]</f>
        <v>Male</v>
      </c>
      <c r="D143" t="str">
        <f t="shared" si="6"/>
        <v>55-64</v>
      </c>
      <c r="E143" t="str">
        <f>HeartData[[#This Row],[cp]]</f>
        <v>typical angina</v>
      </c>
      <c r="F143" t="str">
        <f>IF(HeartData[[#This Row],[num]]&gt;0, "Diseased", "Healthy")</f>
        <v>Diseased</v>
      </c>
      <c r="G143">
        <f>IF(HeartData[[#This Row],[chol]]&gt;$P$3, 1, 0)</f>
        <v>1</v>
      </c>
      <c r="H143">
        <f>IF(HeartData[[#This Row],[trestbps]]&gt;$P$4, 1, 0)</f>
        <v>1</v>
      </c>
      <c r="I143">
        <f>IF(HeartData[[#This Row],[oldpeak]]&gt;$P$5,1,0)</f>
        <v>1</v>
      </c>
      <c r="J143">
        <f>IF(HeartData[[#This Row],[exang]]="TRUE",1,0)</f>
        <v>0</v>
      </c>
      <c r="K143">
        <f>IF(HeartData[[#This Row],[fbs]]="TRUE",1,0)</f>
        <v>0</v>
      </c>
      <c r="L143">
        <f>IF(HeartData[[#This Row],[ca]]&gt;0,1,0)</f>
        <v>0</v>
      </c>
      <c r="M143">
        <f t="shared" si="7"/>
        <v>3</v>
      </c>
      <c r="N143">
        <f t="shared" si="8"/>
        <v>1</v>
      </c>
    </row>
    <row r="144" spans="1:14" x14ac:dyDescent="0.3">
      <c r="A144">
        <f>HeartData[[#This Row],[id]]</f>
        <v>143</v>
      </c>
      <c r="B144" s="4">
        <f>HeartData[[#This Row],[age]]</f>
        <v>52</v>
      </c>
      <c r="C144" t="str">
        <f>HeartData[[#This Row],[sex]]</f>
        <v>Male</v>
      </c>
      <c r="D144" t="str">
        <f t="shared" si="6"/>
        <v>45-54</v>
      </c>
      <c r="E144" t="str">
        <f>HeartData[[#This Row],[cp]]</f>
        <v>atypical angina</v>
      </c>
      <c r="F144" t="str">
        <f>IF(HeartData[[#This Row],[num]]&gt;0, "Diseased", "Healthy")</f>
        <v>Healthy</v>
      </c>
      <c r="G144">
        <f>IF(HeartData[[#This Row],[chol]]&gt;$P$3, 1, 0)</f>
        <v>1</v>
      </c>
      <c r="H144">
        <f>IF(HeartData[[#This Row],[trestbps]]&gt;$P$4, 1, 0)</f>
        <v>1</v>
      </c>
      <c r="I144">
        <f>IF(HeartData[[#This Row],[oldpeak]]&gt;$P$5,1,0)</f>
        <v>0</v>
      </c>
      <c r="J144">
        <f>IF(HeartData[[#This Row],[exang]]="TRUE",1,0)</f>
        <v>0</v>
      </c>
      <c r="K144">
        <f>IF(HeartData[[#This Row],[fbs]]="TRUE",1,0)</f>
        <v>1</v>
      </c>
      <c r="L144">
        <f>IF(HeartData[[#This Row],[ca]]&gt;0,1,0)</f>
        <v>0</v>
      </c>
      <c r="M144">
        <f t="shared" si="7"/>
        <v>3</v>
      </c>
      <c r="N144">
        <f t="shared" si="8"/>
        <v>0</v>
      </c>
    </row>
    <row r="145" spans="1:14" x14ac:dyDescent="0.3">
      <c r="A145">
        <f>HeartData[[#This Row],[id]]</f>
        <v>144</v>
      </c>
      <c r="B145" s="4">
        <f>HeartData[[#This Row],[age]]</f>
        <v>64</v>
      </c>
      <c r="C145" t="str">
        <f>HeartData[[#This Row],[sex]]</f>
        <v>Male</v>
      </c>
      <c r="D145" t="str">
        <f t="shared" si="6"/>
        <v>55-64</v>
      </c>
      <c r="E145" t="str">
        <f>HeartData[[#This Row],[cp]]</f>
        <v>non-anginal</v>
      </c>
      <c r="F145" t="str">
        <f>IF(HeartData[[#This Row],[num]]&gt;0, "Diseased", "Healthy")</f>
        <v>Diseased</v>
      </c>
      <c r="G145">
        <f>IF(HeartData[[#This Row],[chol]]&gt;$P$3, 1, 0)</f>
        <v>1</v>
      </c>
      <c r="H145">
        <f>IF(HeartData[[#This Row],[trestbps]]&gt;$P$4, 1, 0)</f>
        <v>1</v>
      </c>
      <c r="I145">
        <f>IF(HeartData[[#This Row],[oldpeak]]&gt;$P$5,1,0)</f>
        <v>1</v>
      </c>
      <c r="J145">
        <f>IF(HeartData[[#This Row],[exang]]="TRUE",1,0)</f>
        <v>1</v>
      </c>
      <c r="K145">
        <f>IF(HeartData[[#This Row],[fbs]]="TRUE",1,0)</f>
        <v>0</v>
      </c>
      <c r="L145">
        <f>IF(HeartData[[#This Row],[ca]]&gt;0,1,0)</f>
        <v>0</v>
      </c>
      <c r="M145">
        <f t="shared" si="7"/>
        <v>4</v>
      </c>
      <c r="N145">
        <f t="shared" si="8"/>
        <v>1</v>
      </c>
    </row>
    <row r="146" spans="1:14" x14ac:dyDescent="0.3">
      <c r="A146">
        <f>HeartData[[#This Row],[id]]</f>
        <v>145</v>
      </c>
      <c r="B146" s="4">
        <f>HeartData[[#This Row],[age]]</f>
        <v>58</v>
      </c>
      <c r="C146" t="str">
        <f>HeartData[[#This Row],[sex]]</f>
        <v>Male</v>
      </c>
      <c r="D146" t="str">
        <f t="shared" si="6"/>
        <v>55-64</v>
      </c>
      <c r="E146" t="str">
        <f>HeartData[[#This Row],[cp]]</f>
        <v>non-anginal</v>
      </c>
      <c r="F146" t="str">
        <f>IF(HeartData[[#This Row],[num]]&gt;0, "Diseased", "Healthy")</f>
        <v>Healthy</v>
      </c>
      <c r="G146">
        <f>IF(HeartData[[#This Row],[chol]]&gt;$P$3, 1, 0)</f>
        <v>1</v>
      </c>
      <c r="H146">
        <f>IF(HeartData[[#This Row],[trestbps]]&gt;$P$4, 1, 0)</f>
        <v>1</v>
      </c>
      <c r="I146">
        <f>IF(HeartData[[#This Row],[oldpeak]]&gt;$P$5,1,0)</f>
        <v>1</v>
      </c>
      <c r="J146">
        <f>IF(HeartData[[#This Row],[exang]]="TRUE",1,0)</f>
        <v>1</v>
      </c>
      <c r="K146">
        <f>IF(HeartData[[#This Row],[fbs]]="TRUE",1,0)</f>
        <v>0</v>
      </c>
      <c r="L146">
        <f>IF(HeartData[[#This Row],[ca]]&gt;0,1,0)</f>
        <v>0</v>
      </c>
      <c r="M146">
        <f t="shared" si="7"/>
        <v>4</v>
      </c>
      <c r="N146">
        <f t="shared" si="8"/>
        <v>0</v>
      </c>
    </row>
    <row r="147" spans="1:14" x14ac:dyDescent="0.3">
      <c r="A147">
        <f>HeartData[[#This Row],[id]]</f>
        <v>146</v>
      </c>
      <c r="B147" s="4">
        <f>HeartData[[#This Row],[age]]</f>
        <v>47</v>
      </c>
      <c r="C147" t="str">
        <f>HeartData[[#This Row],[sex]]</f>
        <v>Male</v>
      </c>
      <c r="D147" t="str">
        <f t="shared" si="6"/>
        <v>45-54</v>
      </c>
      <c r="E147" t="str">
        <f>HeartData[[#This Row],[cp]]</f>
        <v>non-anginal</v>
      </c>
      <c r="F147" t="str">
        <f>IF(HeartData[[#This Row],[num]]&gt;0, "Diseased", "Healthy")</f>
        <v>Diseased</v>
      </c>
      <c r="G147">
        <f>IF(HeartData[[#This Row],[chol]]&gt;$P$3, 1, 0)</f>
        <v>1</v>
      </c>
      <c r="H147">
        <f>IF(HeartData[[#This Row],[trestbps]]&gt;$P$4, 1, 0)</f>
        <v>1</v>
      </c>
      <c r="I147">
        <f>IF(HeartData[[#This Row],[oldpeak]]&gt;$P$5,1,0)</f>
        <v>0</v>
      </c>
      <c r="J147">
        <f>IF(HeartData[[#This Row],[exang]]="TRUE",1,0)</f>
        <v>0</v>
      </c>
      <c r="K147">
        <f>IF(HeartData[[#This Row],[fbs]]="TRUE",1,0)</f>
        <v>0</v>
      </c>
      <c r="L147">
        <f>IF(HeartData[[#This Row],[ca]]&gt;0,1,0)</f>
        <v>0</v>
      </c>
      <c r="M147">
        <f t="shared" si="7"/>
        <v>2</v>
      </c>
      <c r="N147">
        <f t="shared" si="8"/>
        <v>1</v>
      </c>
    </row>
    <row r="148" spans="1:14" x14ac:dyDescent="0.3">
      <c r="A148">
        <f>HeartData[[#This Row],[id]]</f>
        <v>147</v>
      </c>
      <c r="B148" s="4">
        <f>HeartData[[#This Row],[age]]</f>
        <v>57</v>
      </c>
      <c r="C148" t="str">
        <f>HeartData[[#This Row],[sex]]</f>
        <v>Male</v>
      </c>
      <c r="D148" t="str">
        <f t="shared" si="6"/>
        <v>55-64</v>
      </c>
      <c r="E148" t="str">
        <f>HeartData[[#This Row],[cp]]</f>
        <v>asymptomatic</v>
      </c>
      <c r="F148" t="str">
        <f>IF(HeartData[[#This Row],[num]]&gt;0, "Diseased", "Healthy")</f>
        <v>Diseased</v>
      </c>
      <c r="G148">
        <f>IF(HeartData[[#This Row],[chol]]&gt;$P$3, 1, 0)</f>
        <v>1</v>
      </c>
      <c r="H148">
        <f>IF(HeartData[[#This Row],[trestbps]]&gt;$P$4, 1, 0)</f>
        <v>1</v>
      </c>
      <c r="I148">
        <f>IF(HeartData[[#This Row],[oldpeak]]&gt;$P$5,1,0)</f>
        <v>1</v>
      </c>
      <c r="J148">
        <f>IF(HeartData[[#This Row],[exang]]="TRUE",1,0)</f>
        <v>0</v>
      </c>
      <c r="K148">
        <f>IF(HeartData[[#This Row],[fbs]]="TRUE",1,0)</f>
        <v>1</v>
      </c>
      <c r="L148">
        <f>IF(HeartData[[#This Row],[ca]]&gt;0,1,0)</f>
        <v>1</v>
      </c>
      <c r="M148">
        <f t="shared" si="7"/>
        <v>5</v>
      </c>
      <c r="N148">
        <f t="shared" si="8"/>
        <v>1</v>
      </c>
    </row>
    <row r="149" spans="1:14" x14ac:dyDescent="0.3">
      <c r="A149">
        <f>HeartData[[#This Row],[id]]</f>
        <v>148</v>
      </c>
      <c r="B149" s="4">
        <f>HeartData[[#This Row],[age]]</f>
        <v>41</v>
      </c>
      <c r="C149" t="str">
        <f>HeartData[[#This Row],[sex]]</f>
        <v>Male</v>
      </c>
      <c r="D149" t="str">
        <f t="shared" si="6"/>
        <v>Under 45</v>
      </c>
      <c r="E149" t="str">
        <f>HeartData[[#This Row],[cp]]</f>
        <v>non-anginal</v>
      </c>
      <c r="F149" t="str">
        <f>IF(HeartData[[#This Row],[num]]&gt;0, "Diseased", "Healthy")</f>
        <v>Healthy</v>
      </c>
      <c r="G149">
        <f>IF(HeartData[[#This Row],[chol]]&gt;$P$3, 1, 0)</f>
        <v>1</v>
      </c>
      <c r="H149">
        <f>IF(HeartData[[#This Row],[trestbps]]&gt;$P$4, 1, 0)</f>
        <v>1</v>
      </c>
      <c r="I149">
        <f>IF(HeartData[[#This Row],[oldpeak]]&gt;$P$5,1,0)</f>
        <v>0</v>
      </c>
      <c r="J149">
        <f>IF(HeartData[[#This Row],[exang]]="TRUE",1,0)</f>
        <v>0</v>
      </c>
      <c r="K149">
        <f>IF(HeartData[[#This Row],[fbs]]="TRUE",1,0)</f>
        <v>0</v>
      </c>
      <c r="L149">
        <f>IF(HeartData[[#This Row],[ca]]&gt;0,1,0)</f>
        <v>0</v>
      </c>
      <c r="M149">
        <f t="shared" si="7"/>
        <v>2</v>
      </c>
      <c r="N149">
        <f t="shared" si="8"/>
        <v>0</v>
      </c>
    </row>
    <row r="150" spans="1:14" x14ac:dyDescent="0.3">
      <c r="A150">
        <f>HeartData[[#This Row],[id]]</f>
        <v>149</v>
      </c>
      <c r="B150" s="4">
        <f>HeartData[[#This Row],[age]]</f>
        <v>45</v>
      </c>
      <c r="C150" t="str">
        <f>HeartData[[#This Row],[sex]]</f>
        <v>Male</v>
      </c>
      <c r="D150" t="str">
        <f t="shared" si="6"/>
        <v>45-54</v>
      </c>
      <c r="E150" t="str">
        <f>HeartData[[#This Row],[cp]]</f>
        <v>atypical angina</v>
      </c>
      <c r="F150" t="str">
        <f>IF(HeartData[[#This Row],[num]]&gt;0, "Diseased", "Healthy")</f>
        <v>Healthy</v>
      </c>
      <c r="G150">
        <f>IF(HeartData[[#This Row],[chol]]&gt;$P$3, 1, 0)</f>
        <v>1</v>
      </c>
      <c r="H150">
        <f>IF(HeartData[[#This Row],[trestbps]]&gt;$P$4, 1, 0)</f>
        <v>1</v>
      </c>
      <c r="I150">
        <f>IF(HeartData[[#This Row],[oldpeak]]&gt;$P$5,1,0)</f>
        <v>0</v>
      </c>
      <c r="J150">
        <f>IF(HeartData[[#This Row],[exang]]="TRUE",1,0)</f>
        <v>0</v>
      </c>
      <c r="K150">
        <f>IF(HeartData[[#This Row],[fbs]]="TRUE",1,0)</f>
        <v>0</v>
      </c>
      <c r="L150">
        <f>IF(HeartData[[#This Row],[ca]]&gt;0,1,0)</f>
        <v>0</v>
      </c>
      <c r="M150">
        <f t="shared" si="7"/>
        <v>2</v>
      </c>
      <c r="N150">
        <f t="shared" si="8"/>
        <v>0</v>
      </c>
    </row>
    <row r="151" spans="1:14" x14ac:dyDescent="0.3">
      <c r="A151">
        <f>HeartData[[#This Row],[id]]</f>
        <v>150</v>
      </c>
      <c r="B151" s="4">
        <f>HeartData[[#This Row],[age]]</f>
        <v>60</v>
      </c>
      <c r="C151" t="str">
        <f>HeartData[[#This Row],[sex]]</f>
        <v>Female</v>
      </c>
      <c r="D151" t="str">
        <f t="shared" si="6"/>
        <v>55-64</v>
      </c>
      <c r="E151" t="str">
        <f>HeartData[[#This Row],[cp]]</f>
        <v>non-anginal</v>
      </c>
      <c r="F151" t="str">
        <f>IF(HeartData[[#This Row],[num]]&gt;0, "Diseased", "Healthy")</f>
        <v>Healthy</v>
      </c>
      <c r="G151">
        <f>IF(HeartData[[#This Row],[chol]]&gt;$P$3, 1, 0)</f>
        <v>1</v>
      </c>
      <c r="H151">
        <f>IF(HeartData[[#This Row],[trestbps]]&gt;$P$4, 1, 0)</f>
        <v>1</v>
      </c>
      <c r="I151">
        <f>IF(HeartData[[#This Row],[oldpeak]]&gt;$P$5,1,0)</f>
        <v>0</v>
      </c>
      <c r="J151">
        <f>IF(HeartData[[#This Row],[exang]]="TRUE",1,0)</f>
        <v>0</v>
      </c>
      <c r="K151">
        <f>IF(HeartData[[#This Row],[fbs]]="TRUE",1,0)</f>
        <v>0</v>
      </c>
      <c r="L151">
        <f>IF(HeartData[[#This Row],[ca]]&gt;0,1,0)</f>
        <v>1</v>
      </c>
      <c r="M151">
        <f t="shared" si="7"/>
        <v>3</v>
      </c>
      <c r="N151">
        <f t="shared" si="8"/>
        <v>0</v>
      </c>
    </row>
    <row r="152" spans="1:14" x14ac:dyDescent="0.3">
      <c r="A152">
        <f>HeartData[[#This Row],[id]]</f>
        <v>151</v>
      </c>
      <c r="B152" s="4">
        <f>HeartData[[#This Row],[age]]</f>
        <v>52</v>
      </c>
      <c r="C152" t="str">
        <f>HeartData[[#This Row],[sex]]</f>
        <v>Male</v>
      </c>
      <c r="D152" t="str">
        <f t="shared" si="6"/>
        <v>45-54</v>
      </c>
      <c r="E152" t="str">
        <f>HeartData[[#This Row],[cp]]</f>
        <v>typical angina</v>
      </c>
      <c r="F152" t="str">
        <f>IF(HeartData[[#This Row],[num]]&gt;0, "Diseased", "Healthy")</f>
        <v>Healthy</v>
      </c>
      <c r="G152">
        <f>IF(HeartData[[#This Row],[chol]]&gt;$P$3, 1, 0)</f>
        <v>1</v>
      </c>
      <c r="H152">
        <f>IF(HeartData[[#This Row],[trestbps]]&gt;$P$4, 1, 0)</f>
        <v>1</v>
      </c>
      <c r="I152">
        <f>IF(HeartData[[#This Row],[oldpeak]]&gt;$P$5,1,0)</f>
        <v>1</v>
      </c>
      <c r="J152">
        <f>IF(HeartData[[#This Row],[exang]]="TRUE",1,0)</f>
        <v>0</v>
      </c>
      <c r="K152">
        <f>IF(HeartData[[#This Row],[fbs]]="TRUE",1,0)</f>
        <v>1</v>
      </c>
      <c r="L152">
        <f>IF(HeartData[[#This Row],[ca]]&gt;0,1,0)</f>
        <v>0</v>
      </c>
      <c r="M152">
        <f t="shared" si="7"/>
        <v>4</v>
      </c>
      <c r="N152">
        <f t="shared" si="8"/>
        <v>0</v>
      </c>
    </row>
    <row r="153" spans="1:14" x14ac:dyDescent="0.3">
      <c r="A153">
        <f>HeartData[[#This Row],[id]]</f>
        <v>152</v>
      </c>
      <c r="B153" s="4">
        <f>HeartData[[#This Row],[age]]</f>
        <v>42</v>
      </c>
      <c r="C153" t="str">
        <f>HeartData[[#This Row],[sex]]</f>
        <v>Female</v>
      </c>
      <c r="D153" t="str">
        <f t="shared" si="6"/>
        <v>Under 45</v>
      </c>
      <c r="E153" t="str">
        <f>HeartData[[#This Row],[cp]]</f>
        <v>asymptomatic</v>
      </c>
      <c r="F153" t="str">
        <f>IF(HeartData[[#This Row],[num]]&gt;0, "Diseased", "Healthy")</f>
        <v>Healthy</v>
      </c>
      <c r="G153">
        <f>IF(HeartData[[#This Row],[chol]]&gt;$P$3, 1, 0)</f>
        <v>1</v>
      </c>
      <c r="H153">
        <f>IF(HeartData[[#This Row],[trestbps]]&gt;$P$4, 1, 0)</f>
        <v>1</v>
      </c>
      <c r="I153">
        <f>IF(HeartData[[#This Row],[oldpeak]]&gt;$P$5,1,0)</f>
        <v>1</v>
      </c>
      <c r="J153">
        <f>IF(HeartData[[#This Row],[exang]]="TRUE",1,0)</f>
        <v>0</v>
      </c>
      <c r="K153">
        <f>IF(HeartData[[#This Row],[fbs]]="TRUE",1,0)</f>
        <v>0</v>
      </c>
      <c r="L153">
        <f>IF(HeartData[[#This Row],[ca]]&gt;0,1,0)</f>
        <v>0</v>
      </c>
      <c r="M153">
        <f t="shared" si="7"/>
        <v>3</v>
      </c>
      <c r="N153">
        <f t="shared" si="8"/>
        <v>0</v>
      </c>
    </row>
    <row r="154" spans="1:14" x14ac:dyDescent="0.3">
      <c r="A154">
        <f>HeartData[[#This Row],[id]]</f>
        <v>153</v>
      </c>
      <c r="B154" s="4">
        <f>HeartData[[#This Row],[age]]</f>
        <v>67</v>
      </c>
      <c r="C154" t="str">
        <f>HeartData[[#This Row],[sex]]</f>
        <v>Female</v>
      </c>
      <c r="D154" t="str">
        <f t="shared" si="6"/>
        <v>65+</v>
      </c>
      <c r="E154" t="str">
        <f>HeartData[[#This Row],[cp]]</f>
        <v>non-anginal</v>
      </c>
      <c r="F154" t="str">
        <f>IF(HeartData[[#This Row],[num]]&gt;0, "Diseased", "Healthy")</f>
        <v>Healthy</v>
      </c>
      <c r="G154">
        <f>IF(HeartData[[#This Row],[chol]]&gt;$P$3, 1, 0)</f>
        <v>1</v>
      </c>
      <c r="H154">
        <f>IF(HeartData[[#This Row],[trestbps]]&gt;$P$4, 1, 0)</f>
        <v>1</v>
      </c>
      <c r="I154">
        <f>IF(HeartData[[#This Row],[oldpeak]]&gt;$P$5,1,0)</f>
        <v>1</v>
      </c>
      <c r="J154">
        <f>IF(HeartData[[#This Row],[exang]]="TRUE",1,0)</f>
        <v>0</v>
      </c>
      <c r="K154">
        <f>IF(HeartData[[#This Row],[fbs]]="TRUE",1,0)</f>
        <v>0</v>
      </c>
      <c r="L154">
        <f>IF(HeartData[[#This Row],[ca]]&gt;0,1,0)</f>
        <v>0</v>
      </c>
      <c r="M154">
        <f t="shared" si="7"/>
        <v>3</v>
      </c>
      <c r="N154">
        <f t="shared" si="8"/>
        <v>0</v>
      </c>
    </row>
    <row r="155" spans="1:14" x14ac:dyDescent="0.3">
      <c r="A155">
        <f>HeartData[[#This Row],[id]]</f>
        <v>154</v>
      </c>
      <c r="B155" s="4">
        <f>HeartData[[#This Row],[age]]</f>
        <v>55</v>
      </c>
      <c r="C155" t="str">
        <f>HeartData[[#This Row],[sex]]</f>
        <v>Male</v>
      </c>
      <c r="D155" t="str">
        <f t="shared" si="6"/>
        <v>55-64</v>
      </c>
      <c r="E155" t="str">
        <f>HeartData[[#This Row],[cp]]</f>
        <v>asymptomatic</v>
      </c>
      <c r="F155" t="str">
        <f>IF(HeartData[[#This Row],[num]]&gt;0, "Diseased", "Healthy")</f>
        <v>Diseased</v>
      </c>
      <c r="G155">
        <f>IF(HeartData[[#This Row],[chol]]&gt;$P$3, 1, 0)</f>
        <v>1</v>
      </c>
      <c r="H155">
        <f>IF(HeartData[[#This Row],[trestbps]]&gt;$P$4, 1, 0)</f>
        <v>1</v>
      </c>
      <c r="I155">
        <f>IF(HeartData[[#This Row],[oldpeak]]&gt;$P$5,1,0)</f>
        <v>1</v>
      </c>
      <c r="J155">
        <f>IF(HeartData[[#This Row],[exang]]="TRUE",1,0)</f>
        <v>1</v>
      </c>
      <c r="K155">
        <f>IF(HeartData[[#This Row],[fbs]]="TRUE",1,0)</f>
        <v>0</v>
      </c>
      <c r="L155">
        <f>IF(HeartData[[#This Row],[ca]]&gt;0,1,0)</f>
        <v>1</v>
      </c>
      <c r="M155">
        <f t="shared" si="7"/>
        <v>5</v>
      </c>
      <c r="N155">
        <f t="shared" si="8"/>
        <v>1</v>
      </c>
    </row>
    <row r="156" spans="1:14" x14ac:dyDescent="0.3">
      <c r="A156">
        <f>HeartData[[#This Row],[id]]</f>
        <v>155</v>
      </c>
      <c r="B156" s="4">
        <f>HeartData[[#This Row],[age]]</f>
        <v>64</v>
      </c>
      <c r="C156" t="str">
        <f>HeartData[[#This Row],[sex]]</f>
        <v>Male</v>
      </c>
      <c r="D156" t="str">
        <f t="shared" si="6"/>
        <v>55-64</v>
      </c>
      <c r="E156" t="str">
        <f>HeartData[[#This Row],[cp]]</f>
        <v>asymptomatic</v>
      </c>
      <c r="F156" t="str">
        <f>IF(HeartData[[#This Row],[num]]&gt;0, "Diseased", "Healthy")</f>
        <v>Diseased</v>
      </c>
      <c r="G156">
        <f>IF(HeartData[[#This Row],[chol]]&gt;$P$3, 1, 0)</f>
        <v>1</v>
      </c>
      <c r="H156">
        <f>IF(HeartData[[#This Row],[trestbps]]&gt;$P$4, 1, 0)</f>
        <v>1</v>
      </c>
      <c r="I156">
        <f>IF(HeartData[[#This Row],[oldpeak]]&gt;$P$5,1,0)</f>
        <v>1</v>
      </c>
      <c r="J156">
        <f>IF(HeartData[[#This Row],[exang]]="TRUE",1,0)</f>
        <v>1</v>
      </c>
      <c r="K156">
        <f>IF(HeartData[[#This Row],[fbs]]="TRUE",1,0)</f>
        <v>0</v>
      </c>
      <c r="L156">
        <f>IF(HeartData[[#This Row],[ca]]&gt;0,1,0)</f>
        <v>1</v>
      </c>
      <c r="M156">
        <f t="shared" si="7"/>
        <v>5</v>
      </c>
      <c r="N156">
        <f t="shared" si="8"/>
        <v>1</v>
      </c>
    </row>
    <row r="157" spans="1:14" x14ac:dyDescent="0.3">
      <c r="A157">
        <f>HeartData[[#This Row],[id]]</f>
        <v>156</v>
      </c>
      <c r="B157" s="4">
        <f>HeartData[[#This Row],[age]]</f>
        <v>70</v>
      </c>
      <c r="C157" t="str">
        <f>HeartData[[#This Row],[sex]]</f>
        <v>Male</v>
      </c>
      <c r="D157" t="str">
        <f t="shared" si="6"/>
        <v>65+</v>
      </c>
      <c r="E157" t="str">
        <f>HeartData[[#This Row],[cp]]</f>
        <v>asymptomatic</v>
      </c>
      <c r="F157" t="str">
        <f>IF(HeartData[[#This Row],[num]]&gt;0, "Diseased", "Healthy")</f>
        <v>Diseased</v>
      </c>
      <c r="G157">
        <f>IF(HeartData[[#This Row],[chol]]&gt;$P$3, 1, 0)</f>
        <v>1</v>
      </c>
      <c r="H157">
        <f>IF(HeartData[[#This Row],[trestbps]]&gt;$P$4, 1, 0)</f>
        <v>1</v>
      </c>
      <c r="I157">
        <f>IF(HeartData[[#This Row],[oldpeak]]&gt;$P$5,1,0)</f>
        <v>1</v>
      </c>
      <c r="J157">
        <f>IF(HeartData[[#This Row],[exang]]="TRUE",1,0)</f>
        <v>0</v>
      </c>
      <c r="K157">
        <f>IF(HeartData[[#This Row],[fbs]]="TRUE",1,0)</f>
        <v>0</v>
      </c>
      <c r="L157">
        <f>IF(HeartData[[#This Row],[ca]]&gt;0,1,0)</f>
        <v>1</v>
      </c>
      <c r="M157">
        <f t="shared" si="7"/>
        <v>4</v>
      </c>
      <c r="N157">
        <f t="shared" si="8"/>
        <v>1</v>
      </c>
    </row>
    <row r="158" spans="1:14" x14ac:dyDescent="0.3">
      <c r="A158">
        <f>HeartData[[#This Row],[id]]</f>
        <v>157</v>
      </c>
      <c r="B158" s="4">
        <f>HeartData[[#This Row],[age]]</f>
        <v>51</v>
      </c>
      <c r="C158" t="str">
        <f>HeartData[[#This Row],[sex]]</f>
        <v>Male</v>
      </c>
      <c r="D158" t="str">
        <f t="shared" si="6"/>
        <v>45-54</v>
      </c>
      <c r="E158" t="str">
        <f>HeartData[[#This Row],[cp]]</f>
        <v>asymptomatic</v>
      </c>
      <c r="F158" t="str">
        <f>IF(HeartData[[#This Row],[num]]&gt;0, "Diseased", "Healthy")</f>
        <v>Diseased</v>
      </c>
      <c r="G158">
        <f>IF(HeartData[[#This Row],[chol]]&gt;$P$3, 1, 0)</f>
        <v>1</v>
      </c>
      <c r="H158">
        <f>IF(HeartData[[#This Row],[trestbps]]&gt;$P$4, 1, 0)</f>
        <v>1</v>
      </c>
      <c r="I158">
        <f>IF(HeartData[[#This Row],[oldpeak]]&gt;$P$5,1,0)</f>
        <v>1</v>
      </c>
      <c r="J158">
        <f>IF(HeartData[[#This Row],[exang]]="TRUE",1,0)</f>
        <v>1</v>
      </c>
      <c r="K158">
        <f>IF(HeartData[[#This Row],[fbs]]="TRUE",1,0)</f>
        <v>0</v>
      </c>
      <c r="L158">
        <f>IF(HeartData[[#This Row],[ca]]&gt;0,1,0)</f>
        <v>0</v>
      </c>
      <c r="M158">
        <f t="shared" si="7"/>
        <v>4</v>
      </c>
      <c r="N158">
        <f t="shared" si="8"/>
        <v>1</v>
      </c>
    </row>
    <row r="159" spans="1:14" x14ac:dyDescent="0.3">
      <c r="A159">
        <f>HeartData[[#This Row],[id]]</f>
        <v>158</v>
      </c>
      <c r="B159" s="4">
        <f>HeartData[[#This Row],[age]]</f>
        <v>58</v>
      </c>
      <c r="C159" t="str">
        <f>HeartData[[#This Row],[sex]]</f>
        <v>Male</v>
      </c>
      <c r="D159" t="str">
        <f t="shared" si="6"/>
        <v>55-64</v>
      </c>
      <c r="E159" t="str">
        <f>HeartData[[#This Row],[cp]]</f>
        <v>asymptomatic</v>
      </c>
      <c r="F159" t="str">
        <f>IF(HeartData[[#This Row],[num]]&gt;0, "Diseased", "Healthy")</f>
        <v>Diseased</v>
      </c>
      <c r="G159">
        <f>IF(HeartData[[#This Row],[chol]]&gt;$P$3, 1, 0)</f>
        <v>1</v>
      </c>
      <c r="H159">
        <f>IF(HeartData[[#This Row],[trestbps]]&gt;$P$4, 1, 0)</f>
        <v>1</v>
      </c>
      <c r="I159">
        <f>IF(HeartData[[#This Row],[oldpeak]]&gt;$P$5,1,0)</f>
        <v>0</v>
      </c>
      <c r="J159">
        <f>IF(HeartData[[#This Row],[exang]]="TRUE",1,0)</f>
        <v>0</v>
      </c>
      <c r="K159">
        <f>IF(HeartData[[#This Row],[fbs]]="TRUE",1,0)</f>
        <v>0</v>
      </c>
      <c r="L159">
        <f>IF(HeartData[[#This Row],[ca]]&gt;0,1,0)</f>
        <v>1</v>
      </c>
      <c r="M159">
        <f t="shared" si="7"/>
        <v>3</v>
      </c>
      <c r="N159">
        <f t="shared" si="8"/>
        <v>1</v>
      </c>
    </row>
    <row r="160" spans="1:14" x14ac:dyDescent="0.3">
      <c r="A160">
        <f>HeartData[[#This Row],[id]]</f>
        <v>159</v>
      </c>
      <c r="B160" s="4">
        <f>HeartData[[#This Row],[age]]</f>
        <v>60</v>
      </c>
      <c r="C160" t="str">
        <f>HeartData[[#This Row],[sex]]</f>
        <v>Male</v>
      </c>
      <c r="D160" t="str">
        <f t="shared" si="6"/>
        <v>55-64</v>
      </c>
      <c r="E160" t="str">
        <f>HeartData[[#This Row],[cp]]</f>
        <v>asymptomatic</v>
      </c>
      <c r="F160" t="str">
        <f>IF(HeartData[[#This Row],[num]]&gt;0, "Diseased", "Healthy")</f>
        <v>Diseased</v>
      </c>
      <c r="G160">
        <f>IF(HeartData[[#This Row],[chol]]&gt;$P$3, 1, 0)</f>
        <v>1</v>
      </c>
      <c r="H160">
        <f>IF(HeartData[[#This Row],[trestbps]]&gt;$P$4, 1, 0)</f>
        <v>1</v>
      </c>
      <c r="I160">
        <f>IF(HeartData[[#This Row],[oldpeak]]&gt;$P$5,1,0)</f>
        <v>1</v>
      </c>
      <c r="J160">
        <f>IF(HeartData[[#This Row],[exang]]="TRUE",1,0)</f>
        <v>0</v>
      </c>
      <c r="K160">
        <f>IF(HeartData[[#This Row],[fbs]]="TRUE",1,0)</f>
        <v>0</v>
      </c>
      <c r="L160">
        <f>IF(HeartData[[#This Row],[ca]]&gt;0,1,0)</f>
        <v>1</v>
      </c>
      <c r="M160">
        <f t="shared" si="7"/>
        <v>4</v>
      </c>
      <c r="N160">
        <f t="shared" si="8"/>
        <v>1</v>
      </c>
    </row>
    <row r="161" spans="1:14" x14ac:dyDescent="0.3">
      <c r="A161">
        <f>HeartData[[#This Row],[id]]</f>
        <v>160</v>
      </c>
      <c r="B161" s="4">
        <f>HeartData[[#This Row],[age]]</f>
        <v>68</v>
      </c>
      <c r="C161" t="str">
        <f>HeartData[[#This Row],[sex]]</f>
        <v>Male</v>
      </c>
      <c r="D161" t="str">
        <f t="shared" si="6"/>
        <v>65+</v>
      </c>
      <c r="E161" t="str">
        <f>HeartData[[#This Row],[cp]]</f>
        <v>non-anginal</v>
      </c>
      <c r="F161" t="str">
        <f>IF(HeartData[[#This Row],[num]]&gt;0, "Diseased", "Healthy")</f>
        <v>Healthy</v>
      </c>
      <c r="G161">
        <f>IF(HeartData[[#This Row],[chol]]&gt;$P$3, 1, 0)</f>
        <v>1</v>
      </c>
      <c r="H161">
        <f>IF(HeartData[[#This Row],[trestbps]]&gt;$P$4, 1, 0)</f>
        <v>1</v>
      </c>
      <c r="I161">
        <f>IF(HeartData[[#This Row],[oldpeak]]&gt;$P$5,1,0)</f>
        <v>1</v>
      </c>
      <c r="J161">
        <f>IF(HeartData[[#This Row],[exang]]="TRUE",1,0)</f>
        <v>0</v>
      </c>
      <c r="K161">
        <f>IF(HeartData[[#This Row],[fbs]]="TRUE",1,0)</f>
        <v>0</v>
      </c>
      <c r="L161">
        <f>IF(HeartData[[#This Row],[ca]]&gt;0,1,0)</f>
        <v>1</v>
      </c>
      <c r="M161">
        <f t="shared" si="7"/>
        <v>4</v>
      </c>
      <c r="N161">
        <f t="shared" si="8"/>
        <v>0</v>
      </c>
    </row>
    <row r="162" spans="1:14" x14ac:dyDescent="0.3">
      <c r="A162">
        <f>HeartData[[#This Row],[id]]</f>
        <v>161</v>
      </c>
      <c r="B162" s="4">
        <f>HeartData[[#This Row],[age]]</f>
        <v>46</v>
      </c>
      <c r="C162" t="str">
        <f>HeartData[[#This Row],[sex]]</f>
        <v>Male</v>
      </c>
      <c r="D162" t="str">
        <f t="shared" si="6"/>
        <v>45-54</v>
      </c>
      <c r="E162" t="str">
        <f>HeartData[[#This Row],[cp]]</f>
        <v>atypical angina</v>
      </c>
      <c r="F162" t="str">
        <f>IF(HeartData[[#This Row],[num]]&gt;0, "Diseased", "Healthy")</f>
        <v>Healthy</v>
      </c>
      <c r="G162">
        <f>IF(HeartData[[#This Row],[chol]]&gt;$P$3, 1, 0)</f>
        <v>1</v>
      </c>
      <c r="H162">
        <f>IF(HeartData[[#This Row],[trestbps]]&gt;$P$4, 1, 0)</f>
        <v>1</v>
      </c>
      <c r="I162">
        <f>IF(HeartData[[#This Row],[oldpeak]]&gt;$P$5,1,0)</f>
        <v>0</v>
      </c>
      <c r="J162">
        <f>IF(HeartData[[#This Row],[exang]]="TRUE",1,0)</f>
        <v>0</v>
      </c>
      <c r="K162">
        <f>IF(HeartData[[#This Row],[fbs]]="TRUE",1,0)</f>
        <v>1</v>
      </c>
      <c r="L162">
        <f>IF(HeartData[[#This Row],[ca]]&gt;0,1,0)</f>
        <v>0</v>
      </c>
      <c r="M162">
        <f t="shared" si="7"/>
        <v>3</v>
      </c>
      <c r="N162">
        <f t="shared" si="8"/>
        <v>0</v>
      </c>
    </row>
    <row r="163" spans="1:14" x14ac:dyDescent="0.3">
      <c r="A163">
        <f>HeartData[[#This Row],[id]]</f>
        <v>162</v>
      </c>
      <c r="B163" s="4">
        <f>HeartData[[#This Row],[age]]</f>
        <v>77</v>
      </c>
      <c r="C163" t="str">
        <f>HeartData[[#This Row],[sex]]</f>
        <v>Male</v>
      </c>
      <c r="D163" t="str">
        <f t="shared" si="6"/>
        <v>65+</v>
      </c>
      <c r="E163" t="str">
        <f>HeartData[[#This Row],[cp]]</f>
        <v>asymptomatic</v>
      </c>
      <c r="F163" t="str">
        <f>IF(HeartData[[#This Row],[num]]&gt;0, "Diseased", "Healthy")</f>
        <v>Diseased</v>
      </c>
      <c r="G163">
        <f>IF(HeartData[[#This Row],[chol]]&gt;$P$3, 1, 0)</f>
        <v>1</v>
      </c>
      <c r="H163">
        <f>IF(HeartData[[#This Row],[trestbps]]&gt;$P$4, 1, 0)</f>
        <v>1</v>
      </c>
      <c r="I163">
        <f>IF(HeartData[[#This Row],[oldpeak]]&gt;$P$5,1,0)</f>
        <v>0</v>
      </c>
      <c r="J163">
        <f>IF(HeartData[[#This Row],[exang]]="TRUE",1,0)</f>
        <v>1</v>
      </c>
      <c r="K163">
        <f>IF(HeartData[[#This Row],[fbs]]="TRUE",1,0)</f>
        <v>0</v>
      </c>
      <c r="L163">
        <f>IF(HeartData[[#This Row],[ca]]&gt;0,1,0)</f>
        <v>1</v>
      </c>
      <c r="M163">
        <f t="shared" si="7"/>
        <v>4</v>
      </c>
      <c r="N163">
        <f t="shared" si="8"/>
        <v>1</v>
      </c>
    </row>
    <row r="164" spans="1:14" x14ac:dyDescent="0.3">
      <c r="A164">
        <f>HeartData[[#This Row],[id]]</f>
        <v>163</v>
      </c>
      <c r="B164" s="4">
        <f>HeartData[[#This Row],[age]]</f>
        <v>54</v>
      </c>
      <c r="C164" t="str">
        <f>HeartData[[#This Row],[sex]]</f>
        <v>Female</v>
      </c>
      <c r="D164" t="str">
        <f t="shared" si="6"/>
        <v>45-54</v>
      </c>
      <c r="E164" t="str">
        <f>HeartData[[#This Row],[cp]]</f>
        <v>non-anginal</v>
      </c>
      <c r="F164" t="str">
        <f>IF(HeartData[[#This Row],[num]]&gt;0, "Diseased", "Healthy")</f>
        <v>Healthy</v>
      </c>
      <c r="G164">
        <f>IF(HeartData[[#This Row],[chol]]&gt;$P$3, 1, 0)</f>
        <v>1</v>
      </c>
      <c r="H164">
        <f>IF(HeartData[[#This Row],[trestbps]]&gt;$P$4, 1, 0)</f>
        <v>1</v>
      </c>
      <c r="I164">
        <f>IF(HeartData[[#This Row],[oldpeak]]&gt;$P$5,1,0)</f>
        <v>1</v>
      </c>
      <c r="J164">
        <f>IF(HeartData[[#This Row],[exang]]="TRUE",1,0)</f>
        <v>0</v>
      </c>
      <c r="K164">
        <f>IF(HeartData[[#This Row],[fbs]]="TRUE",1,0)</f>
        <v>0</v>
      </c>
      <c r="L164">
        <f>IF(HeartData[[#This Row],[ca]]&gt;0,1,0)</f>
        <v>0</v>
      </c>
      <c r="M164">
        <f t="shared" si="7"/>
        <v>3</v>
      </c>
      <c r="N164">
        <f t="shared" si="8"/>
        <v>0</v>
      </c>
    </row>
    <row r="165" spans="1:14" x14ac:dyDescent="0.3">
      <c r="A165">
        <f>HeartData[[#This Row],[id]]</f>
        <v>164</v>
      </c>
      <c r="B165" s="4">
        <f>HeartData[[#This Row],[age]]</f>
        <v>58</v>
      </c>
      <c r="C165" t="str">
        <f>HeartData[[#This Row],[sex]]</f>
        <v>Female</v>
      </c>
      <c r="D165" t="str">
        <f t="shared" si="6"/>
        <v>55-64</v>
      </c>
      <c r="E165" t="str">
        <f>HeartData[[#This Row],[cp]]</f>
        <v>asymptomatic</v>
      </c>
      <c r="F165" t="str">
        <f>IF(HeartData[[#This Row],[num]]&gt;0, "Diseased", "Healthy")</f>
        <v>Healthy</v>
      </c>
      <c r="G165">
        <f>IF(HeartData[[#This Row],[chol]]&gt;$P$3, 1, 0)</f>
        <v>1</v>
      </c>
      <c r="H165">
        <f>IF(HeartData[[#This Row],[trestbps]]&gt;$P$4, 1, 0)</f>
        <v>1</v>
      </c>
      <c r="I165">
        <f>IF(HeartData[[#This Row],[oldpeak]]&gt;$P$5,1,0)</f>
        <v>1</v>
      </c>
      <c r="J165">
        <f>IF(HeartData[[#This Row],[exang]]="TRUE",1,0)</f>
        <v>0</v>
      </c>
      <c r="K165">
        <f>IF(HeartData[[#This Row],[fbs]]="TRUE",1,0)</f>
        <v>0</v>
      </c>
      <c r="L165">
        <f>IF(HeartData[[#This Row],[ca]]&gt;0,1,0)</f>
        <v>0</v>
      </c>
      <c r="M165">
        <f t="shared" si="7"/>
        <v>3</v>
      </c>
      <c r="N165">
        <f t="shared" si="8"/>
        <v>0</v>
      </c>
    </row>
    <row r="166" spans="1:14" x14ac:dyDescent="0.3">
      <c r="A166">
        <f>HeartData[[#This Row],[id]]</f>
        <v>165</v>
      </c>
      <c r="B166" s="4">
        <f>HeartData[[#This Row],[age]]</f>
        <v>48</v>
      </c>
      <c r="C166" t="str">
        <f>HeartData[[#This Row],[sex]]</f>
        <v>Male</v>
      </c>
      <c r="D166" t="str">
        <f t="shared" si="6"/>
        <v>45-54</v>
      </c>
      <c r="E166" t="str">
        <f>HeartData[[#This Row],[cp]]</f>
        <v>non-anginal</v>
      </c>
      <c r="F166" t="str">
        <f>IF(HeartData[[#This Row],[num]]&gt;0, "Diseased", "Healthy")</f>
        <v>Healthy</v>
      </c>
      <c r="G166">
        <f>IF(HeartData[[#This Row],[chol]]&gt;$P$3, 1, 0)</f>
        <v>1</v>
      </c>
      <c r="H166">
        <f>IF(HeartData[[#This Row],[trestbps]]&gt;$P$4, 1, 0)</f>
        <v>1</v>
      </c>
      <c r="I166">
        <f>IF(HeartData[[#This Row],[oldpeak]]&gt;$P$5,1,0)</f>
        <v>0</v>
      </c>
      <c r="J166">
        <f>IF(HeartData[[#This Row],[exang]]="TRUE",1,0)</f>
        <v>0</v>
      </c>
      <c r="K166">
        <f>IF(HeartData[[#This Row],[fbs]]="TRUE",1,0)</f>
        <v>1</v>
      </c>
      <c r="L166">
        <f>IF(HeartData[[#This Row],[ca]]&gt;0,1,0)</f>
        <v>1</v>
      </c>
      <c r="M166">
        <f t="shared" si="7"/>
        <v>4</v>
      </c>
      <c r="N166">
        <f t="shared" si="8"/>
        <v>0</v>
      </c>
    </row>
    <row r="167" spans="1:14" x14ac:dyDescent="0.3">
      <c r="A167">
        <f>HeartData[[#This Row],[id]]</f>
        <v>166</v>
      </c>
      <c r="B167" s="4">
        <f>HeartData[[#This Row],[age]]</f>
        <v>57</v>
      </c>
      <c r="C167" t="str">
        <f>HeartData[[#This Row],[sex]]</f>
        <v>Male</v>
      </c>
      <c r="D167" t="str">
        <f t="shared" si="6"/>
        <v>55-64</v>
      </c>
      <c r="E167" t="str">
        <f>HeartData[[#This Row],[cp]]</f>
        <v>asymptomatic</v>
      </c>
      <c r="F167" t="str">
        <f>IF(HeartData[[#This Row],[num]]&gt;0, "Diseased", "Healthy")</f>
        <v>Healthy</v>
      </c>
      <c r="G167">
        <f>IF(HeartData[[#This Row],[chol]]&gt;$P$3, 1, 0)</f>
        <v>1</v>
      </c>
      <c r="H167">
        <f>IF(HeartData[[#This Row],[trestbps]]&gt;$P$4, 1, 0)</f>
        <v>1</v>
      </c>
      <c r="I167">
        <f>IF(HeartData[[#This Row],[oldpeak]]&gt;$P$5,1,0)</f>
        <v>0</v>
      </c>
      <c r="J167">
        <f>IF(HeartData[[#This Row],[exang]]="TRUE",1,0)</f>
        <v>1</v>
      </c>
      <c r="K167">
        <f>IF(HeartData[[#This Row],[fbs]]="TRUE",1,0)</f>
        <v>0</v>
      </c>
      <c r="L167">
        <f>IF(HeartData[[#This Row],[ca]]&gt;0,1,0)</f>
        <v>0</v>
      </c>
      <c r="M167">
        <f t="shared" si="7"/>
        <v>3</v>
      </c>
      <c r="N167">
        <f t="shared" si="8"/>
        <v>0</v>
      </c>
    </row>
    <row r="168" spans="1:14" x14ac:dyDescent="0.3">
      <c r="A168">
        <f>HeartData[[#This Row],[id]]</f>
        <v>167</v>
      </c>
      <c r="B168" s="4">
        <f>HeartData[[#This Row],[age]]</f>
        <v>52</v>
      </c>
      <c r="C168" t="str">
        <f>HeartData[[#This Row],[sex]]</f>
        <v>Male</v>
      </c>
      <c r="D168" t="str">
        <f t="shared" si="6"/>
        <v>45-54</v>
      </c>
      <c r="E168" t="str">
        <f>HeartData[[#This Row],[cp]]</f>
        <v>non-anginal</v>
      </c>
      <c r="F168" t="str">
        <f>IF(HeartData[[#This Row],[num]]&gt;0, "Diseased", "Healthy")</f>
        <v>Healthy</v>
      </c>
      <c r="G168">
        <f>IF(HeartData[[#This Row],[chol]]&gt;$P$3, 1, 0)</f>
        <v>1</v>
      </c>
      <c r="H168">
        <f>IF(HeartData[[#This Row],[trestbps]]&gt;$P$4, 1, 0)</f>
        <v>1</v>
      </c>
      <c r="I168">
        <f>IF(HeartData[[#This Row],[oldpeak]]&gt;$P$5,1,0)</f>
        <v>0</v>
      </c>
      <c r="J168">
        <f>IF(HeartData[[#This Row],[exang]]="TRUE",1,0)</f>
        <v>0</v>
      </c>
      <c r="K168">
        <f>IF(HeartData[[#This Row],[fbs]]="TRUE",1,0)</f>
        <v>0</v>
      </c>
      <c r="L168">
        <f>IF(HeartData[[#This Row],[ca]]&gt;0,1,0)</f>
        <v>0</v>
      </c>
      <c r="M168">
        <f t="shared" si="7"/>
        <v>2</v>
      </c>
      <c r="N168">
        <f t="shared" si="8"/>
        <v>0</v>
      </c>
    </row>
    <row r="169" spans="1:14" x14ac:dyDescent="0.3">
      <c r="A169">
        <f>HeartData[[#This Row],[id]]</f>
        <v>168</v>
      </c>
      <c r="B169" s="4">
        <f>HeartData[[#This Row],[age]]</f>
        <v>54</v>
      </c>
      <c r="C169" t="str">
        <f>HeartData[[#This Row],[sex]]</f>
        <v>Female</v>
      </c>
      <c r="D169" t="str">
        <f t="shared" si="6"/>
        <v>45-54</v>
      </c>
      <c r="E169" t="str">
        <f>HeartData[[#This Row],[cp]]</f>
        <v>atypical angina</v>
      </c>
      <c r="F169" t="str">
        <f>IF(HeartData[[#This Row],[num]]&gt;0, "Diseased", "Healthy")</f>
        <v>Healthy</v>
      </c>
      <c r="G169">
        <f>IF(HeartData[[#This Row],[chol]]&gt;$P$3, 1, 0)</f>
        <v>1</v>
      </c>
      <c r="H169">
        <f>IF(HeartData[[#This Row],[trestbps]]&gt;$P$4, 1, 0)</f>
        <v>1</v>
      </c>
      <c r="I169">
        <f>IF(HeartData[[#This Row],[oldpeak]]&gt;$P$5,1,0)</f>
        <v>0</v>
      </c>
      <c r="J169">
        <f>IF(HeartData[[#This Row],[exang]]="TRUE",1,0)</f>
        <v>1</v>
      </c>
      <c r="K169">
        <f>IF(HeartData[[#This Row],[fbs]]="TRUE",1,0)</f>
        <v>1</v>
      </c>
      <c r="L169">
        <f>IF(HeartData[[#This Row],[ca]]&gt;0,1,0)</f>
        <v>1</v>
      </c>
      <c r="M169">
        <f t="shared" si="7"/>
        <v>5</v>
      </c>
      <c r="N169">
        <f t="shared" si="8"/>
        <v>0</v>
      </c>
    </row>
    <row r="170" spans="1:14" x14ac:dyDescent="0.3">
      <c r="A170">
        <f>HeartData[[#This Row],[id]]</f>
        <v>169</v>
      </c>
      <c r="B170" s="4">
        <f>HeartData[[#This Row],[age]]</f>
        <v>35</v>
      </c>
      <c r="C170" t="str">
        <f>HeartData[[#This Row],[sex]]</f>
        <v>Male</v>
      </c>
      <c r="D170" t="str">
        <f t="shared" si="6"/>
        <v>Under 45</v>
      </c>
      <c r="E170" t="str">
        <f>HeartData[[#This Row],[cp]]</f>
        <v>asymptomatic</v>
      </c>
      <c r="F170" t="str">
        <f>IF(HeartData[[#This Row],[num]]&gt;0, "Diseased", "Healthy")</f>
        <v>Diseased</v>
      </c>
      <c r="G170">
        <f>IF(HeartData[[#This Row],[chol]]&gt;$P$3, 1, 0)</f>
        <v>1</v>
      </c>
      <c r="H170">
        <f>IF(HeartData[[#This Row],[trestbps]]&gt;$P$4, 1, 0)</f>
        <v>1</v>
      </c>
      <c r="I170">
        <f>IF(HeartData[[#This Row],[oldpeak]]&gt;$P$5,1,0)</f>
        <v>0</v>
      </c>
      <c r="J170">
        <f>IF(HeartData[[#This Row],[exang]]="TRUE",1,0)</f>
        <v>1</v>
      </c>
      <c r="K170">
        <f>IF(HeartData[[#This Row],[fbs]]="TRUE",1,0)</f>
        <v>0</v>
      </c>
      <c r="L170">
        <f>IF(HeartData[[#This Row],[ca]]&gt;0,1,0)</f>
        <v>0</v>
      </c>
      <c r="M170">
        <f t="shared" si="7"/>
        <v>3</v>
      </c>
      <c r="N170">
        <f t="shared" si="8"/>
        <v>1</v>
      </c>
    </row>
    <row r="171" spans="1:14" x14ac:dyDescent="0.3">
      <c r="A171">
        <f>HeartData[[#This Row],[id]]</f>
        <v>170</v>
      </c>
      <c r="B171" s="4">
        <f>HeartData[[#This Row],[age]]</f>
        <v>45</v>
      </c>
      <c r="C171" t="str">
        <f>HeartData[[#This Row],[sex]]</f>
        <v>Female</v>
      </c>
      <c r="D171" t="str">
        <f t="shared" si="6"/>
        <v>45-54</v>
      </c>
      <c r="E171" t="str">
        <f>HeartData[[#This Row],[cp]]</f>
        <v>atypical angina</v>
      </c>
      <c r="F171" t="str">
        <f>IF(HeartData[[#This Row],[num]]&gt;0, "Diseased", "Healthy")</f>
        <v>Healthy</v>
      </c>
      <c r="G171">
        <f>IF(HeartData[[#This Row],[chol]]&gt;$P$3, 1, 0)</f>
        <v>1</v>
      </c>
      <c r="H171">
        <f>IF(HeartData[[#This Row],[trestbps]]&gt;$P$4, 1, 0)</f>
        <v>1</v>
      </c>
      <c r="I171">
        <f>IF(HeartData[[#This Row],[oldpeak]]&gt;$P$5,1,0)</f>
        <v>0</v>
      </c>
      <c r="J171">
        <f>IF(HeartData[[#This Row],[exang]]="TRUE",1,0)</f>
        <v>0</v>
      </c>
      <c r="K171">
        <f>IF(HeartData[[#This Row],[fbs]]="TRUE",1,0)</f>
        <v>0</v>
      </c>
      <c r="L171">
        <f>IF(HeartData[[#This Row],[ca]]&gt;0,1,0)</f>
        <v>0</v>
      </c>
      <c r="M171">
        <f t="shared" si="7"/>
        <v>2</v>
      </c>
      <c r="N171">
        <f t="shared" si="8"/>
        <v>0</v>
      </c>
    </row>
    <row r="172" spans="1:14" x14ac:dyDescent="0.3">
      <c r="A172">
        <f>HeartData[[#This Row],[id]]</f>
        <v>171</v>
      </c>
      <c r="B172" s="4">
        <f>HeartData[[#This Row],[age]]</f>
        <v>70</v>
      </c>
      <c r="C172" t="str">
        <f>HeartData[[#This Row],[sex]]</f>
        <v>Male</v>
      </c>
      <c r="D172" t="str">
        <f t="shared" si="6"/>
        <v>65+</v>
      </c>
      <c r="E172" t="str">
        <f>HeartData[[#This Row],[cp]]</f>
        <v>non-anginal</v>
      </c>
      <c r="F172" t="str">
        <f>IF(HeartData[[#This Row],[num]]&gt;0, "Diseased", "Healthy")</f>
        <v>Diseased</v>
      </c>
      <c r="G172">
        <f>IF(HeartData[[#This Row],[chol]]&gt;$P$3, 1, 0)</f>
        <v>1</v>
      </c>
      <c r="H172">
        <f>IF(HeartData[[#This Row],[trestbps]]&gt;$P$4, 1, 0)</f>
        <v>1</v>
      </c>
      <c r="I172">
        <f>IF(HeartData[[#This Row],[oldpeak]]&gt;$P$5,1,0)</f>
        <v>1</v>
      </c>
      <c r="J172">
        <f>IF(HeartData[[#This Row],[exang]]="TRUE",1,0)</f>
        <v>1</v>
      </c>
      <c r="K172">
        <f>IF(HeartData[[#This Row],[fbs]]="TRUE",1,0)</f>
        <v>0</v>
      </c>
      <c r="L172">
        <f>IF(HeartData[[#This Row],[ca]]&gt;0,1,0)</f>
        <v>1</v>
      </c>
      <c r="M172">
        <f t="shared" si="7"/>
        <v>5</v>
      </c>
      <c r="N172">
        <f t="shared" si="8"/>
        <v>1</v>
      </c>
    </row>
    <row r="173" spans="1:14" x14ac:dyDescent="0.3">
      <c r="A173">
        <f>HeartData[[#This Row],[id]]</f>
        <v>172</v>
      </c>
      <c r="B173" s="4">
        <f>HeartData[[#This Row],[age]]</f>
        <v>53</v>
      </c>
      <c r="C173" t="str">
        <f>HeartData[[#This Row],[sex]]</f>
        <v>Male</v>
      </c>
      <c r="D173" t="str">
        <f t="shared" si="6"/>
        <v>45-54</v>
      </c>
      <c r="E173" t="str">
        <f>HeartData[[#This Row],[cp]]</f>
        <v>asymptomatic</v>
      </c>
      <c r="F173" t="str">
        <f>IF(HeartData[[#This Row],[num]]&gt;0, "Diseased", "Healthy")</f>
        <v>Healthy</v>
      </c>
      <c r="G173">
        <f>IF(HeartData[[#This Row],[chol]]&gt;$P$3, 1, 0)</f>
        <v>1</v>
      </c>
      <c r="H173">
        <f>IF(HeartData[[#This Row],[trestbps]]&gt;$P$4, 1, 0)</f>
        <v>1</v>
      </c>
      <c r="I173">
        <f>IF(HeartData[[#This Row],[oldpeak]]&gt;$P$5,1,0)</f>
        <v>0</v>
      </c>
      <c r="J173">
        <f>IF(HeartData[[#This Row],[exang]]="TRUE",1,0)</f>
        <v>1</v>
      </c>
      <c r="K173">
        <f>IF(HeartData[[#This Row],[fbs]]="TRUE",1,0)</f>
        <v>0</v>
      </c>
      <c r="L173">
        <f>IF(HeartData[[#This Row],[ca]]&gt;0,1,0)</f>
        <v>0</v>
      </c>
      <c r="M173">
        <f t="shared" si="7"/>
        <v>3</v>
      </c>
      <c r="N173">
        <f t="shared" si="8"/>
        <v>0</v>
      </c>
    </row>
    <row r="174" spans="1:14" x14ac:dyDescent="0.3">
      <c r="A174">
        <f>HeartData[[#This Row],[id]]</f>
        <v>173</v>
      </c>
      <c r="B174" s="4">
        <f>HeartData[[#This Row],[age]]</f>
        <v>59</v>
      </c>
      <c r="C174" t="str">
        <f>HeartData[[#This Row],[sex]]</f>
        <v>Female</v>
      </c>
      <c r="D174" t="str">
        <f t="shared" si="6"/>
        <v>55-64</v>
      </c>
      <c r="E174" t="str">
        <f>HeartData[[#This Row],[cp]]</f>
        <v>asymptomatic</v>
      </c>
      <c r="F174" t="str">
        <f>IF(HeartData[[#This Row],[num]]&gt;0, "Diseased", "Healthy")</f>
        <v>Diseased</v>
      </c>
      <c r="G174">
        <f>IF(HeartData[[#This Row],[chol]]&gt;$P$3, 1, 0)</f>
        <v>1</v>
      </c>
      <c r="H174">
        <f>IF(HeartData[[#This Row],[trestbps]]&gt;$P$4, 1, 0)</f>
        <v>1</v>
      </c>
      <c r="I174">
        <f>IF(HeartData[[#This Row],[oldpeak]]&gt;$P$5,1,0)</f>
        <v>0</v>
      </c>
      <c r="J174">
        <f>IF(HeartData[[#This Row],[exang]]="TRUE",1,0)</f>
        <v>1</v>
      </c>
      <c r="K174">
        <f>IF(HeartData[[#This Row],[fbs]]="TRUE",1,0)</f>
        <v>0</v>
      </c>
      <c r="L174">
        <f>IF(HeartData[[#This Row],[ca]]&gt;0,1,0)</f>
        <v>0</v>
      </c>
      <c r="M174">
        <f t="shared" si="7"/>
        <v>3</v>
      </c>
      <c r="N174">
        <f t="shared" si="8"/>
        <v>1</v>
      </c>
    </row>
    <row r="175" spans="1:14" x14ac:dyDescent="0.3">
      <c r="A175">
        <f>HeartData[[#This Row],[id]]</f>
        <v>174</v>
      </c>
      <c r="B175" s="4">
        <f>HeartData[[#This Row],[age]]</f>
        <v>62</v>
      </c>
      <c r="C175" t="str">
        <f>HeartData[[#This Row],[sex]]</f>
        <v>Female</v>
      </c>
      <c r="D175" t="str">
        <f t="shared" si="6"/>
        <v>55-64</v>
      </c>
      <c r="E175" t="str">
        <f>HeartData[[#This Row],[cp]]</f>
        <v>asymptomatic</v>
      </c>
      <c r="F175" t="str">
        <f>IF(HeartData[[#This Row],[num]]&gt;0, "Diseased", "Healthy")</f>
        <v>Healthy</v>
      </c>
      <c r="G175">
        <f>IF(HeartData[[#This Row],[chol]]&gt;$P$3, 1, 0)</f>
        <v>1</v>
      </c>
      <c r="H175">
        <f>IF(HeartData[[#This Row],[trestbps]]&gt;$P$4, 1, 0)</f>
        <v>1</v>
      </c>
      <c r="I175">
        <f>IF(HeartData[[#This Row],[oldpeak]]&gt;$P$5,1,0)</f>
        <v>1</v>
      </c>
      <c r="J175">
        <f>IF(HeartData[[#This Row],[exang]]="TRUE",1,0)</f>
        <v>0</v>
      </c>
      <c r="K175">
        <f>IF(HeartData[[#This Row],[fbs]]="TRUE",1,0)</f>
        <v>0</v>
      </c>
      <c r="L175">
        <f>IF(HeartData[[#This Row],[ca]]&gt;0,1,0)</f>
        <v>0</v>
      </c>
      <c r="M175">
        <f t="shared" si="7"/>
        <v>3</v>
      </c>
      <c r="N175">
        <f t="shared" si="8"/>
        <v>0</v>
      </c>
    </row>
    <row r="176" spans="1:14" x14ac:dyDescent="0.3">
      <c r="A176">
        <f>HeartData[[#This Row],[id]]</f>
        <v>175</v>
      </c>
      <c r="B176" s="4">
        <f>HeartData[[#This Row],[age]]</f>
        <v>64</v>
      </c>
      <c r="C176" t="str">
        <f>HeartData[[#This Row],[sex]]</f>
        <v>Male</v>
      </c>
      <c r="D176" t="str">
        <f t="shared" si="6"/>
        <v>55-64</v>
      </c>
      <c r="E176" t="str">
        <f>HeartData[[#This Row],[cp]]</f>
        <v>asymptomatic</v>
      </c>
      <c r="F176" t="str">
        <f>IF(HeartData[[#This Row],[num]]&gt;0, "Diseased", "Healthy")</f>
        <v>Diseased</v>
      </c>
      <c r="G176">
        <f>IF(HeartData[[#This Row],[chol]]&gt;$P$3, 1, 0)</f>
        <v>1</v>
      </c>
      <c r="H176">
        <f>IF(HeartData[[#This Row],[trestbps]]&gt;$P$4, 1, 0)</f>
        <v>1</v>
      </c>
      <c r="I176">
        <f>IF(HeartData[[#This Row],[oldpeak]]&gt;$P$5,1,0)</f>
        <v>1</v>
      </c>
      <c r="J176">
        <f>IF(HeartData[[#This Row],[exang]]="TRUE",1,0)</f>
        <v>0</v>
      </c>
      <c r="K176">
        <f>IF(HeartData[[#This Row],[fbs]]="TRUE",1,0)</f>
        <v>0</v>
      </c>
      <c r="L176">
        <f>IF(HeartData[[#This Row],[ca]]&gt;0,1,0)</f>
        <v>1</v>
      </c>
      <c r="M176">
        <f t="shared" si="7"/>
        <v>4</v>
      </c>
      <c r="N176">
        <f t="shared" si="8"/>
        <v>1</v>
      </c>
    </row>
    <row r="177" spans="1:14" x14ac:dyDescent="0.3">
      <c r="A177">
        <f>HeartData[[#This Row],[id]]</f>
        <v>176</v>
      </c>
      <c r="B177" s="4">
        <f>HeartData[[#This Row],[age]]</f>
        <v>57</v>
      </c>
      <c r="C177" t="str">
        <f>HeartData[[#This Row],[sex]]</f>
        <v>Male</v>
      </c>
      <c r="D177" t="str">
        <f t="shared" si="6"/>
        <v>55-64</v>
      </c>
      <c r="E177" t="str">
        <f>HeartData[[#This Row],[cp]]</f>
        <v>asymptomatic</v>
      </c>
      <c r="F177" t="str">
        <f>IF(HeartData[[#This Row],[num]]&gt;0, "Diseased", "Healthy")</f>
        <v>Diseased</v>
      </c>
      <c r="G177">
        <f>IF(HeartData[[#This Row],[chol]]&gt;$P$3, 1, 0)</f>
        <v>1</v>
      </c>
      <c r="H177">
        <f>IF(HeartData[[#This Row],[trestbps]]&gt;$P$4, 1, 0)</f>
        <v>1</v>
      </c>
      <c r="I177">
        <f>IF(HeartData[[#This Row],[oldpeak]]&gt;$P$5,1,0)</f>
        <v>1</v>
      </c>
      <c r="J177">
        <f>IF(HeartData[[#This Row],[exang]]="TRUE",1,0)</f>
        <v>1</v>
      </c>
      <c r="K177">
        <f>IF(HeartData[[#This Row],[fbs]]="TRUE",1,0)</f>
        <v>0</v>
      </c>
      <c r="L177">
        <f>IF(HeartData[[#This Row],[ca]]&gt;0,1,0)</f>
        <v>1</v>
      </c>
      <c r="M177">
        <f t="shared" si="7"/>
        <v>5</v>
      </c>
      <c r="N177">
        <f t="shared" si="8"/>
        <v>1</v>
      </c>
    </row>
    <row r="178" spans="1:14" x14ac:dyDescent="0.3">
      <c r="A178">
        <f>HeartData[[#This Row],[id]]</f>
        <v>177</v>
      </c>
      <c r="B178" s="4">
        <f>HeartData[[#This Row],[age]]</f>
        <v>52</v>
      </c>
      <c r="C178" t="str">
        <f>HeartData[[#This Row],[sex]]</f>
        <v>Male</v>
      </c>
      <c r="D178" t="str">
        <f t="shared" si="6"/>
        <v>45-54</v>
      </c>
      <c r="E178" t="str">
        <f>HeartData[[#This Row],[cp]]</f>
        <v>asymptomatic</v>
      </c>
      <c r="F178" t="str">
        <f>IF(HeartData[[#This Row],[num]]&gt;0, "Diseased", "Healthy")</f>
        <v>Healthy</v>
      </c>
      <c r="G178">
        <f>IF(HeartData[[#This Row],[chol]]&gt;$P$3, 1, 0)</f>
        <v>1</v>
      </c>
      <c r="H178">
        <f>IF(HeartData[[#This Row],[trestbps]]&gt;$P$4, 1, 0)</f>
        <v>1</v>
      </c>
      <c r="I178">
        <f>IF(HeartData[[#This Row],[oldpeak]]&gt;$P$5,1,0)</f>
        <v>1</v>
      </c>
      <c r="J178">
        <f>IF(HeartData[[#This Row],[exang]]="TRUE",1,0)</f>
        <v>0</v>
      </c>
      <c r="K178">
        <f>IF(HeartData[[#This Row],[fbs]]="TRUE",1,0)</f>
        <v>1</v>
      </c>
      <c r="L178">
        <f>IF(HeartData[[#This Row],[ca]]&gt;0,1,0)</f>
        <v>1</v>
      </c>
      <c r="M178">
        <f t="shared" si="7"/>
        <v>5</v>
      </c>
      <c r="N178">
        <f t="shared" si="8"/>
        <v>0</v>
      </c>
    </row>
    <row r="179" spans="1:14" x14ac:dyDescent="0.3">
      <c r="A179">
        <f>HeartData[[#This Row],[id]]</f>
        <v>178</v>
      </c>
      <c r="B179" s="4">
        <f>HeartData[[#This Row],[age]]</f>
        <v>56</v>
      </c>
      <c r="C179" t="str">
        <f>HeartData[[#This Row],[sex]]</f>
        <v>Male</v>
      </c>
      <c r="D179" t="str">
        <f t="shared" si="6"/>
        <v>55-64</v>
      </c>
      <c r="E179" t="str">
        <f>HeartData[[#This Row],[cp]]</f>
        <v>asymptomatic</v>
      </c>
      <c r="F179" t="str">
        <f>IF(HeartData[[#This Row],[num]]&gt;0, "Diseased", "Healthy")</f>
        <v>Diseased</v>
      </c>
      <c r="G179">
        <f>IF(HeartData[[#This Row],[chol]]&gt;$P$3, 1, 0)</f>
        <v>1</v>
      </c>
      <c r="H179">
        <f>IF(HeartData[[#This Row],[trestbps]]&gt;$P$4, 1, 0)</f>
        <v>1</v>
      </c>
      <c r="I179">
        <f>IF(HeartData[[#This Row],[oldpeak]]&gt;$P$5,1,0)</f>
        <v>1</v>
      </c>
      <c r="J179">
        <f>IF(HeartData[[#This Row],[exang]]="TRUE",1,0)</f>
        <v>1</v>
      </c>
      <c r="K179">
        <f>IF(HeartData[[#This Row],[fbs]]="TRUE",1,0)</f>
        <v>0</v>
      </c>
      <c r="L179">
        <f>IF(HeartData[[#This Row],[ca]]&gt;0,1,0)</f>
        <v>1</v>
      </c>
      <c r="M179">
        <f t="shared" si="7"/>
        <v>5</v>
      </c>
      <c r="N179">
        <f t="shared" si="8"/>
        <v>1</v>
      </c>
    </row>
    <row r="180" spans="1:14" x14ac:dyDescent="0.3">
      <c r="A180">
        <f>HeartData[[#This Row],[id]]</f>
        <v>179</v>
      </c>
      <c r="B180" s="4">
        <f>HeartData[[#This Row],[age]]</f>
        <v>43</v>
      </c>
      <c r="C180" t="str">
        <f>HeartData[[#This Row],[sex]]</f>
        <v>Male</v>
      </c>
      <c r="D180" t="str">
        <f t="shared" si="6"/>
        <v>Under 45</v>
      </c>
      <c r="E180" t="str">
        <f>HeartData[[#This Row],[cp]]</f>
        <v>non-anginal</v>
      </c>
      <c r="F180" t="str">
        <f>IF(HeartData[[#This Row],[num]]&gt;0, "Diseased", "Healthy")</f>
        <v>Healthy</v>
      </c>
      <c r="G180">
        <f>IF(HeartData[[#This Row],[chol]]&gt;$P$3, 1, 0)</f>
        <v>1</v>
      </c>
      <c r="H180">
        <f>IF(HeartData[[#This Row],[trestbps]]&gt;$P$4, 1, 0)</f>
        <v>1</v>
      </c>
      <c r="I180">
        <f>IF(HeartData[[#This Row],[oldpeak]]&gt;$P$5,1,0)</f>
        <v>1</v>
      </c>
      <c r="J180">
        <f>IF(HeartData[[#This Row],[exang]]="TRUE",1,0)</f>
        <v>0</v>
      </c>
      <c r="K180">
        <f>IF(HeartData[[#This Row],[fbs]]="TRUE",1,0)</f>
        <v>0</v>
      </c>
      <c r="L180">
        <f>IF(HeartData[[#This Row],[ca]]&gt;0,1,0)</f>
        <v>1</v>
      </c>
      <c r="M180">
        <f t="shared" si="7"/>
        <v>4</v>
      </c>
      <c r="N180">
        <f t="shared" si="8"/>
        <v>0</v>
      </c>
    </row>
    <row r="181" spans="1:14" x14ac:dyDescent="0.3">
      <c r="A181">
        <f>HeartData[[#This Row],[id]]</f>
        <v>180</v>
      </c>
      <c r="B181" s="4">
        <f>HeartData[[#This Row],[age]]</f>
        <v>53</v>
      </c>
      <c r="C181" t="str">
        <f>HeartData[[#This Row],[sex]]</f>
        <v>Male</v>
      </c>
      <c r="D181" t="str">
        <f t="shared" si="6"/>
        <v>45-54</v>
      </c>
      <c r="E181" t="str">
        <f>HeartData[[#This Row],[cp]]</f>
        <v>non-anginal</v>
      </c>
      <c r="F181" t="str">
        <f>IF(HeartData[[#This Row],[num]]&gt;0, "Diseased", "Healthy")</f>
        <v>Healthy</v>
      </c>
      <c r="G181">
        <f>IF(HeartData[[#This Row],[chol]]&gt;$P$3, 1, 0)</f>
        <v>1</v>
      </c>
      <c r="H181">
        <f>IF(HeartData[[#This Row],[trestbps]]&gt;$P$4, 1, 0)</f>
        <v>1</v>
      </c>
      <c r="I181">
        <f>IF(HeartData[[#This Row],[oldpeak]]&gt;$P$5,1,0)</f>
        <v>0</v>
      </c>
      <c r="J181">
        <f>IF(HeartData[[#This Row],[exang]]="TRUE",1,0)</f>
        <v>0</v>
      </c>
      <c r="K181">
        <f>IF(HeartData[[#This Row],[fbs]]="TRUE",1,0)</f>
        <v>1</v>
      </c>
      <c r="L181">
        <f>IF(HeartData[[#This Row],[ca]]&gt;0,1,0)</f>
        <v>1</v>
      </c>
      <c r="M181">
        <f t="shared" si="7"/>
        <v>4</v>
      </c>
      <c r="N181">
        <f t="shared" si="8"/>
        <v>0</v>
      </c>
    </row>
    <row r="182" spans="1:14" x14ac:dyDescent="0.3">
      <c r="A182">
        <f>HeartData[[#This Row],[id]]</f>
        <v>181</v>
      </c>
      <c r="B182" s="4">
        <f>HeartData[[#This Row],[age]]</f>
        <v>48</v>
      </c>
      <c r="C182" t="str">
        <f>HeartData[[#This Row],[sex]]</f>
        <v>Male</v>
      </c>
      <c r="D182" t="str">
        <f t="shared" si="6"/>
        <v>45-54</v>
      </c>
      <c r="E182" t="str">
        <f>HeartData[[#This Row],[cp]]</f>
        <v>asymptomatic</v>
      </c>
      <c r="F182" t="str">
        <f>IF(HeartData[[#This Row],[num]]&gt;0, "Diseased", "Healthy")</f>
        <v>Diseased</v>
      </c>
      <c r="G182">
        <f>IF(HeartData[[#This Row],[chol]]&gt;$P$3, 1, 0)</f>
        <v>1</v>
      </c>
      <c r="H182">
        <f>IF(HeartData[[#This Row],[trestbps]]&gt;$P$4, 1, 0)</f>
        <v>1</v>
      </c>
      <c r="I182">
        <f>IF(HeartData[[#This Row],[oldpeak]]&gt;$P$5,1,0)</f>
        <v>1</v>
      </c>
      <c r="J182">
        <f>IF(HeartData[[#This Row],[exang]]="TRUE",1,0)</f>
        <v>0</v>
      </c>
      <c r="K182">
        <f>IF(HeartData[[#This Row],[fbs]]="TRUE",1,0)</f>
        <v>0</v>
      </c>
      <c r="L182">
        <f>IF(HeartData[[#This Row],[ca]]&gt;0,1,0)</f>
        <v>0</v>
      </c>
      <c r="M182">
        <f t="shared" si="7"/>
        <v>3</v>
      </c>
      <c r="N182">
        <f t="shared" si="8"/>
        <v>1</v>
      </c>
    </row>
    <row r="183" spans="1:14" x14ac:dyDescent="0.3">
      <c r="A183">
        <f>HeartData[[#This Row],[id]]</f>
        <v>182</v>
      </c>
      <c r="B183" s="4">
        <f>HeartData[[#This Row],[age]]</f>
        <v>56</v>
      </c>
      <c r="C183" t="str">
        <f>HeartData[[#This Row],[sex]]</f>
        <v>Female</v>
      </c>
      <c r="D183" t="str">
        <f t="shared" si="6"/>
        <v>55-64</v>
      </c>
      <c r="E183" t="str">
        <f>HeartData[[#This Row],[cp]]</f>
        <v>asymptomatic</v>
      </c>
      <c r="F183" t="str">
        <f>IF(HeartData[[#This Row],[num]]&gt;0, "Diseased", "Healthy")</f>
        <v>Diseased</v>
      </c>
      <c r="G183">
        <f>IF(HeartData[[#This Row],[chol]]&gt;$P$3, 1, 0)</f>
        <v>1</v>
      </c>
      <c r="H183">
        <f>IF(HeartData[[#This Row],[trestbps]]&gt;$P$4, 1, 0)</f>
        <v>1</v>
      </c>
      <c r="I183">
        <f>IF(HeartData[[#This Row],[oldpeak]]&gt;$P$5,1,0)</f>
        <v>1</v>
      </c>
      <c r="J183">
        <f>IF(HeartData[[#This Row],[exang]]="TRUE",1,0)</f>
        <v>1</v>
      </c>
      <c r="K183">
        <f>IF(HeartData[[#This Row],[fbs]]="TRUE",1,0)</f>
        <v>0</v>
      </c>
      <c r="L183">
        <f>IF(HeartData[[#This Row],[ca]]&gt;0,1,0)</f>
        <v>1</v>
      </c>
      <c r="M183">
        <f t="shared" si="7"/>
        <v>5</v>
      </c>
      <c r="N183">
        <f t="shared" si="8"/>
        <v>1</v>
      </c>
    </row>
    <row r="184" spans="1:14" x14ac:dyDescent="0.3">
      <c r="A184">
        <f>HeartData[[#This Row],[id]]</f>
        <v>183</v>
      </c>
      <c r="B184" s="4">
        <f>HeartData[[#This Row],[age]]</f>
        <v>42</v>
      </c>
      <c r="C184" t="str">
        <f>HeartData[[#This Row],[sex]]</f>
        <v>Male</v>
      </c>
      <c r="D184" t="str">
        <f t="shared" si="6"/>
        <v>Under 45</v>
      </c>
      <c r="E184" t="str">
        <f>HeartData[[#This Row],[cp]]</f>
        <v>typical angina</v>
      </c>
      <c r="F184" t="str">
        <f>IF(HeartData[[#This Row],[num]]&gt;0, "Diseased", "Healthy")</f>
        <v>Healthy</v>
      </c>
      <c r="G184">
        <f>IF(HeartData[[#This Row],[chol]]&gt;$P$3, 1, 0)</f>
        <v>1</v>
      </c>
      <c r="H184">
        <f>IF(HeartData[[#This Row],[trestbps]]&gt;$P$4, 1, 0)</f>
        <v>1</v>
      </c>
      <c r="I184">
        <f>IF(HeartData[[#This Row],[oldpeak]]&gt;$P$5,1,0)</f>
        <v>1</v>
      </c>
      <c r="J184">
        <f>IF(HeartData[[#This Row],[exang]]="TRUE",1,0)</f>
        <v>0</v>
      </c>
      <c r="K184">
        <f>IF(HeartData[[#This Row],[fbs]]="TRUE",1,0)</f>
        <v>0</v>
      </c>
      <c r="L184">
        <f>IF(HeartData[[#This Row],[ca]]&gt;0,1,0)</f>
        <v>1</v>
      </c>
      <c r="M184">
        <f t="shared" si="7"/>
        <v>4</v>
      </c>
      <c r="N184">
        <f t="shared" si="8"/>
        <v>0</v>
      </c>
    </row>
    <row r="185" spans="1:14" x14ac:dyDescent="0.3">
      <c r="A185">
        <f>HeartData[[#This Row],[id]]</f>
        <v>184</v>
      </c>
      <c r="B185" s="4">
        <f>HeartData[[#This Row],[age]]</f>
        <v>59</v>
      </c>
      <c r="C185" t="str">
        <f>HeartData[[#This Row],[sex]]</f>
        <v>Male</v>
      </c>
      <c r="D185" t="str">
        <f t="shared" si="6"/>
        <v>55-64</v>
      </c>
      <c r="E185" t="str">
        <f>HeartData[[#This Row],[cp]]</f>
        <v>typical angina</v>
      </c>
      <c r="F185" t="str">
        <f>IF(HeartData[[#This Row],[num]]&gt;0, "Diseased", "Healthy")</f>
        <v>Healthy</v>
      </c>
      <c r="G185">
        <f>IF(HeartData[[#This Row],[chol]]&gt;$P$3, 1, 0)</f>
        <v>1</v>
      </c>
      <c r="H185">
        <f>IF(HeartData[[#This Row],[trestbps]]&gt;$P$4, 1, 0)</f>
        <v>1</v>
      </c>
      <c r="I185">
        <f>IF(HeartData[[#This Row],[oldpeak]]&gt;$P$5,1,0)</f>
        <v>1</v>
      </c>
      <c r="J185">
        <f>IF(HeartData[[#This Row],[exang]]="TRUE",1,0)</f>
        <v>0</v>
      </c>
      <c r="K185">
        <f>IF(HeartData[[#This Row],[fbs]]="TRUE",1,0)</f>
        <v>0</v>
      </c>
      <c r="L185">
        <f>IF(HeartData[[#This Row],[ca]]&gt;0,1,0)</f>
        <v>0</v>
      </c>
      <c r="M185">
        <f t="shared" si="7"/>
        <v>3</v>
      </c>
      <c r="N185">
        <f t="shared" si="8"/>
        <v>0</v>
      </c>
    </row>
    <row r="186" spans="1:14" x14ac:dyDescent="0.3">
      <c r="A186">
        <f>HeartData[[#This Row],[id]]</f>
        <v>185</v>
      </c>
      <c r="B186" s="4">
        <f>HeartData[[#This Row],[age]]</f>
        <v>60</v>
      </c>
      <c r="C186" t="str">
        <f>HeartData[[#This Row],[sex]]</f>
        <v>Female</v>
      </c>
      <c r="D186" t="str">
        <f t="shared" si="6"/>
        <v>55-64</v>
      </c>
      <c r="E186" t="str">
        <f>HeartData[[#This Row],[cp]]</f>
        <v>asymptomatic</v>
      </c>
      <c r="F186" t="str">
        <f>IF(HeartData[[#This Row],[num]]&gt;0, "Diseased", "Healthy")</f>
        <v>Diseased</v>
      </c>
      <c r="G186">
        <f>IF(HeartData[[#This Row],[chol]]&gt;$P$3, 1, 0)</f>
        <v>1</v>
      </c>
      <c r="H186">
        <f>IF(HeartData[[#This Row],[trestbps]]&gt;$P$4, 1, 0)</f>
        <v>1</v>
      </c>
      <c r="I186">
        <f>IF(HeartData[[#This Row],[oldpeak]]&gt;$P$5,1,0)</f>
        <v>0</v>
      </c>
      <c r="J186">
        <f>IF(HeartData[[#This Row],[exang]]="TRUE",1,0)</f>
        <v>0</v>
      </c>
      <c r="K186">
        <f>IF(HeartData[[#This Row],[fbs]]="TRUE",1,0)</f>
        <v>0</v>
      </c>
      <c r="L186">
        <f>IF(HeartData[[#This Row],[ca]]&gt;0,1,0)</f>
        <v>0</v>
      </c>
      <c r="M186">
        <f t="shared" si="7"/>
        <v>2</v>
      </c>
      <c r="N186">
        <f t="shared" si="8"/>
        <v>1</v>
      </c>
    </row>
    <row r="187" spans="1:14" x14ac:dyDescent="0.3">
      <c r="A187">
        <f>HeartData[[#This Row],[id]]</f>
        <v>186</v>
      </c>
      <c r="B187" s="4">
        <f>HeartData[[#This Row],[age]]</f>
        <v>63</v>
      </c>
      <c r="C187" t="str">
        <f>HeartData[[#This Row],[sex]]</f>
        <v>Female</v>
      </c>
      <c r="D187" t="str">
        <f t="shared" si="6"/>
        <v>55-64</v>
      </c>
      <c r="E187" t="str">
        <f>HeartData[[#This Row],[cp]]</f>
        <v>atypical angina</v>
      </c>
      <c r="F187" t="str">
        <f>IF(HeartData[[#This Row],[num]]&gt;0, "Diseased", "Healthy")</f>
        <v>Healthy</v>
      </c>
      <c r="G187">
        <f>IF(HeartData[[#This Row],[chol]]&gt;$P$3, 1, 0)</f>
        <v>1</v>
      </c>
      <c r="H187">
        <f>IF(HeartData[[#This Row],[trestbps]]&gt;$P$4, 1, 0)</f>
        <v>1</v>
      </c>
      <c r="I187">
        <f>IF(HeartData[[#This Row],[oldpeak]]&gt;$P$5,1,0)</f>
        <v>0</v>
      </c>
      <c r="J187">
        <f>IF(HeartData[[#This Row],[exang]]="TRUE",1,0)</f>
        <v>0</v>
      </c>
      <c r="K187">
        <f>IF(HeartData[[#This Row],[fbs]]="TRUE",1,0)</f>
        <v>0</v>
      </c>
      <c r="L187">
        <f>IF(HeartData[[#This Row],[ca]]&gt;0,1,0)</f>
        <v>1</v>
      </c>
      <c r="M187">
        <f t="shared" si="7"/>
        <v>3</v>
      </c>
      <c r="N187">
        <f t="shared" si="8"/>
        <v>0</v>
      </c>
    </row>
    <row r="188" spans="1:14" x14ac:dyDescent="0.3">
      <c r="A188">
        <f>HeartData[[#This Row],[id]]</f>
        <v>187</v>
      </c>
      <c r="B188" s="4">
        <f>HeartData[[#This Row],[age]]</f>
        <v>42</v>
      </c>
      <c r="C188" t="str">
        <f>HeartData[[#This Row],[sex]]</f>
        <v>Male</v>
      </c>
      <c r="D188" t="str">
        <f t="shared" si="6"/>
        <v>Under 45</v>
      </c>
      <c r="E188" t="str">
        <f>HeartData[[#This Row],[cp]]</f>
        <v>non-anginal</v>
      </c>
      <c r="F188" t="str">
        <f>IF(HeartData[[#This Row],[num]]&gt;0, "Diseased", "Healthy")</f>
        <v>Healthy</v>
      </c>
      <c r="G188">
        <f>IF(HeartData[[#This Row],[chol]]&gt;$P$3, 1, 0)</f>
        <v>1</v>
      </c>
      <c r="H188">
        <f>IF(HeartData[[#This Row],[trestbps]]&gt;$P$4, 1, 0)</f>
        <v>1</v>
      </c>
      <c r="I188">
        <f>IF(HeartData[[#This Row],[oldpeak]]&gt;$P$5,1,0)</f>
        <v>1</v>
      </c>
      <c r="J188">
        <f>IF(HeartData[[#This Row],[exang]]="TRUE",1,0)</f>
        <v>0</v>
      </c>
      <c r="K188">
        <f>IF(HeartData[[#This Row],[fbs]]="TRUE",1,0)</f>
        <v>1</v>
      </c>
      <c r="L188">
        <f>IF(HeartData[[#This Row],[ca]]&gt;0,1,0)</f>
        <v>0</v>
      </c>
      <c r="M188">
        <f t="shared" si="7"/>
        <v>4</v>
      </c>
      <c r="N188">
        <f t="shared" si="8"/>
        <v>0</v>
      </c>
    </row>
    <row r="189" spans="1:14" x14ac:dyDescent="0.3">
      <c r="A189">
        <f>HeartData[[#This Row],[id]]</f>
        <v>188</v>
      </c>
      <c r="B189" s="4">
        <f>HeartData[[#This Row],[age]]</f>
        <v>66</v>
      </c>
      <c r="C189" t="str">
        <f>HeartData[[#This Row],[sex]]</f>
        <v>Male</v>
      </c>
      <c r="D189" t="str">
        <f t="shared" si="6"/>
        <v>65+</v>
      </c>
      <c r="E189" t="str">
        <f>HeartData[[#This Row],[cp]]</f>
        <v>atypical angina</v>
      </c>
      <c r="F189" t="str">
        <f>IF(HeartData[[#This Row],[num]]&gt;0, "Diseased", "Healthy")</f>
        <v>Diseased</v>
      </c>
      <c r="G189">
        <f>IF(HeartData[[#This Row],[chol]]&gt;$P$3, 1, 0)</f>
        <v>1</v>
      </c>
      <c r="H189">
        <f>IF(HeartData[[#This Row],[trestbps]]&gt;$P$4, 1, 0)</f>
        <v>1</v>
      </c>
      <c r="I189">
        <f>IF(HeartData[[#This Row],[oldpeak]]&gt;$P$5,1,0)</f>
        <v>0</v>
      </c>
      <c r="J189">
        <f>IF(HeartData[[#This Row],[exang]]="TRUE",1,0)</f>
        <v>1</v>
      </c>
      <c r="K189">
        <f>IF(HeartData[[#This Row],[fbs]]="TRUE",1,0)</f>
        <v>0</v>
      </c>
      <c r="L189">
        <f>IF(HeartData[[#This Row],[ca]]&gt;0,1,0)</f>
        <v>1</v>
      </c>
      <c r="M189">
        <f t="shared" si="7"/>
        <v>4</v>
      </c>
      <c r="N189">
        <f t="shared" si="8"/>
        <v>1</v>
      </c>
    </row>
    <row r="190" spans="1:14" x14ac:dyDescent="0.3">
      <c r="A190">
        <f>HeartData[[#This Row],[id]]</f>
        <v>189</v>
      </c>
      <c r="B190" s="4">
        <f>HeartData[[#This Row],[age]]</f>
        <v>54</v>
      </c>
      <c r="C190" t="str">
        <f>HeartData[[#This Row],[sex]]</f>
        <v>Male</v>
      </c>
      <c r="D190" t="str">
        <f t="shared" si="6"/>
        <v>45-54</v>
      </c>
      <c r="E190" t="str">
        <f>HeartData[[#This Row],[cp]]</f>
        <v>atypical angina</v>
      </c>
      <c r="F190" t="str">
        <f>IF(HeartData[[#This Row],[num]]&gt;0, "Diseased", "Healthy")</f>
        <v>Diseased</v>
      </c>
      <c r="G190">
        <f>IF(HeartData[[#This Row],[chol]]&gt;$P$3, 1, 0)</f>
        <v>1</v>
      </c>
      <c r="H190">
        <f>IF(HeartData[[#This Row],[trestbps]]&gt;$P$4, 1, 0)</f>
        <v>1</v>
      </c>
      <c r="I190">
        <f>IF(HeartData[[#This Row],[oldpeak]]&gt;$P$5,1,0)</f>
        <v>0</v>
      </c>
      <c r="J190">
        <f>IF(HeartData[[#This Row],[exang]]="TRUE",1,0)</f>
        <v>0</v>
      </c>
      <c r="K190">
        <f>IF(HeartData[[#This Row],[fbs]]="TRUE",1,0)</f>
        <v>0</v>
      </c>
      <c r="L190">
        <f>IF(HeartData[[#This Row],[ca]]&gt;0,1,0)</f>
        <v>1</v>
      </c>
      <c r="M190">
        <f t="shared" si="7"/>
        <v>3</v>
      </c>
      <c r="N190">
        <f t="shared" si="8"/>
        <v>1</v>
      </c>
    </row>
    <row r="191" spans="1:14" x14ac:dyDescent="0.3">
      <c r="A191">
        <f>HeartData[[#This Row],[id]]</f>
        <v>190</v>
      </c>
      <c r="B191" s="4">
        <f>HeartData[[#This Row],[age]]</f>
        <v>69</v>
      </c>
      <c r="C191" t="str">
        <f>HeartData[[#This Row],[sex]]</f>
        <v>Male</v>
      </c>
      <c r="D191" t="str">
        <f t="shared" si="6"/>
        <v>65+</v>
      </c>
      <c r="E191" t="str">
        <f>HeartData[[#This Row],[cp]]</f>
        <v>non-anginal</v>
      </c>
      <c r="F191" t="str">
        <f>IF(HeartData[[#This Row],[num]]&gt;0, "Diseased", "Healthy")</f>
        <v>Diseased</v>
      </c>
      <c r="G191">
        <f>IF(HeartData[[#This Row],[chol]]&gt;$P$3, 1, 0)</f>
        <v>1</v>
      </c>
      <c r="H191">
        <f>IF(HeartData[[#This Row],[trestbps]]&gt;$P$4, 1, 0)</f>
        <v>1</v>
      </c>
      <c r="I191">
        <f>IF(HeartData[[#This Row],[oldpeak]]&gt;$P$5,1,0)</f>
        <v>1</v>
      </c>
      <c r="J191">
        <f>IF(HeartData[[#This Row],[exang]]="TRUE",1,0)</f>
        <v>0</v>
      </c>
      <c r="K191">
        <f>IF(HeartData[[#This Row],[fbs]]="TRUE",1,0)</f>
        <v>0</v>
      </c>
      <c r="L191">
        <f>IF(HeartData[[#This Row],[ca]]&gt;0,1,0)</f>
        <v>1</v>
      </c>
      <c r="M191">
        <f t="shared" si="7"/>
        <v>4</v>
      </c>
      <c r="N191">
        <f t="shared" si="8"/>
        <v>1</v>
      </c>
    </row>
    <row r="192" spans="1:14" x14ac:dyDescent="0.3">
      <c r="A192">
        <f>HeartData[[#This Row],[id]]</f>
        <v>191</v>
      </c>
      <c r="B192" s="4">
        <f>HeartData[[#This Row],[age]]</f>
        <v>50</v>
      </c>
      <c r="C192" t="str">
        <f>HeartData[[#This Row],[sex]]</f>
        <v>Male</v>
      </c>
      <c r="D192" t="str">
        <f t="shared" si="6"/>
        <v>45-54</v>
      </c>
      <c r="E192" t="str">
        <f>HeartData[[#This Row],[cp]]</f>
        <v>non-anginal</v>
      </c>
      <c r="F192" t="str">
        <f>IF(HeartData[[#This Row],[num]]&gt;0, "Diseased", "Healthy")</f>
        <v>Healthy</v>
      </c>
      <c r="G192">
        <f>IF(HeartData[[#This Row],[chol]]&gt;$P$3, 1, 0)</f>
        <v>1</v>
      </c>
      <c r="H192">
        <f>IF(HeartData[[#This Row],[trestbps]]&gt;$P$4, 1, 0)</f>
        <v>1</v>
      </c>
      <c r="I192">
        <f>IF(HeartData[[#This Row],[oldpeak]]&gt;$P$5,1,0)</f>
        <v>0</v>
      </c>
      <c r="J192">
        <f>IF(HeartData[[#This Row],[exang]]="TRUE",1,0)</f>
        <v>0</v>
      </c>
      <c r="K192">
        <f>IF(HeartData[[#This Row],[fbs]]="TRUE",1,0)</f>
        <v>0</v>
      </c>
      <c r="L192">
        <f>IF(HeartData[[#This Row],[ca]]&gt;0,1,0)</f>
        <v>0</v>
      </c>
      <c r="M192">
        <f t="shared" si="7"/>
        <v>2</v>
      </c>
      <c r="N192">
        <f t="shared" si="8"/>
        <v>0</v>
      </c>
    </row>
    <row r="193" spans="1:14" x14ac:dyDescent="0.3">
      <c r="A193">
        <f>HeartData[[#This Row],[id]]</f>
        <v>192</v>
      </c>
      <c r="B193" s="4">
        <f>HeartData[[#This Row],[age]]</f>
        <v>51</v>
      </c>
      <c r="C193" t="str">
        <f>HeartData[[#This Row],[sex]]</f>
        <v>Male</v>
      </c>
      <c r="D193" t="str">
        <f t="shared" si="6"/>
        <v>45-54</v>
      </c>
      <c r="E193" t="str">
        <f>HeartData[[#This Row],[cp]]</f>
        <v>asymptomatic</v>
      </c>
      <c r="F193" t="str">
        <f>IF(HeartData[[#This Row],[num]]&gt;0, "Diseased", "Healthy")</f>
        <v>Diseased</v>
      </c>
      <c r="G193">
        <f>IF(HeartData[[#This Row],[chol]]&gt;$P$3, 1, 0)</f>
        <v>1</v>
      </c>
      <c r="H193">
        <f>IF(HeartData[[#This Row],[trestbps]]&gt;$P$4, 1, 0)</f>
        <v>1</v>
      </c>
      <c r="I193">
        <f>IF(HeartData[[#This Row],[oldpeak]]&gt;$P$5,1,0)</f>
        <v>1</v>
      </c>
      <c r="J193">
        <f>IF(HeartData[[#This Row],[exang]]="TRUE",1,0)</f>
        <v>1</v>
      </c>
      <c r="K193">
        <f>IF(HeartData[[#This Row],[fbs]]="TRUE",1,0)</f>
        <v>0</v>
      </c>
      <c r="L193">
        <f>IF(HeartData[[#This Row],[ca]]&gt;0,1,0)</f>
        <v>1</v>
      </c>
      <c r="M193">
        <f t="shared" si="7"/>
        <v>5</v>
      </c>
      <c r="N193">
        <f t="shared" si="8"/>
        <v>1</v>
      </c>
    </row>
    <row r="194" spans="1:14" x14ac:dyDescent="0.3">
      <c r="A194">
        <f>HeartData[[#This Row],[id]]</f>
        <v>193</v>
      </c>
      <c r="B194" s="4">
        <f>HeartData[[#This Row],[age]]</f>
        <v>43</v>
      </c>
      <c r="C194" t="str">
        <f>HeartData[[#This Row],[sex]]</f>
        <v>Male</v>
      </c>
      <c r="D194" t="str">
        <f t="shared" ref="D194:D257" si="9">IF(B194&lt;45,"Under 45",IF(B194&lt;=54,"45-54",IF(B194&lt;=64,"55-64","65+")))</f>
        <v>Under 45</v>
      </c>
      <c r="E194" t="str">
        <f>HeartData[[#This Row],[cp]]</f>
        <v>asymptomatic</v>
      </c>
      <c r="F194" t="str">
        <f>IF(HeartData[[#This Row],[num]]&gt;0, "Diseased", "Healthy")</f>
        <v>Diseased</v>
      </c>
      <c r="G194">
        <f>IF(HeartData[[#This Row],[chol]]&gt;$P$3, 1, 0)</f>
        <v>1</v>
      </c>
      <c r="H194">
        <f>IF(HeartData[[#This Row],[trestbps]]&gt;$P$4, 1, 0)</f>
        <v>1</v>
      </c>
      <c r="I194">
        <f>IF(HeartData[[#This Row],[oldpeak]]&gt;$P$5,1,0)</f>
        <v>1</v>
      </c>
      <c r="J194">
        <f>IF(HeartData[[#This Row],[exang]]="TRUE",1,0)</f>
        <v>1</v>
      </c>
      <c r="K194">
        <f>IF(HeartData[[#This Row],[fbs]]="TRUE",1,0)</f>
        <v>1</v>
      </c>
      <c r="L194">
        <f>IF(HeartData[[#This Row],[ca]]&gt;0,1,0)</f>
        <v>0</v>
      </c>
      <c r="M194">
        <f t="shared" si="7"/>
        <v>5</v>
      </c>
      <c r="N194">
        <f t="shared" si="8"/>
        <v>1</v>
      </c>
    </row>
    <row r="195" spans="1:14" x14ac:dyDescent="0.3">
      <c r="A195">
        <f>HeartData[[#This Row],[id]]</f>
        <v>194</v>
      </c>
      <c r="B195" s="4">
        <f>HeartData[[#This Row],[age]]</f>
        <v>62</v>
      </c>
      <c r="C195" t="str">
        <f>HeartData[[#This Row],[sex]]</f>
        <v>Female</v>
      </c>
      <c r="D195" t="str">
        <f t="shared" si="9"/>
        <v>55-64</v>
      </c>
      <c r="E195" t="str">
        <f>HeartData[[#This Row],[cp]]</f>
        <v>asymptomatic</v>
      </c>
      <c r="F195" t="str">
        <f>IF(HeartData[[#This Row],[num]]&gt;0, "Diseased", "Healthy")</f>
        <v>Diseased</v>
      </c>
      <c r="G195">
        <f>IF(HeartData[[#This Row],[chol]]&gt;$P$3, 1, 0)</f>
        <v>1</v>
      </c>
      <c r="H195">
        <f>IF(HeartData[[#This Row],[trestbps]]&gt;$P$4, 1, 0)</f>
        <v>1</v>
      </c>
      <c r="I195">
        <f>IF(HeartData[[#This Row],[oldpeak]]&gt;$P$5,1,0)</f>
        <v>1</v>
      </c>
      <c r="J195">
        <f>IF(HeartData[[#This Row],[exang]]="TRUE",1,0)</f>
        <v>0</v>
      </c>
      <c r="K195">
        <f>IF(HeartData[[#This Row],[fbs]]="TRUE",1,0)</f>
        <v>1</v>
      </c>
      <c r="L195">
        <f>IF(HeartData[[#This Row],[ca]]&gt;0,1,0)</f>
        <v>1</v>
      </c>
      <c r="M195">
        <f t="shared" ref="M195:M258" si="10">G195+H195+I195+J195+K195+L195</f>
        <v>5</v>
      </c>
      <c r="N195">
        <f t="shared" ref="N195:N258" si="11">IF(F195="Diseased",1,0)</f>
        <v>1</v>
      </c>
    </row>
    <row r="196" spans="1:14" x14ac:dyDescent="0.3">
      <c r="A196">
        <f>HeartData[[#This Row],[id]]</f>
        <v>195</v>
      </c>
      <c r="B196" s="4">
        <f>HeartData[[#This Row],[age]]</f>
        <v>68</v>
      </c>
      <c r="C196" t="str">
        <f>HeartData[[#This Row],[sex]]</f>
        <v>Female</v>
      </c>
      <c r="D196" t="str">
        <f t="shared" si="9"/>
        <v>65+</v>
      </c>
      <c r="E196" t="str">
        <f>HeartData[[#This Row],[cp]]</f>
        <v>non-anginal</v>
      </c>
      <c r="F196" t="str">
        <f>IF(HeartData[[#This Row],[num]]&gt;0, "Diseased", "Healthy")</f>
        <v>Healthy</v>
      </c>
      <c r="G196">
        <f>IF(HeartData[[#This Row],[chol]]&gt;$P$3, 1, 0)</f>
        <v>1</v>
      </c>
      <c r="H196">
        <f>IF(HeartData[[#This Row],[trestbps]]&gt;$P$4, 1, 0)</f>
        <v>1</v>
      </c>
      <c r="I196">
        <f>IF(HeartData[[#This Row],[oldpeak]]&gt;$P$5,1,0)</f>
        <v>1</v>
      </c>
      <c r="J196">
        <f>IF(HeartData[[#This Row],[exang]]="TRUE",1,0)</f>
        <v>0</v>
      </c>
      <c r="K196">
        <f>IF(HeartData[[#This Row],[fbs]]="TRUE",1,0)</f>
        <v>0</v>
      </c>
      <c r="L196">
        <f>IF(HeartData[[#This Row],[ca]]&gt;0,1,0)</f>
        <v>0</v>
      </c>
      <c r="M196">
        <f t="shared" si="10"/>
        <v>3</v>
      </c>
      <c r="N196">
        <f t="shared" si="11"/>
        <v>0</v>
      </c>
    </row>
    <row r="197" spans="1:14" x14ac:dyDescent="0.3">
      <c r="A197">
        <f>HeartData[[#This Row],[id]]</f>
        <v>196</v>
      </c>
      <c r="B197" s="4">
        <f>HeartData[[#This Row],[age]]</f>
        <v>67</v>
      </c>
      <c r="C197" t="str">
        <f>HeartData[[#This Row],[sex]]</f>
        <v>Male</v>
      </c>
      <c r="D197" t="str">
        <f t="shared" si="9"/>
        <v>65+</v>
      </c>
      <c r="E197" t="str">
        <f>HeartData[[#This Row],[cp]]</f>
        <v>asymptomatic</v>
      </c>
      <c r="F197" t="str">
        <f>IF(HeartData[[#This Row],[num]]&gt;0, "Diseased", "Healthy")</f>
        <v>Diseased</v>
      </c>
      <c r="G197">
        <f>IF(HeartData[[#This Row],[chol]]&gt;$P$3, 1, 0)</f>
        <v>1</v>
      </c>
      <c r="H197">
        <f>IF(HeartData[[#This Row],[trestbps]]&gt;$P$4, 1, 0)</f>
        <v>1</v>
      </c>
      <c r="I197">
        <f>IF(HeartData[[#This Row],[oldpeak]]&gt;$P$5,1,0)</f>
        <v>1</v>
      </c>
      <c r="J197">
        <f>IF(HeartData[[#This Row],[exang]]="TRUE",1,0)</f>
        <v>1</v>
      </c>
      <c r="K197">
        <f>IF(HeartData[[#This Row],[fbs]]="TRUE",1,0)</f>
        <v>0</v>
      </c>
      <c r="L197">
        <f>IF(HeartData[[#This Row],[ca]]&gt;0,1,0)</f>
        <v>1</v>
      </c>
      <c r="M197">
        <f t="shared" si="10"/>
        <v>5</v>
      </c>
      <c r="N197">
        <f t="shared" si="11"/>
        <v>1</v>
      </c>
    </row>
    <row r="198" spans="1:14" x14ac:dyDescent="0.3">
      <c r="A198">
        <f>HeartData[[#This Row],[id]]</f>
        <v>197</v>
      </c>
      <c r="B198" s="4">
        <f>HeartData[[#This Row],[age]]</f>
        <v>69</v>
      </c>
      <c r="C198" t="str">
        <f>HeartData[[#This Row],[sex]]</f>
        <v>Male</v>
      </c>
      <c r="D198" t="str">
        <f t="shared" si="9"/>
        <v>65+</v>
      </c>
      <c r="E198" t="str">
        <f>HeartData[[#This Row],[cp]]</f>
        <v>typical angina</v>
      </c>
      <c r="F198" t="str">
        <f>IF(HeartData[[#This Row],[num]]&gt;0, "Diseased", "Healthy")</f>
        <v>Healthy</v>
      </c>
      <c r="G198">
        <f>IF(HeartData[[#This Row],[chol]]&gt;$P$3, 1, 0)</f>
        <v>1</v>
      </c>
      <c r="H198">
        <f>IF(HeartData[[#This Row],[trestbps]]&gt;$P$4, 1, 0)</f>
        <v>1</v>
      </c>
      <c r="I198">
        <f>IF(HeartData[[#This Row],[oldpeak]]&gt;$P$5,1,0)</f>
        <v>1</v>
      </c>
      <c r="J198">
        <f>IF(HeartData[[#This Row],[exang]]="TRUE",1,0)</f>
        <v>0</v>
      </c>
      <c r="K198">
        <f>IF(HeartData[[#This Row],[fbs]]="TRUE",1,0)</f>
        <v>1</v>
      </c>
      <c r="L198">
        <f>IF(HeartData[[#This Row],[ca]]&gt;0,1,0)</f>
        <v>1</v>
      </c>
      <c r="M198">
        <f t="shared" si="10"/>
        <v>5</v>
      </c>
      <c r="N198">
        <f t="shared" si="11"/>
        <v>0</v>
      </c>
    </row>
    <row r="199" spans="1:14" x14ac:dyDescent="0.3">
      <c r="A199">
        <f>HeartData[[#This Row],[id]]</f>
        <v>198</v>
      </c>
      <c r="B199" s="4">
        <f>HeartData[[#This Row],[age]]</f>
        <v>45</v>
      </c>
      <c r="C199" t="str">
        <f>HeartData[[#This Row],[sex]]</f>
        <v>Female</v>
      </c>
      <c r="D199" t="str">
        <f t="shared" si="9"/>
        <v>45-54</v>
      </c>
      <c r="E199" t="str">
        <f>HeartData[[#This Row],[cp]]</f>
        <v>asymptomatic</v>
      </c>
      <c r="F199" t="str">
        <f>IF(HeartData[[#This Row],[num]]&gt;0, "Diseased", "Healthy")</f>
        <v>Healthy</v>
      </c>
      <c r="G199">
        <f>IF(HeartData[[#This Row],[chol]]&gt;$P$3, 1, 0)</f>
        <v>1</v>
      </c>
      <c r="H199">
        <f>IF(HeartData[[#This Row],[trestbps]]&gt;$P$4, 1, 0)</f>
        <v>1</v>
      </c>
      <c r="I199">
        <f>IF(HeartData[[#This Row],[oldpeak]]&gt;$P$5,1,0)</f>
        <v>1</v>
      </c>
      <c r="J199">
        <f>IF(HeartData[[#This Row],[exang]]="TRUE",1,0)</f>
        <v>1</v>
      </c>
      <c r="K199">
        <f>IF(HeartData[[#This Row],[fbs]]="TRUE",1,0)</f>
        <v>0</v>
      </c>
      <c r="L199">
        <f>IF(HeartData[[#This Row],[ca]]&gt;0,1,0)</f>
        <v>0</v>
      </c>
      <c r="M199">
        <f t="shared" si="10"/>
        <v>4</v>
      </c>
      <c r="N199">
        <f t="shared" si="11"/>
        <v>0</v>
      </c>
    </row>
    <row r="200" spans="1:14" x14ac:dyDescent="0.3">
      <c r="A200">
        <f>HeartData[[#This Row],[id]]</f>
        <v>199</v>
      </c>
      <c r="B200" s="4">
        <f>HeartData[[#This Row],[age]]</f>
        <v>50</v>
      </c>
      <c r="C200" t="str">
        <f>HeartData[[#This Row],[sex]]</f>
        <v>Female</v>
      </c>
      <c r="D200" t="str">
        <f t="shared" si="9"/>
        <v>45-54</v>
      </c>
      <c r="E200" t="str">
        <f>HeartData[[#This Row],[cp]]</f>
        <v>atypical angina</v>
      </c>
      <c r="F200" t="str">
        <f>IF(HeartData[[#This Row],[num]]&gt;0, "Diseased", "Healthy")</f>
        <v>Healthy</v>
      </c>
      <c r="G200">
        <f>IF(HeartData[[#This Row],[chol]]&gt;$P$3, 1, 0)</f>
        <v>1</v>
      </c>
      <c r="H200">
        <f>IF(HeartData[[#This Row],[trestbps]]&gt;$P$4, 1, 0)</f>
        <v>1</v>
      </c>
      <c r="I200">
        <f>IF(HeartData[[#This Row],[oldpeak]]&gt;$P$5,1,0)</f>
        <v>1</v>
      </c>
      <c r="J200">
        <f>IF(HeartData[[#This Row],[exang]]="TRUE",1,0)</f>
        <v>0</v>
      </c>
      <c r="K200">
        <f>IF(HeartData[[#This Row],[fbs]]="TRUE",1,0)</f>
        <v>0</v>
      </c>
      <c r="L200">
        <f>IF(HeartData[[#This Row],[ca]]&gt;0,1,0)</f>
        <v>0</v>
      </c>
      <c r="M200">
        <f t="shared" si="10"/>
        <v>3</v>
      </c>
      <c r="N200">
        <f t="shared" si="11"/>
        <v>0</v>
      </c>
    </row>
    <row r="201" spans="1:14" x14ac:dyDescent="0.3">
      <c r="A201">
        <f>HeartData[[#This Row],[id]]</f>
        <v>200</v>
      </c>
      <c r="B201" s="4">
        <f>HeartData[[#This Row],[age]]</f>
        <v>59</v>
      </c>
      <c r="C201" t="str">
        <f>HeartData[[#This Row],[sex]]</f>
        <v>Male</v>
      </c>
      <c r="D201" t="str">
        <f t="shared" si="9"/>
        <v>55-64</v>
      </c>
      <c r="E201" t="str">
        <f>HeartData[[#This Row],[cp]]</f>
        <v>typical angina</v>
      </c>
      <c r="F201" t="str">
        <f>IF(HeartData[[#This Row],[num]]&gt;0, "Diseased", "Healthy")</f>
        <v>Diseased</v>
      </c>
      <c r="G201">
        <f>IF(HeartData[[#This Row],[chol]]&gt;$P$3, 1, 0)</f>
        <v>1</v>
      </c>
      <c r="H201">
        <f>IF(HeartData[[#This Row],[trestbps]]&gt;$P$4, 1, 0)</f>
        <v>1</v>
      </c>
      <c r="I201">
        <f>IF(HeartData[[#This Row],[oldpeak]]&gt;$P$5,1,0)</f>
        <v>0</v>
      </c>
      <c r="J201">
        <f>IF(HeartData[[#This Row],[exang]]="TRUE",1,0)</f>
        <v>0</v>
      </c>
      <c r="K201">
        <f>IF(HeartData[[#This Row],[fbs]]="TRUE",1,0)</f>
        <v>0</v>
      </c>
      <c r="L201">
        <f>IF(HeartData[[#This Row],[ca]]&gt;0,1,0)</f>
        <v>0</v>
      </c>
      <c r="M201">
        <f t="shared" si="10"/>
        <v>2</v>
      </c>
      <c r="N201">
        <f t="shared" si="11"/>
        <v>1</v>
      </c>
    </row>
    <row r="202" spans="1:14" x14ac:dyDescent="0.3">
      <c r="A202">
        <f>HeartData[[#This Row],[id]]</f>
        <v>201</v>
      </c>
      <c r="B202" s="4">
        <f>HeartData[[#This Row],[age]]</f>
        <v>50</v>
      </c>
      <c r="C202" t="str">
        <f>HeartData[[#This Row],[sex]]</f>
        <v>Female</v>
      </c>
      <c r="D202" t="str">
        <f t="shared" si="9"/>
        <v>45-54</v>
      </c>
      <c r="E202" t="str">
        <f>HeartData[[#This Row],[cp]]</f>
        <v>asymptomatic</v>
      </c>
      <c r="F202" t="str">
        <f>IF(HeartData[[#This Row],[num]]&gt;0, "Diseased", "Healthy")</f>
        <v>Healthy</v>
      </c>
      <c r="G202">
        <f>IF(HeartData[[#This Row],[chol]]&gt;$P$3, 1, 0)</f>
        <v>1</v>
      </c>
      <c r="H202">
        <f>IF(HeartData[[#This Row],[trestbps]]&gt;$P$4, 1, 0)</f>
        <v>1</v>
      </c>
      <c r="I202">
        <f>IF(HeartData[[#This Row],[oldpeak]]&gt;$P$5,1,0)</f>
        <v>0</v>
      </c>
      <c r="J202">
        <f>IF(HeartData[[#This Row],[exang]]="TRUE",1,0)</f>
        <v>0</v>
      </c>
      <c r="K202">
        <f>IF(HeartData[[#This Row],[fbs]]="TRUE",1,0)</f>
        <v>0</v>
      </c>
      <c r="L202">
        <f>IF(HeartData[[#This Row],[ca]]&gt;0,1,0)</f>
        <v>0</v>
      </c>
      <c r="M202">
        <f t="shared" si="10"/>
        <v>2</v>
      </c>
      <c r="N202">
        <f t="shared" si="11"/>
        <v>0</v>
      </c>
    </row>
    <row r="203" spans="1:14" x14ac:dyDescent="0.3">
      <c r="A203">
        <f>HeartData[[#This Row],[id]]</f>
        <v>202</v>
      </c>
      <c r="B203" s="4">
        <f>HeartData[[#This Row],[age]]</f>
        <v>64</v>
      </c>
      <c r="C203" t="str">
        <f>HeartData[[#This Row],[sex]]</f>
        <v>Female</v>
      </c>
      <c r="D203" t="str">
        <f t="shared" si="9"/>
        <v>55-64</v>
      </c>
      <c r="E203" t="str">
        <f>HeartData[[#This Row],[cp]]</f>
        <v>asymptomatic</v>
      </c>
      <c r="F203" t="str">
        <f>IF(HeartData[[#This Row],[num]]&gt;0, "Diseased", "Healthy")</f>
        <v>Healthy</v>
      </c>
      <c r="G203">
        <f>IF(HeartData[[#This Row],[chol]]&gt;$P$3, 1, 0)</f>
        <v>1</v>
      </c>
      <c r="H203">
        <f>IF(HeartData[[#This Row],[trestbps]]&gt;$P$4, 1, 0)</f>
        <v>1</v>
      </c>
      <c r="I203">
        <f>IF(HeartData[[#This Row],[oldpeak]]&gt;$P$5,1,0)</f>
        <v>0</v>
      </c>
      <c r="J203">
        <f>IF(HeartData[[#This Row],[exang]]="TRUE",1,0)</f>
        <v>1</v>
      </c>
      <c r="K203">
        <f>IF(HeartData[[#This Row],[fbs]]="TRUE",1,0)</f>
        <v>0</v>
      </c>
      <c r="L203">
        <f>IF(HeartData[[#This Row],[ca]]&gt;0,1,0)</f>
        <v>0</v>
      </c>
      <c r="M203">
        <f t="shared" si="10"/>
        <v>3</v>
      </c>
      <c r="N203">
        <f t="shared" si="11"/>
        <v>0</v>
      </c>
    </row>
    <row r="204" spans="1:14" x14ac:dyDescent="0.3">
      <c r="A204">
        <f>HeartData[[#This Row],[id]]</f>
        <v>203</v>
      </c>
      <c r="B204" s="4">
        <f>HeartData[[#This Row],[age]]</f>
        <v>57</v>
      </c>
      <c r="C204" t="str">
        <f>HeartData[[#This Row],[sex]]</f>
        <v>Male</v>
      </c>
      <c r="D204" t="str">
        <f t="shared" si="9"/>
        <v>55-64</v>
      </c>
      <c r="E204" t="str">
        <f>HeartData[[#This Row],[cp]]</f>
        <v>non-anginal</v>
      </c>
      <c r="F204" t="str">
        <f>IF(HeartData[[#This Row],[num]]&gt;0, "Diseased", "Healthy")</f>
        <v>Healthy</v>
      </c>
      <c r="G204">
        <f>IF(HeartData[[#This Row],[chol]]&gt;$P$3, 1, 0)</f>
        <v>1</v>
      </c>
      <c r="H204">
        <f>IF(HeartData[[#This Row],[trestbps]]&gt;$P$4, 1, 0)</f>
        <v>1</v>
      </c>
      <c r="I204">
        <f>IF(HeartData[[#This Row],[oldpeak]]&gt;$P$5,1,0)</f>
        <v>1</v>
      </c>
      <c r="J204">
        <f>IF(HeartData[[#This Row],[exang]]="TRUE",1,0)</f>
        <v>0</v>
      </c>
      <c r="K204">
        <f>IF(HeartData[[#This Row],[fbs]]="TRUE",1,0)</f>
        <v>1</v>
      </c>
      <c r="L204">
        <f>IF(HeartData[[#This Row],[ca]]&gt;0,1,0)</f>
        <v>1</v>
      </c>
      <c r="M204">
        <f t="shared" si="10"/>
        <v>5</v>
      </c>
      <c r="N204">
        <f t="shared" si="11"/>
        <v>0</v>
      </c>
    </row>
    <row r="205" spans="1:14" x14ac:dyDescent="0.3">
      <c r="A205">
        <f>HeartData[[#This Row],[id]]</f>
        <v>204</v>
      </c>
      <c r="B205" s="4">
        <f>HeartData[[#This Row],[age]]</f>
        <v>64</v>
      </c>
      <c r="C205" t="str">
        <f>HeartData[[#This Row],[sex]]</f>
        <v>Female</v>
      </c>
      <c r="D205" t="str">
        <f t="shared" si="9"/>
        <v>55-64</v>
      </c>
      <c r="E205" t="str">
        <f>HeartData[[#This Row],[cp]]</f>
        <v>non-anginal</v>
      </c>
      <c r="F205" t="str">
        <f>IF(HeartData[[#This Row],[num]]&gt;0, "Diseased", "Healthy")</f>
        <v>Healthy</v>
      </c>
      <c r="G205">
        <f>IF(HeartData[[#This Row],[chol]]&gt;$P$3, 1, 0)</f>
        <v>1</v>
      </c>
      <c r="H205">
        <f>IF(HeartData[[#This Row],[trestbps]]&gt;$P$4, 1, 0)</f>
        <v>1</v>
      </c>
      <c r="I205">
        <f>IF(HeartData[[#This Row],[oldpeak]]&gt;$P$5,1,0)</f>
        <v>1</v>
      </c>
      <c r="J205">
        <f>IF(HeartData[[#This Row],[exang]]="TRUE",1,0)</f>
        <v>0</v>
      </c>
      <c r="K205">
        <f>IF(HeartData[[#This Row],[fbs]]="TRUE",1,0)</f>
        <v>0</v>
      </c>
      <c r="L205">
        <f>IF(HeartData[[#This Row],[ca]]&gt;0,1,0)</f>
        <v>0</v>
      </c>
      <c r="M205">
        <f t="shared" si="10"/>
        <v>3</v>
      </c>
      <c r="N205">
        <f t="shared" si="11"/>
        <v>0</v>
      </c>
    </row>
    <row r="206" spans="1:14" x14ac:dyDescent="0.3">
      <c r="A206">
        <f>HeartData[[#This Row],[id]]</f>
        <v>205</v>
      </c>
      <c r="B206" s="4">
        <f>HeartData[[#This Row],[age]]</f>
        <v>43</v>
      </c>
      <c r="C206" t="str">
        <f>HeartData[[#This Row],[sex]]</f>
        <v>Male</v>
      </c>
      <c r="D206" t="str">
        <f t="shared" si="9"/>
        <v>Under 45</v>
      </c>
      <c r="E206" t="str">
        <f>HeartData[[#This Row],[cp]]</f>
        <v>asymptomatic</v>
      </c>
      <c r="F206" t="str">
        <f>IF(HeartData[[#This Row],[num]]&gt;0, "Diseased", "Healthy")</f>
        <v>Healthy</v>
      </c>
      <c r="G206">
        <f>IF(HeartData[[#This Row],[chol]]&gt;$P$3, 1, 0)</f>
        <v>1</v>
      </c>
      <c r="H206">
        <f>IF(HeartData[[#This Row],[trestbps]]&gt;$P$4, 1, 0)</f>
        <v>1</v>
      </c>
      <c r="I206">
        <f>IF(HeartData[[#This Row],[oldpeak]]&gt;$P$5,1,0)</f>
        <v>0</v>
      </c>
      <c r="J206">
        <f>IF(HeartData[[#This Row],[exang]]="TRUE",1,0)</f>
        <v>0</v>
      </c>
      <c r="K206">
        <f>IF(HeartData[[#This Row],[fbs]]="TRUE",1,0)</f>
        <v>0</v>
      </c>
      <c r="L206">
        <f>IF(HeartData[[#This Row],[ca]]&gt;0,1,0)</f>
        <v>0</v>
      </c>
      <c r="M206">
        <f t="shared" si="10"/>
        <v>2</v>
      </c>
      <c r="N206">
        <f t="shared" si="11"/>
        <v>0</v>
      </c>
    </row>
    <row r="207" spans="1:14" x14ac:dyDescent="0.3">
      <c r="A207">
        <f>HeartData[[#This Row],[id]]</f>
        <v>206</v>
      </c>
      <c r="B207" s="4">
        <f>HeartData[[#This Row],[age]]</f>
        <v>45</v>
      </c>
      <c r="C207" t="str">
        <f>HeartData[[#This Row],[sex]]</f>
        <v>Male</v>
      </c>
      <c r="D207" t="str">
        <f t="shared" si="9"/>
        <v>45-54</v>
      </c>
      <c r="E207" t="str">
        <f>HeartData[[#This Row],[cp]]</f>
        <v>asymptomatic</v>
      </c>
      <c r="F207" t="str">
        <f>IF(HeartData[[#This Row],[num]]&gt;0, "Diseased", "Healthy")</f>
        <v>Diseased</v>
      </c>
      <c r="G207">
        <f>IF(HeartData[[#This Row],[chol]]&gt;$P$3, 1, 0)</f>
        <v>1</v>
      </c>
      <c r="H207">
        <f>IF(HeartData[[#This Row],[trestbps]]&gt;$P$4, 1, 0)</f>
        <v>1</v>
      </c>
      <c r="I207">
        <f>IF(HeartData[[#This Row],[oldpeak]]&gt;$P$5,1,0)</f>
        <v>0</v>
      </c>
      <c r="J207">
        <f>IF(HeartData[[#This Row],[exang]]="TRUE",1,0)</f>
        <v>1</v>
      </c>
      <c r="K207">
        <f>IF(HeartData[[#This Row],[fbs]]="TRUE",1,0)</f>
        <v>0</v>
      </c>
      <c r="L207">
        <f>IF(HeartData[[#This Row],[ca]]&gt;0,1,0)</f>
        <v>1</v>
      </c>
      <c r="M207">
        <f t="shared" si="10"/>
        <v>4</v>
      </c>
      <c r="N207">
        <f t="shared" si="11"/>
        <v>1</v>
      </c>
    </row>
    <row r="208" spans="1:14" x14ac:dyDescent="0.3">
      <c r="A208">
        <f>HeartData[[#This Row],[id]]</f>
        <v>207</v>
      </c>
      <c r="B208" s="4">
        <f>HeartData[[#This Row],[age]]</f>
        <v>58</v>
      </c>
      <c r="C208" t="str">
        <f>HeartData[[#This Row],[sex]]</f>
        <v>Male</v>
      </c>
      <c r="D208" t="str">
        <f t="shared" si="9"/>
        <v>55-64</v>
      </c>
      <c r="E208" t="str">
        <f>HeartData[[#This Row],[cp]]</f>
        <v>asymptomatic</v>
      </c>
      <c r="F208" t="str">
        <f>IF(HeartData[[#This Row],[num]]&gt;0, "Diseased", "Healthy")</f>
        <v>Diseased</v>
      </c>
      <c r="G208">
        <f>IF(HeartData[[#This Row],[chol]]&gt;$P$3, 1, 0)</f>
        <v>1</v>
      </c>
      <c r="H208">
        <f>IF(HeartData[[#This Row],[trestbps]]&gt;$P$4, 1, 0)</f>
        <v>1</v>
      </c>
      <c r="I208">
        <f>IF(HeartData[[#This Row],[oldpeak]]&gt;$P$5,1,0)</f>
        <v>1</v>
      </c>
      <c r="J208">
        <f>IF(HeartData[[#This Row],[exang]]="TRUE",1,0)</f>
        <v>1</v>
      </c>
      <c r="K208">
        <f>IF(HeartData[[#This Row],[fbs]]="TRUE",1,0)</f>
        <v>0</v>
      </c>
      <c r="L208">
        <f>IF(HeartData[[#This Row],[ca]]&gt;0,1,0)</f>
        <v>1</v>
      </c>
      <c r="M208">
        <f t="shared" si="10"/>
        <v>5</v>
      </c>
      <c r="N208">
        <f t="shared" si="11"/>
        <v>1</v>
      </c>
    </row>
    <row r="209" spans="1:14" x14ac:dyDescent="0.3">
      <c r="A209">
        <f>HeartData[[#This Row],[id]]</f>
        <v>208</v>
      </c>
      <c r="B209" s="4">
        <f>HeartData[[#This Row],[age]]</f>
        <v>50</v>
      </c>
      <c r="C209" t="str">
        <f>HeartData[[#This Row],[sex]]</f>
        <v>Male</v>
      </c>
      <c r="D209" t="str">
        <f t="shared" si="9"/>
        <v>45-54</v>
      </c>
      <c r="E209" t="str">
        <f>HeartData[[#This Row],[cp]]</f>
        <v>asymptomatic</v>
      </c>
      <c r="F209" t="str">
        <f>IF(HeartData[[#This Row],[num]]&gt;0, "Diseased", "Healthy")</f>
        <v>Diseased</v>
      </c>
      <c r="G209">
        <f>IF(HeartData[[#This Row],[chol]]&gt;$P$3, 1, 0)</f>
        <v>1</v>
      </c>
      <c r="H209">
        <f>IF(HeartData[[#This Row],[trestbps]]&gt;$P$4, 1, 0)</f>
        <v>1</v>
      </c>
      <c r="I209">
        <f>IF(HeartData[[#This Row],[oldpeak]]&gt;$P$5,1,0)</f>
        <v>1</v>
      </c>
      <c r="J209">
        <f>IF(HeartData[[#This Row],[exang]]="TRUE",1,0)</f>
        <v>1</v>
      </c>
      <c r="K209">
        <f>IF(HeartData[[#This Row],[fbs]]="TRUE",1,0)</f>
        <v>0</v>
      </c>
      <c r="L209">
        <f>IF(HeartData[[#This Row],[ca]]&gt;0,1,0)</f>
        <v>0</v>
      </c>
      <c r="M209">
        <f t="shared" si="10"/>
        <v>4</v>
      </c>
      <c r="N209">
        <f t="shared" si="11"/>
        <v>1</v>
      </c>
    </row>
    <row r="210" spans="1:14" x14ac:dyDescent="0.3">
      <c r="A210">
        <f>HeartData[[#This Row],[id]]</f>
        <v>209</v>
      </c>
      <c r="B210" s="4">
        <f>HeartData[[#This Row],[age]]</f>
        <v>55</v>
      </c>
      <c r="C210" t="str">
        <f>HeartData[[#This Row],[sex]]</f>
        <v>Male</v>
      </c>
      <c r="D210" t="str">
        <f t="shared" si="9"/>
        <v>55-64</v>
      </c>
      <c r="E210" t="str">
        <f>HeartData[[#This Row],[cp]]</f>
        <v>atypical angina</v>
      </c>
      <c r="F210" t="str">
        <f>IF(HeartData[[#This Row],[num]]&gt;0, "Diseased", "Healthy")</f>
        <v>Healthy</v>
      </c>
      <c r="G210">
        <f>IF(HeartData[[#This Row],[chol]]&gt;$P$3, 1, 0)</f>
        <v>1</v>
      </c>
      <c r="H210">
        <f>IF(HeartData[[#This Row],[trestbps]]&gt;$P$4, 1, 0)</f>
        <v>1</v>
      </c>
      <c r="I210">
        <f>IF(HeartData[[#This Row],[oldpeak]]&gt;$P$5,1,0)</f>
        <v>0</v>
      </c>
      <c r="J210">
        <f>IF(HeartData[[#This Row],[exang]]="TRUE",1,0)</f>
        <v>0</v>
      </c>
      <c r="K210">
        <f>IF(HeartData[[#This Row],[fbs]]="TRUE",1,0)</f>
        <v>0</v>
      </c>
      <c r="L210">
        <f>IF(HeartData[[#This Row],[ca]]&gt;0,1,0)</f>
        <v>0</v>
      </c>
      <c r="M210">
        <f t="shared" si="10"/>
        <v>2</v>
      </c>
      <c r="N210">
        <f t="shared" si="11"/>
        <v>0</v>
      </c>
    </row>
    <row r="211" spans="1:14" x14ac:dyDescent="0.3">
      <c r="A211">
        <f>HeartData[[#This Row],[id]]</f>
        <v>210</v>
      </c>
      <c r="B211" s="4">
        <f>HeartData[[#This Row],[age]]</f>
        <v>62</v>
      </c>
      <c r="C211" t="str">
        <f>HeartData[[#This Row],[sex]]</f>
        <v>Female</v>
      </c>
      <c r="D211" t="str">
        <f t="shared" si="9"/>
        <v>55-64</v>
      </c>
      <c r="E211" t="str">
        <f>HeartData[[#This Row],[cp]]</f>
        <v>asymptomatic</v>
      </c>
      <c r="F211" t="str">
        <f>IF(HeartData[[#This Row],[num]]&gt;0, "Diseased", "Healthy")</f>
        <v>Diseased</v>
      </c>
      <c r="G211">
        <f>IF(HeartData[[#This Row],[chol]]&gt;$P$3, 1, 0)</f>
        <v>1</v>
      </c>
      <c r="H211">
        <f>IF(HeartData[[#This Row],[trestbps]]&gt;$P$4, 1, 0)</f>
        <v>1</v>
      </c>
      <c r="I211">
        <f>IF(HeartData[[#This Row],[oldpeak]]&gt;$P$5,1,0)</f>
        <v>1</v>
      </c>
      <c r="J211">
        <f>IF(HeartData[[#This Row],[exang]]="TRUE",1,0)</f>
        <v>1</v>
      </c>
      <c r="K211">
        <f>IF(HeartData[[#This Row],[fbs]]="TRUE",1,0)</f>
        <v>0</v>
      </c>
      <c r="L211">
        <f>IF(HeartData[[#This Row],[ca]]&gt;0,1,0)</f>
        <v>0</v>
      </c>
      <c r="M211">
        <f t="shared" si="10"/>
        <v>4</v>
      </c>
      <c r="N211">
        <f t="shared" si="11"/>
        <v>1</v>
      </c>
    </row>
    <row r="212" spans="1:14" x14ac:dyDescent="0.3">
      <c r="A212">
        <f>HeartData[[#This Row],[id]]</f>
        <v>211</v>
      </c>
      <c r="B212" s="4">
        <f>HeartData[[#This Row],[age]]</f>
        <v>37</v>
      </c>
      <c r="C212" t="str">
        <f>HeartData[[#This Row],[sex]]</f>
        <v>Female</v>
      </c>
      <c r="D212" t="str">
        <f t="shared" si="9"/>
        <v>Under 45</v>
      </c>
      <c r="E212" t="str">
        <f>HeartData[[#This Row],[cp]]</f>
        <v>non-anginal</v>
      </c>
      <c r="F212" t="str">
        <f>IF(HeartData[[#This Row],[num]]&gt;0, "Diseased", "Healthy")</f>
        <v>Healthy</v>
      </c>
      <c r="G212">
        <f>IF(HeartData[[#This Row],[chol]]&gt;$P$3, 1, 0)</f>
        <v>1</v>
      </c>
      <c r="H212">
        <f>IF(HeartData[[#This Row],[trestbps]]&gt;$P$4, 1, 0)</f>
        <v>1</v>
      </c>
      <c r="I212">
        <f>IF(HeartData[[#This Row],[oldpeak]]&gt;$P$5,1,0)</f>
        <v>0</v>
      </c>
      <c r="J212">
        <f>IF(HeartData[[#This Row],[exang]]="TRUE",1,0)</f>
        <v>0</v>
      </c>
      <c r="K212">
        <f>IF(HeartData[[#This Row],[fbs]]="TRUE",1,0)</f>
        <v>0</v>
      </c>
      <c r="L212">
        <f>IF(HeartData[[#This Row],[ca]]&gt;0,1,0)</f>
        <v>0</v>
      </c>
      <c r="M212">
        <f t="shared" si="10"/>
        <v>2</v>
      </c>
      <c r="N212">
        <f t="shared" si="11"/>
        <v>0</v>
      </c>
    </row>
    <row r="213" spans="1:14" x14ac:dyDescent="0.3">
      <c r="A213">
        <f>HeartData[[#This Row],[id]]</f>
        <v>212</v>
      </c>
      <c r="B213" s="4">
        <f>HeartData[[#This Row],[age]]</f>
        <v>38</v>
      </c>
      <c r="C213" t="str">
        <f>HeartData[[#This Row],[sex]]</f>
        <v>Male</v>
      </c>
      <c r="D213" t="str">
        <f t="shared" si="9"/>
        <v>Under 45</v>
      </c>
      <c r="E213" t="str">
        <f>HeartData[[#This Row],[cp]]</f>
        <v>typical angina</v>
      </c>
      <c r="F213" t="str">
        <f>IF(HeartData[[#This Row],[num]]&gt;0, "Diseased", "Healthy")</f>
        <v>Diseased</v>
      </c>
      <c r="G213">
        <f>IF(HeartData[[#This Row],[chol]]&gt;$P$3, 1, 0)</f>
        <v>1</v>
      </c>
      <c r="H213">
        <f>IF(HeartData[[#This Row],[trestbps]]&gt;$P$4, 1, 0)</f>
        <v>1</v>
      </c>
      <c r="I213">
        <f>IF(HeartData[[#This Row],[oldpeak]]&gt;$P$5,1,0)</f>
        <v>1</v>
      </c>
      <c r="J213">
        <f>IF(HeartData[[#This Row],[exang]]="TRUE",1,0)</f>
        <v>1</v>
      </c>
      <c r="K213">
        <f>IF(HeartData[[#This Row],[fbs]]="TRUE",1,0)</f>
        <v>0</v>
      </c>
      <c r="L213">
        <f>IF(HeartData[[#This Row],[ca]]&gt;0,1,0)</f>
        <v>0</v>
      </c>
      <c r="M213">
        <f t="shared" si="10"/>
        <v>4</v>
      </c>
      <c r="N213">
        <f t="shared" si="11"/>
        <v>1</v>
      </c>
    </row>
    <row r="214" spans="1:14" x14ac:dyDescent="0.3">
      <c r="A214">
        <f>HeartData[[#This Row],[id]]</f>
        <v>213</v>
      </c>
      <c r="B214" s="4">
        <f>HeartData[[#This Row],[age]]</f>
        <v>41</v>
      </c>
      <c r="C214" t="str">
        <f>HeartData[[#This Row],[sex]]</f>
        <v>Male</v>
      </c>
      <c r="D214" t="str">
        <f t="shared" si="9"/>
        <v>Under 45</v>
      </c>
      <c r="E214" t="str">
        <f>HeartData[[#This Row],[cp]]</f>
        <v>non-anginal</v>
      </c>
      <c r="F214" t="str">
        <f>IF(HeartData[[#This Row],[num]]&gt;0, "Diseased", "Healthy")</f>
        <v>Healthy</v>
      </c>
      <c r="G214">
        <f>IF(HeartData[[#This Row],[chol]]&gt;$P$3, 1, 0)</f>
        <v>1</v>
      </c>
      <c r="H214">
        <f>IF(HeartData[[#This Row],[trestbps]]&gt;$P$4, 1, 0)</f>
        <v>1</v>
      </c>
      <c r="I214">
        <f>IF(HeartData[[#This Row],[oldpeak]]&gt;$P$5,1,0)</f>
        <v>1</v>
      </c>
      <c r="J214">
        <f>IF(HeartData[[#This Row],[exang]]="TRUE",1,0)</f>
        <v>0</v>
      </c>
      <c r="K214">
        <f>IF(HeartData[[#This Row],[fbs]]="TRUE",1,0)</f>
        <v>0</v>
      </c>
      <c r="L214">
        <f>IF(HeartData[[#This Row],[ca]]&gt;0,1,0)</f>
        <v>0</v>
      </c>
      <c r="M214">
        <f t="shared" si="10"/>
        <v>3</v>
      </c>
      <c r="N214">
        <f t="shared" si="11"/>
        <v>0</v>
      </c>
    </row>
    <row r="215" spans="1:14" x14ac:dyDescent="0.3">
      <c r="A215">
        <f>HeartData[[#This Row],[id]]</f>
        <v>214</v>
      </c>
      <c r="B215" s="4">
        <f>HeartData[[#This Row],[age]]</f>
        <v>66</v>
      </c>
      <c r="C215" t="str">
        <f>HeartData[[#This Row],[sex]]</f>
        <v>Female</v>
      </c>
      <c r="D215" t="str">
        <f t="shared" si="9"/>
        <v>65+</v>
      </c>
      <c r="E215" t="str">
        <f>HeartData[[#This Row],[cp]]</f>
        <v>asymptomatic</v>
      </c>
      <c r="F215" t="str">
        <f>IF(HeartData[[#This Row],[num]]&gt;0, "Diseased", "Healthy")</f>
        <v>Diseased</v>
      </c>
      <c r="G215">
        <f>IF(HeartData[[#This Row],[chol]]&gt;$P$3, 1, 0)</f>
        <v>1</v>
      </c>
      <c r="H215">
        <f>IF(HeartData[[#This Row],[trestbps]]&gt;$P$4, 1, 0)</f>
        <v>1</v>
      </c>
      <c r="I215">
        <f>IF(HeartData[[#This Row],[oldpeak]]&gt;$P$5,1,0)</f>
        <v>1</v>
      </c>
      <c r="J215">
        <f>IF(HeartData[[#This Row],[exang]]="TRUE",1,0)</f>
        <v>1</v>
      </c>
      <c r="K215">
        <f>IF(HeartData[[#This Row],[fbs]]="TRUE",1,0)</f>
        <v>1</v>
      </c>
      <c r="L215">
        <f>IF(HeartData[[#This Row],[ca]]&gt;0,1,0)</f>
        <v>1</v>
      </c>
      <c r="M215">
        <f t="shared" si="10"/>
        <v>6</v>
      </c>
      <c r="N215">
        <f t="shared" si="11"/>
        <v>1</v>
      </c>
    </row>
    <row r="216" spans="1:14" x14ac:dyDescent="0.3">
      <c r="A216">
        <f>HeartData[[#This Row],[id]]</f>
        <v>215</v>
      </c>
      <c r="B216" s="4">
        <f>HeartData[[#This Row],[age]]</f>
        <v>52</v>
      </c>
      <c r="C216" t="str">
        <f>HeartData[[#This Row],[sex]]</f>
        <v>Male</v>
      </c>
      <c r="D216" t="str">
        <f t="shared" si="9"/>
        <v>45-54</v>
      </c>
      <c r="E216" t="str">
        <f>HeartData[[#This Row],[cp]]</f>
        <v>asymptomatic</v>
      </c>
      <c r="F216" t="str">
        <f>IF(HeartData[[#This Row],[num]]&gt;0, "Diseased", "Healthy")</f>
        <v>Diseased</v>
      </c>
      <c r="G216">
        <f>IF(HeartData[[#This Row],[chol]]&gt;$P$3, 1, 0)</f>
        <v>1</v>
      </c>
      <c r="H216">
        <f>IF(HeartData[[#This Row],[trestbps]]&gt;$P$4, 1, 0)</f>
        <v>1</v>
      </c>
      <c r="I216">
        <f>IF(HeartData[[#This Row],[oldpeak]]&gt;$P$5,1,0)</f>
        <v>0</v>
      </c>
      <c r="J216">
        <f>IF(HeartData[[#This Row],[exang]]="TRUE",1,0)</f>
        <v>0</v>
      </c>
      <c r="K216">
        <f>IF(HeartData[[#This Row],[fbs]]="TRUE",1,0)</f>
        <v>0</v>
      </c>
      <c r="L216">
        <f>IF(HeartData[[#This Row],[ca]]&gt;0,1,0)</f>
        <v>1</v>
      </c>
      <c r="M216">
        <f t="shared" si="10"/>
        <v>3</v>
      </c>
      <c r="N216">
        <f t="shared" si="11"/>
        <v>1</v>
      </c>
    </row>
    <row r="217" spans="1:14" x14ac:dyDescent="0.3">
      <c r="A217">
        <f>HeartData[[#This Row],[id]]</f>
        <v>216</v>
      </c>
      <c r="B217" s="4">
        <f>HeartData[[#This Row],[age]]</f>
        <v>56</v>
      </c>
      <c r="C217" t="str">
        <f>HeartData[[#This Row],[sex]]</f>
        <v>Male</v>
      </c>
      <c r="D217" t="str">
        <f t="shared" si="9"/>
        <v>55-64</v>
      </c>
      <c r="E217" t="str">
        <f>HeartData[[#This Row],[cp]]</f>
        <v>typical angina</v>
      </c>
      <c r="F217" t="str">
        <f>IF(HeartData[[#This Row],[num]]&gt;0, "Diseased", "Healthy")</f>
        <v>Healthy</v>
      </c>
      <c r="G217">
        <f>IF(HeartData[[#This Row],[chol]]&gt;$P$3, 1, 0)</f>
        <v>1</v>
      </c>
      <c r="H217">
        <f>IF(HeartData[[#This Row],[trestbps]]&gt;$P$4, 1, 0)</f>
        <v>1</v>
      </c>
      <c r="I217">
        <f>IF(HeartData[[#This Row],[oldpeak]]&gt;$P$5,1,0)</f>
        <v>1</v>
      </c>
      <c r="J217">
        <f>IF(HeartData[[#This Row],[exang]]="TRUE",1,0)</f>
        <v>0</v>
      </c>
      <c r="K217">
        <f>IF(HeartData[[#This Row],[fbs]]="TRUE",1,0)</f>
        <v>0</v>
      </c>
      <c r="L217">
        <f>IF(HeartData[[#This Row],[ca]]&gt;0,1,0)</f>
        <v>0</v>
      </c>
      <c r="M217">
        <f t="shared" si="10"/>
        <v>3</v>
      </c>
      <c r="N217">
        <f t="shared" si="11"/>
        <v>0</v>
      </c>
    </row>
    <row r="218" spans="1:14" x14ac:dyDescent="0.3">
      <c r="A218">
        <f>HeartData[[#This Row],[id]]</f>
        <v>217</v>
      </c>
      <c r="B218" s="4">
        <f>HeartData[[#This Row],[age]]</f>
        <v>46</v>
      </c>
      <c r="C218" t="str">
        <f>HeartData[[#This Row],[sex]]</f>
        <v>Female</v>
      </c>
      <c r="D218" t="str">
        <f t="shared" si="9"/>
        <v>45-54</v>
      </c>
      <c r="E218" t="str">
        <f>HeartData[[#This Row],[cp]]</f>
        <v>atypical angina</v>
      </c>
      <c r="F218" t="str">
        <f>IF(HeartData[[#This Row],[num]]&gt;0, "Diseased", "Healthy")</f>
        <v>Healthy</v>
      </c>
      <c r="G218">
        <f>IF(HeartData[[#This Row],[chol]]&gt;$P$3, 1, 0)</f>
        <v>1</v>
      </c>
      <c r="H218">
        <f>IF(HeartData[[#This Row],[trestbps]]&gt;$P$4, 1, 0)</f>
        <v>1</v>
      </c>
      <c r="I218">
        <f>IF(HeartData[[#This Row],[oldpeak]]&gt;$P$5,1,0)</f>
        <v>0</v>
      </c>
      <c r="J218">
        <f>IF(HeartData[[#This Row],[exang]]="TRUE",1,0)</f>
        <v>0</v>
      </c>
      <c r="K218">
        <f>IF(HeartData[[#This Row],[fbs]]="TRUE",1,0)</f>
        <v>0</v>
      </c>
      <c r="L218">
        <f>IF(HeartData[[#This Row],[ca]]&gt;0,1,0)</f>
        <v>0</v>
      </c>
      <c r="M218">
        <f t="shared" si="10"/>
        <v>2</v>
      </c>
      <c r="N218">
        <f t="shared" si="11"/>
        <v>0</v>
      </c>
    </row>
    <row r="219" spans="1:14" x14ac:dyDescent="0.3">
      <c r="A219">
        <f>HeartData[[#This Row],[id]]</f>
        <v>218</v>
      </c>
      <c r="B219" s="4">
        <f>HeartData[[#This Row],[age]]</f>
        <v>46</v>
      </c>
      <c r="C219" t="str">
        <f>HeartData[[#This Row],[sex]]</f>
        <v>Female</v>
      </c>
      <c r="D219" t="str">
        <f t="shared" si="9"/>
        <v>45-54</v>
      </c>
      <c r="E219" t="str">
        <f>HeartData[[#This Row],[cp]]</f>
        <v>asymptomatic</v>
      </c>
      <c r="F219" t="str">
        <f>IF(HeartData[[#This Row],[num]]&gt;0, "Diseased", "Healthy")</f>
        <v>Healthy</v>
      </c>
      <c r="G219">
        <f>IF(HeartData[[#This Row],[chol]]&gt;$P$3, 1, 0)</f>
        <v>1</v>
      </c>
      <c r="H219">
        <f>IF(HeartData[[#This Row],[trestbps]]&gt;$P$4, 1, 0)</f>
        <v>1</v>
      </c>
      <c r="I219">
        <f>IF(HeartData[[#This Row],[oldpeak]]&gt;$P$5,1,0)</f>
        <v>0</v>
      </c>
      <c r="J219">
        <f>IF(HeartData[[#This Row],[exang]]="TRUE",1,0)</f>
        <v>1</v>
      </c>
      <c r="K219">
        <f>IF(HeartData[[#This Row],[fbs]]="TRUE",1,0)</f>
        <v>0</v>
      </c>
      <c r="L219">
        <f>IF(HeartData[[#This Row],[ca]]&gt;0,1,0)</f>
        <v>0</v>
      </c>
      <c r="M219">
        <f t="shared" si="10"/>
        <v>3</v>
      </c>
      <c r="N219">
        <f t="shared" si="11"/>
        <v>0</v>
      </c>
    </row>
    <row r="220" spans="1:14" x14ac:dyDescent="0.3">
      <c r="A220">
        <f>HeartData[[#This Row],[id]]</f>
        <v>219</v>
      </c>
      <c r="B220" s="4">
        <f>HeartData[[#This Row],[age]]</f>
        <v>64</v>
      </c>
      <c r="C220" t="str">
        <f>HeartData[[#This Row],[sex]]</f>
        <v>Female</v>
      </c>
      <c r="D220" t="str">
        <f t="shared" si="9"/>
        <v>55-64</v>
      </c>
      <c r="E220" t="str">
        <f>HeartData[[#This Row],[cp]]</f>
        <v>asymptomatic</v>
      </c>
      <c r="F220" t="str">
        <f>IF(HeartData[[#This Row],[num]]&gt;0, "Diseased", "Healthy")</f>
        <v>Healthy</v>
      </c>
      <c r="G220">
        <f>IF(HeartData[[#This Row],[chol]]&gt;$P$3, 1, 0)</f>
        <v>1</v>
      </c>
      <c r="H220">
        <f>IF(HeartData[[#This Row],[trestbps]]&gt;$P$4, 1, 0)</f>
        <v>1</v>
      </c>
      <c r="I220">
        <f>IF(HeartData[[#This Row],[oldpeak]]&gt;$P$5,1,0)</f>
        <v>1</v>
      </c>
      <c r="J220">
        <f>IF(HeartData[[#This Row],[exang]]="TRUE",1,0)</f>
        <v>0</v>
      </c>
      <c r="K220">
        <f>IF(HeartData[[#This Row],[fbs]]="TRUE",1,0)</f>
        <v>0</v>
      </c>
      <c r="L220">
        <f>IF(HeartData[[#This Row],[ca]]&gt;0,1,0)</f>
        <v>1</v>
      </c>
      <c r="M220">
        <f t="shared" si="10"/>
        <v>4</v>
      </c>
      <c r="N220">
        <f t="shared" si="11"/>
        <v>0</v>
      </c>
    </row>
    <row r="221" spans="1:14" x14ac:dyDescent="0.3">
      <c r="A221">
        <f>HeartData[[#This Row],[id]]</f>
        <v>220</v>
      </c>
      <c r="B221" s="4">
        <f>HeartData[[#This Row],[age]]</f>
        <v>59</v>
      </c>
      <c r="C221" t="str">
        <f>HeartData[[#This Row],[sex]]</f>
        <v>Male</v>
      </c>
      <c r="D221" t="str">
        <f t="shared" si="9"/>
        <v>55-64</v>
      </c>
      <c r="E221" t="str">
        <f>HeartData[[#This Row],[cp]]</f>
        <v>asymptomatic</v>
      </c>
      <c r="F221" t="str">
        <f>IF(HeartData[[#This Row],[num]]&gt;0, "Diseased", "Healthy")</f>
        <v>Healthy</v>
      </c>
      <c r="G221">
        <f>IF(HeartData[[#This Row],[chol]]&gt;$P$3, 1, 0)</f>
        <v>1</v>
      </c>
      <c r="H221">
        <f>IF(HeartData[[#This Row],[trestbps]]&gt;$P$4, 1, 0)</f>
        <v>1</v>
      </c>
      <c r="I221">
        <f>IF(HeartData[[#This Row],[oldpeak]]&gt;$P$5,1,0)</f>
        <v>0</v>
      </c>
      <c r="J221">
        <f>IF(HeartData[[#This Row],[exang]]="TRUE",1,0)</f>
        <v>0</v>
      </c>
      <c r="K221">
        <f>IF(HeartData[[#This Row],[fbs]]="TRUE",1,0)</f>
        <v>0</v>
      </c>
      <c r="L221">
        <f>IF(HeartData[[#This Row],[ca]]&gt;0,1,0)</f>
        <v>0</v>
      </c>
      <c r="M221">
        <f t="shared" si="10"/>
        <v>2</v>
      </c>
      <c r="N221">
        <f t="shared" si="11"/>
        <v>0</v>
      </c>
    </row>
    <row r="222" spans="1:14" x14ac:dyDescent="0.3">
      <c r="A222">
        <f>HeartData[[#This Row],[id]]</f>
        <v>221</v>
      </c>
      <c r="B222" s="4">
        <f>HeartData[[#This Row],[age]]</f>
        <v>41</v>
      </c>
      <c r="C222" t="str">
        <f>HeartData[[#This Row],[sex]]</f>
        <v>Female</v>
      </c>
      <c r="D222" t="str">
        <f t="shared" si="9"/>
        <v>Under 45</v>
      </c>
      <c r="E222" t="str">
        <f>HeartData[[#This Row],[cp]]</f>
        <v>non-anginal</v>
      </c>
      <c r="F222" t="str">
        <f>IF(HeartData[[#This Row],[num]]&gt;0, "Diseased", "Healthy")</f>
        <v>Healthy</v>
      </c>
      <c r="G222">
        <f>IF(HeartData[[#This Row],[chol]]&gt;$P$3, 1, 0)</f>
        <v>1</v>
      </c>
      <c r="H222">
        <f>IF(HeartData[[#This Row],[trestbps]]&gt;$P$4, 1, 0)</f>
        <v>1</v>
      </c>
      <c r="I222">
        <f>IF(HeartData[[#This Row],[oldpeak]]&gt;$P$5,1,0)</f>
        <v>0</v>
      </c>
      <c r="J222">
        <f>IF(HeartData[[#This Row],[exang]]="TRUE",1,0)</f>
        <v>1</v>
      </c>
      <c r="K222">
        <f>IF(HeartData[[#This Row],[fbs]]="TRUE",1,0)</f>
        <v>0</v>
      </c>
      <c r="L222">
        <f>IF(HeartData[[#This Row],[ca]]&gt;0,1,0)</f>
        <v>0</v>
      </c>
      <c r="M222">
        <f t="shared" si="10"/>
        <v>3</v>
      </c>
      <c r="N222">
        <f t="shared" si="11"/>
        <v>0</v>
      </c>
    </row>
    <row r="223" spans="1:14" x14ac:dyDescent="0.3">
      <c r="A223">
        <f>HeartData[[#This Row],[id]]</f>
        <v>222</v>
      </c>
      <c r="B223" s="4">
        <f>HeartData[[#This Row],[age]]</f>
        <v>54</v>
      </c>
      <c r="C223" t="str">
        <f>HeartData[[#This Row],[sex]]</f>
        <v>Female</v>
      </c>
      <c r="D223" t="str">
        <f t="shared" si="9"/>
        <v>45-54</v>
      </c>
      <c r="E223" t="str">
        <f>HeartData[[#This Row],[cp]]</f>
        <v>non-anginal</v>
      </c>
      <c r="F223" t="str">
        <f>IF(HeartData[[#This Row],[num]]&gt;0, "Diseased", "Healthy")</f>
        <v>Healthy</v>
      </c>
      <c r="G223">
        <f>IF(HeartData[[#This Row],[chol]]&gt;$P$3, 1, 0)</f>
        <v>1</v>
      </c>
      <c r="H223">
        <f>IF(HeartData[[#This Row],[trestbps]]&gt;$P$4, 1, 0)</f>
        <v>1</v>
      </c>
      <c r="I223">
        <f>IF(HeartData[[#This Row],[oldpeak]]&gt;$P$5,1,0)</f>
        <v>0</v>
      </c>
      <c r="J223">
        <f>IF(HeartData[[#This Row],[exang]]="TRUE",1,0)</f>
        <v>0</v>
      </c>
      <c r="K223">
        <f>IF(HeartData[[#This Row],[fbs]]="TRUE",1,0)</f>
        <v>0</v>
      </c>
      <c r="L223">
        <f>IF(HeartData[[#This Row],[ca]]&gt;0,1,0)</f>
        <v>0</v>
      </c>
      <c r="M223">
        <f t="shared" si="10"/>
        <v>2</v>
      </c>
      <c r="N223">
        <f t="shared" si="11"/>
        <v>0</v>
      </c>
    </row>
    <row r="224" spans="1:14" x14ac:dyDescent="0.3">
      <c r="A224">
        <f>HeartData[[#This Row],[id]]</f>
        <v>223</v>
      </c>
      <c r="B224" s="4">
        <f>HeartData[[#This Row],[age]]</f>
        <v>39</v>
      </c>
      <c r="C224" t="str">
        <f>HeartData[[#This Row],[sex]]</f>
        <v>Female</v>
      </c>
      <c r="D224" t="str">
        <f t="shared" si="9"/>
        <v>Under 45</v>
      </c>
      <c r="E224" t="str">
        <f>HeartData[[#This Row],[cp]]</f>
        <v>non-anginal</v>
      </c>
      <c r="F224" t="str">
        <f>IF(HeartData[[#This Row],[num]]&gt;0, "Diseased", "Healthy")</f>
        <v>Healthy</v>
      </c>
      <c r="G224">
        <f>IF(HeartData[[#This Row],[chol]]&gt;$P$3, 1, 0)</f>
        <v>1</v>
      </c>
      <c r="H224">
        <f>IF(HeartData[[#This Row],[trestbps]]&gt;$P$4, 1, 0)</f>
        <v>1</v>
      </c>
      <c r="I224">
        <f>IF(HeartData[[#This Row],[oldpeak]]&gt;$P$5,1,0)</f>
        <v>0</v>
      </c>
      <c r="J224">
        <f>IF(HeartData[[#This Row],[exang]]="TRUE",1,0)</f>
        <v>0</v>
      </c>
      <c r="K224">
        <f>IF(HeartData[[#This Row],[fbs]]="TRUE",1,0)</f>
        <v>0</v>
      </c>
      <c r="L224">
        <f>IF(HeartData[[#This Row],[ca]]&gt;0,1,0)</f>
        <v>0</v>
      </c>
      <c r="M224">
        <f t="shared" si="10"/>
        <v>2</v>
      </c>
      <c r="N224">
        <f t="shared" si="11"/>
        <v>0</v>
      </c>
    </row>
    <row r="225" spans="1:14" x14ac:dyDescent="0.3">
      <c r="A225">
        <f>HeartData[[#This Row],[id]]</f>
        <v>224</v>
      </c>
      <c r="B225" s="4">
        <f>HeartData[[#This Row],[age]]</f>
        <v>53</v>
      </c>
      <c r="C225" t="str">
        <f>HeartData[[#This Row],[sex]]</f>
        <v>Male</v>
      </c>
      <c r="D225" t="str">
        <f t="shared" si="9"/>
        <v>45-54</v>
      </c>
      <c r="E225" t="str">
        <f>HeartData[[#This Row],[cp]]</f>
        <v>asymptomatic</v>
      </c>
      <c r="F225" t="str">
        <f>IF(HeartData[[#This Row],[num]]&gt;0, "Diseased", "Healthy")</f>
        <v>Diseased</v>
      </c>
      <c r="G225">
        <f>IF(HeartData[[#This Row],[chol]]&gt;$P$3, 1, 0)</f>
        <v>1</v>
      </c>
      <c r="H225">
        <f>IF(HeartData[[#This Row],[trestbps]]&gt;$P$4, 1, 0)</f>
        <v>1</v>
      </c>
      <c r="I225">
        <f>IF(HeartData[[#This Row],[oldpeak]]&gt;$P$5,1,0)</f>
        <v>1</v>
      </c>
      <c r="J225">
        <f>IF(HeartData[[#This Row],[exang]]="TRUE",1,0)</f>
        <v>1</v>
      </c>
      <c r="K225">
        <f>IF(HeartData[[#This Row],[fbs]]="TRUE",1,0)</f>
        <v>0</v>
      </c>
      <c r="L225">
        <f>IF(HeartData[[#This Row],[ca]]&gt;0,1,0)</f>
        <v>1</v>
      </c>
      <c r="M225">
        <f t="shared" si="10"/>
        <v>5</v>
      </c>
      <c r="N225">
        <f t="shared" si="11"/>
        <v>1</v>
      </c>
    </row>
    <row r="226" spans="1:14" x14ac:dyDescent="0.3">
      <c r="A226">
        <f>HeartData[[#This Row],[id]]</f>
        <v>225</v>
      </c>
      <c r="B226" s="4">
        <f>HeartData[[#This Row],[age]]</f>
        <v>63</v>
      </c>
      <c r="C226" t="str">
        <f>HeartData[[#This Row],[sex]]</f>
        <v>Female</v>
      </c>
      <c r="D226" t="str">
        <f t="shared" si="9"/>
        <v>55-64</v>
      </c>
      <c r="E226" t="str">
        <f>HeartData[[#This Row],[cp]]</f>
        <v>asymptomatic</v>
      </c>
      <c r="F226" t="str">
        <f>IF(HeartData[[#This Row],[num]]&gt;0, "Diseased", "Healthy")</f>
        <v>Diseased</v>
      </c>
      <c r="G226">
        <f>IF(HeartData[[#This Row],[chol]]&gt;$P$3, 1, 0)</f>
        <v>1</v>
      </c>
      <c r="H226">
        <f>IF(HeartData[[#This Row],[trestbps]]&gt;$P$4, 1, 0)</f>
        <v>1</v>
      </c>
      <c r="I226">
        <f>IF(HeartData[[#This Row],[oldpeak]]&gt;$P$5,1,0)</f>
        <v>1</v>
      </c>
      <c r="J226">
        <f>IF(HeartData[[#This Row],[exang]]="TRUE",1,0)</f>
        <v>1</v>
      </c>
      <c r="K226">
        <f>IF(HeartData[[#This Row],[fbs]]="TRUE",1,0)</f>
        <v>0</v>
      </c>
      <c r="L226">
        <f>IF(HeartData[[#This Row],[ca]]&gt;0,1,0)</f>
        <v>1</v>
      </c>
      <c r="M226">
        <f t="shared" si="10"/>
        <v>5</v>
      </c>
      <c r="N226">
        <f t="shared" si="11"/>
        <v>1</v>
      </c>
    </row>
    <row r="227" spans="1:14" x14ac:dyDescent="0.3">
      <c r="A227">
        <f>HeartData[[#This Row],[id]]</f>
        <v>226</v>
      </c>
      <c r="B227" s="4">
        <f>HeartData[[#This Row],[age]]</f>
        <v>34</v>
      </c>
      <c r="C227" t="str">
        <f>HeartData[[#This Row],[sex]]</f>
        <v>Female</v>
      </c>
      <c r="D227" t="str">
        <f t="shared" si="9"/>
        <v>Under 45</v>
      </c>
      <c r="E227" t="str">
        <f>HeartData[[#This Row],[cp]]</f>
        <v>atypical angina</v>
      </c>
      <c r="F227" t="str">
        <f>IF(HeartData[[#This Row],[num]]&gt;0, "Diseased", "Healthy")</f>
        <v>Healthy</v>
      </c>
      <c r="G227">
        <f>IF(HeartData[[#This Row],[chol]]&gt;$P$3, 1, 0)</f>
        <v>1</v>
      </c>
      <c r="H227">
        <f>IF(HeartData[[#This Row],[trestbps]]&gt;$P$4, 1, 0)</f>
        <v>1</v>
      </c>
      <c r="I227">
        <f>IF(HeartData[[#This Row],[oldpeak]]&gt;$P$5,1,0)</f>
        <v>1</v>
      </c>
      <c r="J227">
        <f>IF(HeartData[[#This Row],[exang]]="TRUE",1,0)</f>
        <v>0</v>
      </c>
      <c r="K227">
        <f>IF(HeartData[[#This Row],[fbs]]="TRUE",1,0)</f>
        <v>0</v>
      </c>
      <c r="L227">
        <f>IF(HeartData[[#This Row],[ca]]&gt;0,1,0)</f>
        <v>0</v>
      </c>
      <c r="M227">
        <f t="shared" si="10"/>
        <v>3</v>
      </c>
      <c r="N227">
        <f t="shared" si="11"/>
        <v>0</v>
      </c>
    </row>
    <row r="228" spans="1:14" x14ac:dyDescent="0.3">
      <c r="A228">
        <f>HeartData[[#This Row],[id]]</f>
        <v>227</v>
      </c>
      <c r="B228" s="4">
        <f>HeartData[[#This Row],[age]]</f>
        <v>47</v>
      </c>
      <c r="C228" t="str">
        <f>HeartData[[#This Row],[sex]]</f>
        <v>Male</v>
      </c>
      <c r="D228" t="str">
        <f t="shared" si="9"/>
        <v>45-54</v>
      </c>
      <c r="E228" t="str">
        <f>HeartData[[#This Row],[cp]]</f>
        <v>asymptomatic</v>
      </c>
      <c r="F228" t="str">
        <f>IF(HeartData[[#This Row],[num]]&gt;0, "Diseased", "Healthy")</f>
        <v>Healthy</v>
      </c>
      <c r="G228">
        <f>IF(HeartData[[#This Row],[chol]]&gt;$P$3, 1, 0)</f>
        <v>1</v>
      </c>
      <c r="H228">
        <f>IF(HeartData[[#This Row],[trestbps]]&gt;$P$4, 1, 0)</f>
        <v>1</v>
      </c>
      <c r="I228">
        <f>IF(HeartData[[#This Row],[oldpeak]]&gt;$P$5,1,0)</f>
        <v>1</v>
      </c>
      <c r="J228">
        <f>IF(HeartData[[#This Row],[exang]]="TRUE",1,0)</f>
        <v>0</v>
      </c>
      <c r="K228">
        <f>IF(HeartData[[#This Row],[fbs]]="TRUE",1,0)</f>
        <v>0</v>
      </c>
      <c r="L228">
        <f>IF(HeartData[[#This Row],[ca]]&gt;0,1,0)</f>
        <v>0</v>
      </c>
      <c r="M228">
        <f t="shared" si="10"/>
        <v>3</v>
      </c>
      <c r="N228">
        <f t="shared" si="11"/>
        <v>0</v>
      </c>
    </row>
    <row r="229" spans="1:14" x14ac:dyDescent="0.3">
      <c r="A229">
        <f>HeartData[[#This Row],[id]]</f>
        <v>228</v>
      </c>
      <c r="B229" s="4">
        <f>HeartData[[#This Row],[age]]</f>
        <v>67</v>
      </c>
      <c r="C229" t="str">
        <f>HeartData[[#This Row],[sex]]</f>
        <v>Female</v>
      </c>
      <c r="D229" t="str">
        <f t="shared" si="9"/>
        <v>65+</v>
      </c>
      <c r="E229" t="str">
        <f>HeartData[[#This Row],[cp]]</f>
        <v>non-anginal</v>
      </c>
      <c r="F229" t="str">
        <f>IF(HeartData[[#This Row],[num]]&gt;0, "Diseased", "Healthy")</f>
        <v>Healthy</v>
      </c>
      <c r="G229">
        <f>IF(HeartData[[#This Row],[chol]]&gt;$P$3, 1, 0)</f>
        <v>1</v>
      </c>
      <c r="H229">
        <f>IF(HeartData[[#This Row],[trestbps]]&gt;$P$4, 1, 0)</f>
        <v>1</v>
      </c>
      <c r="I229">
        <f>IF(HeartData[[#This Row],[oldpeak]]&gt;$P$5,1,0)</f>
        <v>0</v>
      </c>
      <c r="J229">
        <f>IF(HeartData[[#This Row],[exang]]="TRUE",1,0)</f>
        <v>0</v>
      </c>
      <c r="K229">
        <f>IF(HeartData[[#This Row],[fbs]]="TRUE",1,0)</f>
        <v>0</v>
      </c>
      <c r="L229">
        <f>IF(HeartData[[#This Row],[ca]]&gt;0,1,0)</f>
        <v>1</v>
      </c>
      <c r="M229">
        <f t="shared" si="10"/>
        <v>3</v>
      </c>
      <c r="N229">
        <f t="shared" si="11"/>
        <v>0</v>
      </c>
    </row>
    <row r="230" spans="1:14" x14ac:dyDescent="0.3">
      <c r="A230">
        <f>HeartData[[#This Row],[id]]</f>
        <v>229</v>
      </c>
      <c r="B230" s="4">
        <f>HeartData[[#This Row],[age]]</f>
        <v>54</v>
      </c>
      <c r="C230" t="str">
        <f>HeartData[[#This Row],[sex]]</f>
        <v>Male</v>
      </c>
      <c r="D230" t="str">
        <f t="shared" si="9"/>
        <v>45-54</v>
      </c>
      <c r="E230" t="str">
        <f>HeartData[[#This Row],[cp]]</f>
        <v>asymptomatic</v>
      </c>
      <c r="F230" t="str">
        <f>IF(HeartData[[#This Row],[num]]&gt;0, "Diseased", "Healthy")</f>
        <v>Diseased</v>
      </c>
      <c r="G230">
        <f>IF(HeartData[[#This Row],[chol]]&gt;$P$3, 1, 0)</f>
        <v>1</v>
      </c>
      <c r="H230">
        <f>IF(HeartData[[#This Row],[trestbps]]&gt;$P$4, 1, 0)</f>
        <v>1</v>
      </c>
      <c r="I230">
        <f>IF(HeartData[[#This Row],[oldpeak]]&gt;$P$5,1,0)</f>
        <v>0</v>
      </c>
      <c r="J230">
        <f>IF(HeartData[[#This Row],[exang]]="TRUE",1,0)</f>
        <v>1</v>
      </c>
      <c r="K230">
        <f>IF(HeartData[[#This Row],[fbs]]="TRUE",1,0)</f>
        <v>0</v>
      </c>
      <c r="L230">
        <f>IF(HeartData[[#This Row],[ca]]&gt;0,1,0)</f>
        <v>1</v>
      </c>
      <c r="M230">
        <f t="shared" si="10"/>
        <v>4</v>
      </c>
      <c r="N230">
        <f t="shared" si="11"/>
        <v>1</v>
      </c>
    </row>
    <row r="231" spans="1:14" x14ac:dyDescent="0.3">
      <c r="A231">
        <f>HeartData[[#This Row],[id]]</f>
        <v>230</v>
      </c>
      <c r="B231" s="4">
        <f>HeartData[[#This Row],[age]]</f>
        <v>66</v>
      </c>
      <c r="C231" t="str">
        <f>HeartData[[#This Row],[sex]]</f>
        <v>Male</v>
      </c>
      <c r="D231" t="str">
        <f t="shared" si="9"/>
        <v>65+</v>
      </c>
      <c r="E231" t="str">
        <f>HeartData[[#This Row],[cp]]</f>
        <v>asymptomatic</v>
      </c>
      <c r="F231" t="str">
        <f>IF(HeartData[[#This Row],[num]]&gt;0, "Diseased", "Healthy")</f>
        <v>Diseased</v>
      </c>
      <c r="G231">
        <f>IF(HeartData[[#This Row],[chol]]&gt;$P$3, 1, 0)</f>
        <v>1</v>
      </c>
      <c r="H231">
        <f>IF(HeartData[[#This Row],[trestbps]]&gt;$P$4, 1, 0)</f>
        <v>1</v>
      </c>
      <c r="I231">
        <f>IF(HeartData[[#This Row],[oldpeak]]&gt;$P$5,1,0)</f>
        <v>1</v>
      </c>
      <c r="J231">
        <f>IF(HeartData[[#This Row],[exang]]="TRUE",1,0)</f>
        <v>1</v>
      </c>
      <c r="K231">
        <f>IF(HeartData[[#This Row],[fbs]]="TRUE",1,0)</f>
        <v>0</v>
      </c>
      <c r="L231">
        <f>IF(HeartData[[#This Row],[ca]]&gt;0,1,0)</f>
        <v>1</v>
      </c>
      <c r="M231">
        <f t="shared" si="10"/>
        <v>5</v>
      </c>
      <c r="N231">
        <f t="shared" si="11"/>
        <v>1</v>
      </c>
    </row>
    <row r="232" spans="1:14" x14ac:dyDescent="0.3">
      <c r="A232">
        <f>HeartData[[#This Row],[id]]</f>
        <v>231</v>
      </c>
      <c r="B232" s="4">
        <f>HeartData[[#This Row],[age]]</f>
        <v>52</v>
      </c>
      <c r="C232" t="str">
        <f>HeartData[[#This Row],[sex]]</f>
        <v>Female</v>
      </c>
      <c r="D232" t="str">
        <f t="shared" si="9"/>
        <v>45-54</v>
      </c>
      <c r="E232" t="str">
        <f>HeartData[[#This Row],[cp]]</f>
        <v>non-anginal</v>
      </c>
      <c r="F232" t="str">
        <f>IF(HeartData[[#This Row],[num]]&gt;0, "Diseased", "Healthy")</f>
        <v>Healthy</v>
      </c>
      <c r="G232">
        <f>IF(HeartData[[#This Row],[chol]]&gt;$P$3, 1, 0)</f>
        <v>1</v>
      </c>
      <c r="H232">
        <f>IF(HeartData[[#This Row],[trestbps]]&gt;$P$4, 1, 0)</f>
        <v>1</v>
      </c>
      <c r="I232">
        <f>IF(HeartData[[#This Row],[oldpeak]]&gt;$P$5,1,0)</f>
        <v>1</v>
      </c>
      <c r="J232">
        <f>IF(HeartData[[#This Row],[exang]]="TRUE",1,0)</f>
        <v>0</v>
      </c>
      <c r="K232">
        <f>IF(HeartData[[#This Row],[fbs]]="TRUE",1,0)</f>
        <v>0</v>
      </c>
      <c r="L232">
        <f>IF(HeartData[[#This Row],[ca]]&gt;0,1,0)</f>
        <v>0</v>
      </c>
      <c r="M232">
        <f t="shared" si="10"/>
        <v>3</v>
      </c>
      <c r="N232">
        <f t="shared" si="11"/>
        <v>0</v>
      </c>
    </row>
    <row r="233" spans="1:14" x14ac:dyDescent="0.3">
      <c r="A233">
        <f>HeartData[[#This Row],[id]]</f>
        <v>232</v>
      </c>
      <c r="B233" s="4">
        <f>HeartData[[#This Row],[age]]</f>
        <v>55</v>
      </c>
      <c r="C233" t="str">
        <f>HeartData[[#This Row],[sex]]</f>
        <v>Female</v>
      </c>
      <c r="D233" t="str">
        <f t="shared" si="9"/>
        <v>55-64</v>
      </c>
      <c r="E233" t="str">
        <f>HeartData[[#This Row],[cp]]</f>
        <v>asymptomatic</v>
      </c>
      <c r="F233" t="str">
        <f>IF(HeartData[[#This Row],[num]]&gt;0, "Diseased", "Healthy")</f>
        <v>Diseased</v>
      </c>
      <c r="G233">
        <f>IF(HeartData[[#This Row],[chol]]&gt;$P$3, 1, 0)</f>
        <v>1</v>
      </c>
      <c r="H233">
        <f>IF(HeartData[[#This Row],[trestbps]]&gt;$P$4, 1, 0)</f>
        <v>1</v>
      </c>
      <c r="I233">
        <f>IF(HeartData[[#This Row],[oldpeak]]&gt;$P$5,1,0)</f>
        <v>1</v>
      </c>
      <c r="J233">
        <f>IF(HeartData[[#This Row],[exang]]="TRUE",1,0)</f>
        <v>1</v>
      </c>
      <c r="K233">
        <f>IF(HeartData[[#This Row],[fbs]]="TRUE",1,0)</f>
        <v>0</v>
      </c>
      <c r="L233">
        <f>IF(HeartData[[#This Row],[ca]]&gt;0,1,0)</f>
        <v>0</v>
      </c>
      <c r="M233">
        <f t="shared" si="10"/>
        <v>4</v>
      </c>
      <c r="N233">
        <f t="shared" si="11"/>
        <v>1</v>
      </c>
    </row>
    <row r="234" spans="1:14" x14ac:dyDescent="0.3">
      <c r="A234">
        <f>HeartData[[#This Row],[id]]</f>
        <v>233</v>
      </c>
      <c r="B234" s="4">
        <f>HeartData[[#This Row],[age]]</f>
        <v>49</v>
      </c>
      <c r="C234" t="str">
        <f>HeartData[[#This Row],[sex]]</f>
        <v>Male</v>
      </c>
      <c r="D234" t="str">
        <f t="shared" si="9"/>
        <v>45-54</v>
      </c>
      <c r="E234" t="str">
        <f>HeartData[[#This Row],[cp]]</f>
        <v>non-anginal</v>
      </c>
      <c r="F234" t="str">
        <f>IF(HeartData[[#This Row],[num]]&gt;0, "Diseased", "Healthy")</f>
        <v>Diseased</v>
      </c>
      <c r="G234">
        <f>IF(HeartData[[#This Row],[chol]]&gt;$P$3, 1, 0)</f>
        <v>1</v>
      </c>
      <c r="H234">
        <f>IF(HeartData[[#This Row],[trestbps]]&gt;$P$4, 1, 0)</f>
        <v>1</v>
      </c>
      <c r="I234">
        <f>IF(HeartData[[#This Row],[oldpeak]]&gt;$P$5,1,0)</f>
        <v>1</v>
      </c>
      <c r="J234">
        <f>IF(HeartData[[#This Row],[exang]]="TRUE",1,0)</f>
        <v>0</v>
      </c>
      <c r="K234">
        <f>IF(HeartData[[#This Row],[fbs]]="TRUE",1,0)</f>
        <v>0</v>
      </c>
      <c r="L234">
        <f>IF(HeartData[[#This Row],[ca]]&gt;0,1,0)</f>
        <v>1</v>
      </c>
      <c r="M234">
        <f t="shared" si="10"/>
        <v>4</v>
      </c>
      <c r="N234">
        <f t="shared" si="11"/>
        <v>1</v>
      </c>
    </row>
    <row r="235" spans="1:14" x14ac:dyDescent="0.3">
      <c r="A235">
        <f>HeartData[[#This Row],[id]]</f>
        <v>234</v>
      </c>
      <c r="B235" s="4">
        <f>HeartData[[#This Row],[age]]</f>
        <v>74</v>
      </c>
      <c r="C235" t="str">
        <f>HeartData[[#This Row],[sex]]</f>
        <v>Female</v>
      </c>
      <c r="D235" t="str">
        <f t="shared" si="9"/>
        <v>65+</v>
      </c>
      <c r="E235" t="str">
        <f>HeartData[[#This Row],[cp]]</f>
        <v>atypical angina</v>
      </c>
      <c r="F235" t="str">
        <f>IF(HeartData[[#This Row],[num]]&gt;0, "Diseased", "Healthy")</f>
        <v>Healthy</v>
      </c>
      <c r="G235">
        <f>IF(HeartData[[#This Row],[chol]]&gt;$P$3, 1, 0)</f>
        <v>1</v>
      </c>
      <c r="H235">
        <f>IF(HeartData[[#This Row],[trestbps]]&gt;$P$4, 1, 0)</f>
        <v>1</v>
      </c>
      <c r="I235">
        <f>IF(HeartData[[#This Row],[oldpeak]]&gt;$P$5,1,0)</f>
        <v>1</v>
      </c>
      <c r="J235">
        <f>IF(HeartData[[#This Row],[exang]]="TRUE",1,0)</f>
        <v>1</v>
      </c>
      <c r="K235">
        <f>IF(HeartData[[#This Row],[fbs]]="TRUE",1,0)</f>
        <v>0</v>
      </c>
      <c r="L235">
        <f>IF(HeartData[[#This Row],[ca]]&gt;0,1,0)</f>
        <v>1</v>
      </c>
      <c r="M235">
        <f t="shared" si="10"/>
        <v>5</v>
      </c>
      <c r="N235">
        <f t="shared" si="11"/>
        <v>0</v>
      </c>
    </row>
    <row r="236" spans="1:14" x14ac:dyDescent="0.3">
      <c r="A236">
        <f>HeartData[[#This Row],[id]]</f>
        <v>235</v>
      </c>
      <c r="B236" s="4">
        <f>HeartData[[#This Row],[age]]</f>
        <v>54</v>
      </c>
      <c r="C236" t="str">
        <f>HeartData[[#This Row],[sex]]</f>
        <v>Female</v>
      </c>
      <c r="D236" t="str">
        <f t="shared" si="9"/>
        <v>45-54</v>
      </c>
      <c r="E236" t="str">
        <f>HeartData[[#This Row],[cp]]</f>
        <v>non-anginal</v>
      </c>
      <c r="F236" t="str">
        <f>IF(HeartData[[#This Row],[num]]&gt;0, "Diseased", "Healthy")</f>
        <v>Healthy</v>
      </c>
      <c r="G236">
        <f>IF(HeartData[[#This Row],[chol]]&gt;$P$3, 1, 0)</f>
        <v>1</v>
      </c>
      <c r="H236">
        <f>IF(HeartData[[#This Row],[trestbps]]&gt;$P$4, 1, 0)</f>
        <v>1</v>
      </c>
      <c r="I236">
        <f>IF(HeartData[[#This Row],[oldpeak]]&gt;$P$5,1,0)</f>
        <v>0</v>
      </c>
      <c r="J236">
        <f>IF(HeartData[[#This Row],[exang]]="TRUE",1,0)</f>
        <v>0</v>
      </c>
      <c r="K236">
        <f>IF(HeartData[[#This Row],[fbs]]="TRUE",1,0)</f>
        <v>0</v>
      </c>
      <c r="L236">
        <f>IF(HeartData[[#This Row],[ca]]&gt;0,1,0)</f>
        <v>1</v>
      </c>
      <c r="M236">
        <f t="shared" si="10"/>
        <v>3</v>
      </c>
      <c r="N236">
        <f t="shared" si="11"/>
        <v>0</v>
      </c>
    </row>
    <row r="237" spans="1:14" x14ac:dyDescent="0.3">
      <c r="A237">
        <f>HeartData[[#This Row],[id]]</f>
        <v>236</v>
      </c>
      <c r="B237" s="4">
        <f>HeartData[[#This Row],[age]]</f>
        <v>54</v>
      </c>
      <c r="C237" t="str">
        <f>HeartData[[#This Row],[sex]]</f>
        <v>Male</v>
      </c>
      <c r="D237" t="str">
        <f t="shared" si="9"/>
        <v>45-54</v>
      </c>
      <c r="E237" t="str">
        <f>HeartData[[#This Row],[cp]]</f>
        <v>asymptomatic</v>
      </c>
      <c r="F237" t="str">
        <f>IF(HeartData[[#This Row],[num]]&gt;0, "Diseased", "Healthy")</f>
        <v>Diseased</v>
      </c>
      <c r="G237">
        <f>IF(HeartData[[#This Row],[chol]]&gt;$P$3, 1, 0)</f>
        <v>1</v>
      </c>
      <c r="H237">
        <f>IF(HeartData[[#This Row],[trestbps]]&gt;$P$4, 1, 0)</f>
        <v>1</v>
      </c>
      <c r="I237">
        <f>IF(HeartData[[#This Row],[oldpeak]]&gt;$P$5,1,0)</f>
        <v>1</v>
      </c>
      <c r="J237">
        <f>IF(HeartData[[#This Row],[exang]]="TRUE",1,0)</f>
        <v>1</v>
      </c>
      <c r="K237">
        <f>IF(HeartData[[#This Row],[fbs]]="TRUE",1,0)</f>
        <v>0</v>
      </c>
      <c r="L237">
        <f>IF(HeartData[[#This Row],[ca]]&gt;0,1,0)</f>
        <v>1</v>
      </c>
      <c r="M237">
        <f t="shared" si="10"/>
        <v>5</v>
      </c>
      <c r="N237">
        <f t="shared" si="11"/>
        <v>1</v>
      </c>
    </row>
    <row r="238" spans="1:14" x14ac:dyDescent="0.3">
      <c r="A238">
        <f>HeartData[[#This Row],[id]]</f>
        <v>237</v>
      </c>
      <c r="B238" s="4">
        <f>HeartData[[#This Row],[age]]</f>
        <v>56</v>
      </c>
      <c r="C238" t="str">
        <f>HeartData[[#This Row],[sex]]</f>
        <v>Male</v>
      </c>
      <c r="D238" t="str">
        <f t="shared" si="9"/>
        <v>55-64</v>
      </c>
      <c r="E238" t="str">
        <f>HeartData[[#This Row],[cp]]</f>
        <v>asymptomatic</v>
      </c>
      <c r="F238" t="str">
        <f>IF(HeartData[[#This Row],[num]]&gt;0, "Diseased", "Healthy")</f>
        <v>Diseased</v>
      </c>
      <c r="G238">
        <f>IF(HeartData[[#This Row],[chol]]&gt;$P$3, 1, 0)</f>
        <v>1</v>
      </c>
      <c r="H238">
        <f>IF(HeartData[[#This Row],[trestbps]]&gt;$P$4, 1, 0)</f>
        <v>1</v>
      </c>
      <c r="I238">
        <f>IF(HeartData[[#This Row],[oldpeak]]&gt;$P$5,1,0)</f>
        <v>1</v>
      </c>
      <c r="J238">
        <f>IF(HeartData[[#This Row],[exang]]="TRUE",1,0)</f>
        <v>1</v>
      </c>
      <c r="K238">
        <f>IF(HeartData[[#This Row],[fbs]]="TRUE",1,0)</f>
        <v>1</v>
      </c>
      <c r="L238">
        <f>IF(HeartData[[#This Row],[ca]]&gt;0,1,0)</f>
        <v>0</v>
      </c>
      <c r="M238">
        <f t="shared" si="10"/>
        <v>5</v>
      </c>
      <c r="N238">
        <f t="shared" si="11"/>
        <v>1</v>
      </c>
    </row>
    <row r="239" spans="1:14" x14ac:dyDescent="0.3">
      <c r="A239">
        <f>HeartData[[#This Row],[id]]</f>
        <v>238</v>
      </c>
      <c r="B239" s="4">
        <f>HeartData[[#This Row],[age]]</f>
        <v>46</v>
      </c>
      <c r="C239" t="str">
        <f>HeartData[[#This Row],[sex]]</f>
        <v>Male</v>
      </c>
      <c r="D239" t="str">
        <f t="shared" si="9"/>
        <v>45-54</v>
      </c>
      <c r="E239" t="str">
        <f>HeartData[[#This Row],[cp]]</f>
        <v>asymptomatic</v>
      </c>
      <c r="F239" t="str">
        <f>IF(HeartData[[#This Row],[num]]&gt;0, "Diseased", "Healthy")</f>
        <v>Diseased</v>
      </c>
      <c r="G239">
        <f>IF(HeartData[[#This Row],[chol]]&gt;$P$3, 1, 0)</f>
        <v>1</v>
      </c>
      <c r="H239">
        <f>IF(HeartData[[#This Row],[trestbps]]&gt;$P$4, 1, 0)</f>
        <v>1</v>
      </c>
      <c r="I239">
        <f>IF(HeartData[[#This Row],[oldpeak]]&gt;$P$5,1,0)</f>
        <v>1</v>
      </c>
      <c r="J239">
        <f>IF(HeartData[[#This Row],[exang]]="TRUE",1,0)</f>
        <v>0</v>
      </c>
      <c r="K239">
        <f>IF(HeartData[[#This Row],[fbs]]="TRUE",1,0)</f>
        <v>0</v>
      </c>
      <c r="L239">
        <f>IF(HeartData[[#This Row],[ca]]&gt;0,1,0)</f>
        <v>0</v>
      </c>
      <c r="M239">
        <f t="shared" si="10"/>
        <v>3</v>
      </c>
      <c r="N239">
        <f t="shared" si="11"/>
        <v>1</v>
      </c>
    </row>
    <row r="240" spans="1:14" x14ac:dyDescent="0.3">
      <c r="A240">
        <f>HeartData[[#This Row],[id]]</f>
        <v>239</v>
      </c>
      <c r="B240" s="4">
        <f>HeartData[[#This Row],[age]]</f>
        <v>49</v>
      </c>
      <c r="C240" t="str">
        <f>HeartData[[#This Row],[sex]]</f>
        <v>Female</v>
      </c>
      <c r="D240" t="str">
        <f t="shared" si="9"/>
        <v>45-54</v>
      </c>
      <c r="E240" t="str">
        <f>HeartData[[#This Row],[cp]]</f>
        <v>atypical angina</v>
      </c>
      <c r="F240" t="str">
        <f>IF(HeartData[[#This Row],[num]]&gt;0, "Diseased", "Healthy")</f>
        <v>Healthy</v>
      </c>
      <c r="G240">
        <f>IF(HeartData[[#This Row],[chol]]&gt;$P$3, 1, 0)</f>
        <v>1</v>
      </c>
      <c r="H240">
        <f>IF(HeartData[[#This Row],[trestbps]]&gt;$P$4, 1, 0)</f>
        <v>1</v>
      </c>
      <c r="I240">
        <f>IF(HeartData[[#This Row],[oldpeak]]&gt;$P$5,1,0)</f>
        <v>0</v>
      </c>
      <c r="J240">
        <f>IF(HeartData[[#This Row],[exang]]="TRUE",1,0)</f>
        <v>0</v>
      </c>
      <c r="K240">
        <f>IF(HeartData[[#This Row],[fbs]]="TRUE",1,0)</f>
        <v>0</v>
      </c>
      <c r="L240">
        <f>IF(HeartData[[#This Row],[ca]]&gt;0,1,0)</f>
        <v>0</v>
      </c>
      <c r="M240">
        <f t="shared" si="10"/>
        <v>2</v>
      </c>
      <c r="N240">
        <f t="shared" si="11"/>
        <v>0</v>
      </c>
    </row>
    <row r="241" spans="1:14" x14ac:dyDescent="0.3">
      <c r="A241">
        <f>HeartData[[#This Row],[id]]</f>
        <v>240</v>
      </c>
      <c r="B241" s="4">
        <f>HeartData[[#This Row],[age]]</f>
        <v>42</v>
      </c>
      <c r="C241" t="str">
        <f>HeartData[[#This Row],[sex]]</f>
        <v>Male</v>
      </c>
      <c r="D241" t="str">
        <f t="shared" si="9"/>
        <v>Under 45</v>
      </c>
      <c r="E241" t="str">
        <f>HeartData[[#This Row],[cp]]</f>
        <v>atypical angina</v>
      </c>
      <c r="F241" t="str">
        <f>IF(HeartData[[#This Row],[num]]&gt;0, "Diseased", "Healthy")</f>
        <v>Healthy</v>
      </c>
      <c r="G241">
        <f>IF(HeartData[[#This Row],[chol]]&gt;$P$3, 1, 0)</f>
        <v>1</v>
      </c>
      <c r="H241">
        <f>IF(HeartData[[#This Row],[trestbps]]&gt;$P$4, 1, 0)</f>
        <v>1</v>
      </c>
      <c r="I241">
        <f>IF(HeartData[[#This Row],[oldpeak]]&gt;$P$5,1,0)</f>
        <v>0</v>
      </c>
      <c r="J241">
        <f>IF(HeartData[[#This Row],[exang]]="TRUE",1,0)</f>
        <v>0</v>
      </c>
      <c r="K241">
        <f>IF(HeartData[[#This Row],[fbs]]="TRUE",1,0)</f>
        <v>0</v>
      </c>
      <c r="L241">
        <f>IF(HeartData[[#This Row],[ca]]&gt;0,1,0)</f>
        <v>0</v>
      </c>
      <c r="M241">
        <f t="shared" si="10"/>
        <v>2</v>
      </c>
      <c r="N241">
        <f t="shared" si="11"/>
        <v>0</v>
      </c>
    </row>
    <row r="242" spans="1:14" x14ac:dyDescent="0.3">
      <c r="A242">
        <f>HeartData[[#This Row],[id]]</f>
        <v>241</v>
      </c>
      <c r="B242" s="4">
        <f>HeartData[[#This Row],[age]]</f>
        <v>41</v>
      </c>
      <c r="C242" t="str">
        <f>HeartData[[#This Row],[sex]]</f>
        <v>Male</v>
      </c>
      <c r="D242" t="str">
        <f t="shared" si="9"/>
        <v>Under 45</v>
      </c>
      <c r="E242" t="str">
        <f>HeartData[[#This Row],[cp]]</f>
        <v>atypical angina</v>
      </c>
      <c r="F242" t="str">
        <f>IF(HeartData[[#This Row],[num]]&gt;0, "Diseased", "Healthy")</f>
        <v>Healthy</v>
      </c>
      <c r="G242">
        <f>IF(HeartData[[#This Row],[chol]]&gt;$P$3, 1, 0)</f>
        <v>1</v>
      </c>
      <c r="H242">
        <f>IF(HeartData[[#This Row],[trestbps]]&gt;$P$4, 1, 0)</f>
        <v>1</v>
      </c>
      <c r="I242">
        <f>IF(HeartData[[#This Row],[oldpeak]]&gt;$P$5,1,0)</f>
        <v>0</v>
      </c>
      <c r="J242">
        <f>IF(HeartData[[#This Row],[exang]]="TRUE",1,0)</f>
        <v>0</v>
      </c>
      <c r="K242">
        <f>IF(HeartData[[#This Row],[fbs]]="TRUE",1,0)</f>
        <v>0</v>
      </c>
      <c r="L242">
        <f>IF(HeartData[[#This Row],[ca]]&gt;0,1,0)</f>
        <v>0</v>
      </c>
      <c r="M242">
        <f t="shared" si="10"/>
        <v>2</v>
      </c>
      <c r="N242">
        <f t="shared" si="11"/>
        <v>0</v>
      </c>
    </row>
    <row r="243" spans="1:14" x14ac:dyDescent="0.3">
      <c r="A243">
        <f>HeartData[[#This Row],[id]]</f>
        <v>242</v>
      </c>
      <c r="B243" s="4">
        <f>HeartData[[#This Row],[age]]</f>
        <v>41</v>
      </c>
      <c r="C243" t="str">
        <f>HeartData[[#This Row],[sex]]</f>
        <v>Female</v>
      </c>
      <c r="D243" t="str">
        <f t="shared" si="9"/>
        <v>Under 45</v>
      </c>
      <c r="E243" t="str">
        <f>HeartData[[#This Row],[cp]]</f>
        <v>atypical angina</v>
      </c>
      <c r="F243" t="str">
        <f>IF(HeartData[[#This Row],[num]]&gt;0, "Diseased", "Healthy")</f>
        <v>Healthy</v>
      </c>
      <c r="G243">
        <f>IF(HeartData[[#This Row],[chol]]&gt;$P$3, 1, 0)</f>
        <v>1</v>
      </c>
      <c r="H243">
        <f>IF(HeartData[[#This Row],[trestbps]]&gt;$P$4, 1, 0)</f>
        <v>1</v>
      </c>
      <c r="I243">
        <f>IF(HeartData[[#This Row],[oldpeak]]&gt;$P$5,1,0)</f>
        <v>0</v>
      </c>
      <c r="J243">
        <f>IF(HeartData[[#This Row],[exang]]="TRUE",1,0)</f>
        <v>0</v>
      </c>
      <c r="K243">
        <f>IF(HeartData[[#This Row],[fbs]]="TRUE",1,0)</f>
        <v>0</v>
      </c>
      <c r="L243">
        <f>IF(HeartData[[#This Row],[ca]]&gt;0,1,0)</f>
        <v>0</v>
      </c>
      <c r="M243">
        <f t="shared" si="10"/>
        <v>2</v>
      </c>
      <c r="N243">
        <f t="shared" si="11"/>
        <v>0</v>
      </c>
    </row>
    <row r="244" spans="1:14" x14ac:dyDescent="0.3">
      <c r="A244">
        <f>HeartData[[#This Row],[id]]</f>
        <v>243</v>
      </c>
      <c r="B244" s="4">
        <f>HeartData[[#This Row],[age]]</f>
        <v>49</v>
      </c>
      <c r="C244" t="str">
        <f>HeartData[[#This Row],[sex]]</f>
        <v>Female</v>
      </c>
      <c r="D244" t="str">
        <f t="shared" si="9"/>
        <v>45-54</v>
      </c>
      <c r="E244" t="str">
        <f>HeartData[[#This Row],[cp]]</f>
        <v>asymptomatic</v>
      </c>
      <c r="F244" t="str">
        <f>IF(HeartData[[#This Row],[num]]&gt;0, "Diseased", "Healthy")</f>
        <v>Healthy</v>
      </c>
      <c r="G244">
        <f>IF(HeartData[[#This Row],[chol]]&gt;$P$3, 1, 0)</f>
        <v>1</v>
      </c>
      <c r="H244">
        <f>IF(HeartData[[#This Row],[trestbps]]&gt;$P$4, 1, 0)</f>
        <v>1</v>
      </c>
      <c r="I244">
        <f>IF(HeartData[[#This Row],[oldpeak]]&gt;$P$5,1,0)</f>
        <v>0</v>
      </c>
      <c r="J244">
        <f>IF(HeartData[[#This Row],[exang]]="TRUE",1,0)</f>
        <v>0</v>
      </c>
      <c r="K244">
        <f>IF(HeartData[[#This Row],[fbs]]="TRUE",1,0)</f>
        <v>0</v>
      </c>
      <c r="L244">
        <f>IF(HeartData[[#This Row],[ca]]&gt;0,1,0)</f>
        <v>0</v>
      </c>
      <c r="M244">
        <f t="shared" si="10"/>
        <v>2</v>
      </c>
      <c r="N244">
        <f t="shared" si="11"/>
        <v>0</v>
      </c>
    </row>
    <row r="245" spans="1:14" x14ac:dyDescent="0.3">
      <c r="A245">
        <f>HeartData[[#This Row],[id]]</f>
        <v>244</v>
      </c>
      <c r="B245" s="4">
        <f>HeartData[[#This Row],[age]]</f>
        <v>61</v>
      </c>
      <c r="C245" t="str">
        <f>HeartData[[#This Row],[sex]]</f>
        <v>Male</v>
      </c>
      <c r="D245" t="str">
        <f t="shared" si="9"/>
        <v>55-64</v>
      </c>
      <c r="E245" t="str">
        <f>HeartData[[#This Row],[cp]]</f>
        <v>typical angina</v>
      </c>
      <c r="F245" t="str">
        <f>IF(HeartData[[#This Row],[num]]&gt;0, "Diseased", "Healthy")</f>
        <v>Diseased</v>
      </c>
      <c r="G245">
        <f>IF(HeartData[[#This Row],[chol]]&gt;$P$3, 1, 0)</f>
        <v>1</v>
      </c>
      <c r="H245">
        <f>IF(HeartData[[#This Row],[trestbps]]&gt;$P$4, 1, 0)</f>
        <v>1</v>
      </c>
      <c r="I245">
        <f>IF(HeartData[[#This Row],[oldpeak]]&gt;$P$5,1,0)</f>
        <v>1</v>
      </c>
      <c r="J245">
        <f>IF(HeartData[[#This Row],[exang]]="TRUE",1,0)</f>
        <v>0</v>
      </c>
      <c r="K245">
        <f>IF(HeartData[[#This Row],[fbs]]="TRUE",1,0)</f>
        <v>0</v>
      </c>
      <c r="L245">
        <f>IF(HeartData[[#This Row],[ca]]&gt;0,1,0)</f>
        <v>1</v>
      </c>
      <c r="M245">
        <f t="shared" si="10"/>
        <v>4</v>
      </c>
      <c r="N245">
        <f t="shared" si="11"/>
        <v>1</v>
      </c>
    </row>
    <row r="246" spans="1:14" x14ac:dyDescent="0.3">
      <c r="A246">
        <f>HeartData[[#This Row],[id]]</f>
        <v>245</v>
      </c>
      <c r="B246" s="4">
        <f>HeartData[[#This Row],[age]]</f>
        <v>60</v>
      </c>
      <c r="C246" t="str">
        <f>HeartData[[#This Row],[sex]]</f>
        <v>Female</v>
      </c>
      <c r="D246" t="str">
        <f t="shared" si="9"/>
        <v>55-64</v>
      </c>
      <c r="E246" t="str">
        <f>HeartData[[#This Row],[cp]]</f>
        <v>non-anginal</v>
      </c>
      <c r="F246" t="str">
        <f>IF(HeartData[[#This Row],[num]]&gt;0, "Diseased", "Healthy")</f>
        <v>Healthy</v>
      </c>
      <c r="G246">
        <f>IF(HeartData[[#This Row],[chol]]&gt;$P$3, 1, 0)</f>
        <v>1</v>
      </c>
      <c r="H246">
        <f>IF(HeartData[[#This Row],[trestbps]]&gt;$P$4, 1, 0)</f>
        <v>1</v>
      </c>
      <c r="I246">
        <f>IF(HeartData[[#This Row],[oldpeak]]&gt;$P$5,1,0)</f>
        <v>0</v>
      </c>
      <c r="J246">
        <f>IF(HeartData[[#This Row],[exang]]="TRUE",1,0)</f>
        <v>0</v>
      </c>
      <c r="K246">
        <f>IF(HeartData[[#This Row],[fbs]]="TRUE",1,0)</f>
        <v>1</v>
      </c>
      <c r="L246">
        <f>IF(HeartData[[#This Row],[ca]]&gt;0,1,0)</f>
        <v>0</v>
      </c>
      <c r="M246">
        <f t="shared" si="10"/>
        <v>3</v>
      </c>
      <c r="N246">
        <f t="shared" si="11"/>
        <v>0</v>
      </c>
    </row>
    <row r="247" spans="1:14" x14ac:dyDescent="0.3">
      <c r="A247">
        <f>HeartData[[#This Row],[id]]</f>
        <v>246</v>
      </c>
      <c r="B247" s="4">
        <f>HeartData[[#This Row],[age]]</f>
        <v>67</v>
      </c>
      <c r="C247" t="str">
        <f>HeartData[[#This Row],[sex]]</f>
        <v>Male</v>
      </c>
      <c r="D247" t="str">
        <f t="shared" si="9"/>
        <v>65+</v>
      </c>
      <c r="E247" t="str">
        <f>HeartData[[#This Row],[cp]]</f>
        <v>asymptomatic</v>
      </c>
      <c r="F247" t="str">
        <f>IF(HeartData[[#This Row],[num]]&gt;0, "Diseased", "Healthy")</f>
        <v>Diseased</v>
      </c>
      <c r="G247">
        <f>IF(HeartData[[#This Row],[chol]]&gt;$P$3, 1, 0)</f>
        <v>1</v>
      </c>
      <c r="H247">
        <f>IF(HeartData[[#This Row],[trestbps]]&gt;$P$4, 1, 0)</f>
        <v>1</v>
      </c>
      <c r="I247">
        <f>IF(HeartData[[#This Row],[oldpeak]]&gt;$P$5,1,0)</f>
        <v>1</v>
      </c>
      <c r="J247">
        <f>IF(HeartData[[#This Row],[exang]]="TRUE",1,0)</f>
        <v>0</v>
      </c>
      <c r="K247">
        <f>IF(HeartData[[#This Row],[fbs]]="TRUE",1,0)</f>
        <v>0</v>
      </c>
      <c r="L247">
        <f>IF(HeartData[[#This Row],[ca]]&gt;0,1,0)</f>
        <v>0</v>
      </c>
      <c r="M247">
        <f t="shared" si="10"/>
        <v>3</v>
      </c>
      <c r="N247">
        <f t="shared" si="11"/>
        <v>1</v>
      </c>
    </row>
    <row r="248" spans="1:14" x14ac:dyDescent="0.3">
      <c r="A248">
        <f>HeartData[[#This Row],[id]]</f>
        <v>247</v>
      </c>
      <c r="B248" s="4">
        <f>HeartData[[#This Row],[age]]</f>
        <v>58</v>
      </c>
      <c r="C248" t="str">
        <f>HeartData[[#This Row],[sex]]</f>
        <v>Male</v>
      </c>
      <c r="D248" t="str">
        <f t="shared" si="9"/>
        <v>55-64</v>
      </c>
      <c r="E248" t="str">
        <f>HeartData[[#This Row],[cp]]</f>
        <v>asymptomatic</v>
      </c>
      <c r="F248" t="str">
        <f>IF(HeartData[[#This Row],[num]]&gt;0, "Diseased", "Healthy")</f>
        <v>Diseased</v>
      </c>
      <c r="G248">
        <f>IF(HeartData[[#This Row],[chol]]&gt;$P$3, 1, 0)</f>
        <v>1</v>
      </c>
      <c r="H248">
        <f>IF(HeartData[[#This Row],[trestbps]]&gt;$P$4, 1, 0)</f>
        <v>1</v>
      </c>
      <c r="I248">
        <f>IF(HeartData[[#This Row],[oldpeak]]&gt;$P$5,1,0)</f>
        <v>1</v>
      </c>
      <c r="J248">
        <f>IF(HeartData[[#This Row],[exang]]="TRUE",1,0)</f>
        <v>0</v>
      </c>
      <c r="K248">
        <f>IF(HeartData[[#This Row],[fbs]]="TRUE",1,0)</f>
        <v>0</v>
      </c>
      <c r="L248">
        <f>IF(HeartData[[#This Row],[ca]]&gt;0,1,0)</f>
        <v>1</v>
      </c>
      <c r="M248">
        <f t="shared" si="10"/>
        <v>4</v>
      </c>
      <c r="N248">
        <f t="shared" si="11"/>
        <v>1</v>
      </c>
    </row>
    <row r="249" spans="1:14" x14ac:dyDescent="0.3">
      <c r="A249">
        <f>HeartData[[#This Row],[id]]</f>
        <v>248</v>
      </c>
      <c r="B249" s="4">
        <f>HeartData[[#This Row],[age]]</f>
        <v>47</v>
      </c>
      <c r="C249" t="str">
        <f>HeartData[[#This Row],[sex]]</f>
        <v>Male</v>
      </c>
      <c r="D249" t="str">
        <f t="shared" si="9"/>
        <v>45-54</v>
      </c>
      <c r="E249" t="str">
        <f>HeartData[[#This Row],[cp]]</f>
        <v>asymptomatic</v>
      </c>
      <c r="F249" t="str">
        <f>IF(HeartData[[#This Row],[num]]&gt;0, "Diseased", "Healthy")</f>
        <v>Diseased</v>
      </c>
      <c r="G249">
        <f>IF(HeartData[[#This Row],[chol]]&gt;$P$3, 1, 0)</f>
        <v>1</v>
      </c>
      <c r="H249">
        <f>IF(HeartData[[#This Row],[trestbps]]&gt;$P$4, 1, 0)</f>
        <v>1</v>
      </c>
      <c r="I249">
        <f>IF(HeartData[[#This Row],[oldpeak]]&gt;$P$5,1,0)</f>
        <v>1</v>
      </c>
      <c r="J249">
        <f>IF(HeartData[[#This Row],[exang]]="TRUE",1,0)</f>
        <v>1</v>
      </c>
      <c r="K249">
        <f>IF(HeartData[[#This Row],[fbs]]="TRUE",1,0)</f>
        <v>0</v>
      </c>
      <c r="L249">
        <f>IF(HeartData[[#This Row],[ca]]&gt;0,1,0)</f>
        <v>1</v>
      </c>
      <c r="M249">
        <f t="shared" si="10"/>
        <v>5</v>
      </c>
      <c r="N249">
        <f t="shared" si="11"/>
        <v>1</v>
      </c>
    </row>
    <row r="250" spans="1:14" x14ac:dyDescent="0.3">
      <c r="A250">
        <f>HeartData[[#This Row],[id]]</f>
        <v>249</v>
      </c>
      <c r="B250" s="4">
        <f>HeartData[[#This Row],[age]]</f>
        <v>52</v>
      </c>
      <c r="C250" t="str">
        <f>HeartData[[#This Row],[sex]]</f>
        <v>Male</v>
      </c>
      <c r="D250" t="str">
        <f t="shared" si="9"/>
        <v>45-54</v>
      </c>
      <c r="E250" t="str">
        <f>HeartData[[#This Row],[cp]]</f>
        <v>asymptomatic</v>
      </c>
      <c r="F250" t="str">
        <f>IF(HeartData[[#This Row],[num]]&gt;0, "Diseased", "Healthy")</f>
        <v>Diseased</v>
      </c>
      <c r="G250">
        <f>IF(HeartData[[#This Row],[chol]]&gt;$P$3, 1, 0)</f>
        <v>1</v>
      </c>
      <c r="H250">
        <f>IF(HeartData[[#This Row],[trestbps]]&gt;$P$4, 1, 0)</f>
        <v>1</v>
      </c>
      <c r="I250">
        <f>IF(HeartData[[#This Row],[oldpeak]]&gt;$P$5,1,0)</f>
        <v>1</v>
      </c>
      <c r="J250">
        <f>IF(HeartData[[#This Row],[exang]]="TRUE",1,0)</f>
        <v>0</v>
      </c>
      <c r="K250">
        <f>IF(HeartData[[#This Row],[fbs]]="TRUE",1,0)</f>
        <v>0</v>
      </c>
      <c r="L250">
        <f>IF(HeartData[[#This Row],[ca]]&gt;0,1,0)</f>
        <v>1</v>
      </c>
      <c r="M250">
        <f t="shared" si="10"/>
        <v>4</v>
      </c>
      <c r="N250">
        <f t="shared" si="11"/>
        <v>1</v>
      </c>
    </row>
    <row r="251" spans="1:14" x14ac:dyDescent="0.3">
      <c r="A251">
        <f>HeartData[[#This Row],[id]]</f>
        <v>250</v>
      </c>
      <c r="B251" s="4">
        <f>HeartData[[#This Row],[age]]</f>
        <v>62</v>
      </c>
      <c r="C251" t="str">
        <f>HeartData[[#This Row],[sex]]</f>
        <v>Male</v>
      </c>
      <c r="D251" t="str">
        <f t="shared" si="9"/>
        <v>55-64</v>
      </c>
      <c r="E251" t="str">
        <f>HeartData[[#This Row],[cp]]</f>
        <v>atypical angina</v>
      </c>
      <c r="F251" t="str">
        <f>IF(HeartData[[#This Row],[num]]&gt;0, "Diseased", "Healthy")</f>
        <v>Healthy</v>
      </c>
      <c r="G251">
        <f>IF(HeartData[[#This Row],[chol]]&gt;$P$3, 1, 0)</f>
        <v>1</v>
      </c>
      <c r="H251">
        <f>IF(HeartData[[#This Row],[trestbps]]&gt;$P$4, 1, 0)</f>
        <v>1</v>
      </c>
      <c r="I251">
        <f>IF(HeartData[[#This Row],[oldpeak]]&gt;$P$5,1,0)</f>
        <v>0</v>
      </c>
      <c r="J251">
        <f>IF(HeartData[[#This Row],[exang]]="TRUE",1,0)</f>
        <v>0</v>
      </c>
      <c r="K251">
        <f>IF(HeartData[[#This Row],[fbs]]="TRUE",1,0)</f>
        <v>1</v>
      </c>
      <c r="L251">
        <f>IF(HeartData[[#This Row],[ca]]&gt;0,1,0)</f>
        <v>0</v>
      </c>
      <c r="M251">
        <f t="shared" si="10"/>
        <v>3</v>
      </c>
      <c r="N251">
        <f t="shared" si="11"/>
        <v>0</v>
      </c>
    </row>
    <row r="252" spans="1:14" x14ac:dyDescent="0.3">
      <c r="A252">
        <f>HeartData[[#This Row],[id]]</f>
        <v>251</v>
      </c>
      <c r="B252" s="4">
        <f>HeartData[[#This Row],[age]]</f>
        <v>57</v>
      </c>
      <c r="C252" t="str">
        <f>HeartData[[#This Row],[sex]]</f>
        <v>Male</v>
      </c>
      <c r="D252" t="str">
        <f t="shared" si="9"/>
        <v>55-64</v>
      </c>
      <c r="E252" t="str">
        <f>HeartData[[#This Row],[cp]]</f>
        <v>asymptomatic</v>
      </c>
      <c r="F252" t="str">
        <f>IF(HeartData[[#This Row],[num]]&gt;0, "Diseased", "Healthy")</f>
        <v>Healthy</v>
      </c>
      <c r="G252">
        <f>IF(HeartData[[#This Row],[chol]]&gt;$P$3, 1, 0)</f>
        <v>1</v>
      </c>
      <c r="H252">
        <f>IF(HeartData[[#This Row],[trestbps]]&gt;$P$4, 1, 0)</f>
        <v>1</v>
      </c>
      <c r="I252">
        <f>IF(HeartData[[#This Row],[oldpeak]]&gt;$P$5,1,0)</f>
        <v>1</v>
      </c>
      <c r="J252">
        <f>IF(HeartData[[#This Row],[exang]]="TRUE",1,0)</f>
        <v>1</v>
      </c>
      <c r="K252">
        <f>IF(HeartData[[#This Row],[fbs]]="TRUE",1,0)</f>
        <v>0</v>
      </c>
      <c r="L252">
        <f>IF(HeartData[[#This Row],[ca]]&gt;0,1,0)</f>
        <v>0</v>
      </c>
      <c r="M252">
        <f t="shared" si="10"/>
        <v>4</v>
      </c>
      <c r="N252">
        <f t="shared" si="11"/>
        <v>0</v>
      </c>
    </row>
    <row r="253" spans="1:14" x14ac:dyDescent="0.3">
      <c r="A253">
        <f>HeartData[[#This Row],[id]]</f>
        <v>252</v>
      </c>
      <c r="B253" s="4">
        <f>HeartData[[#This Row],[age]]</f>
        <v>58</v>
      </c>
      <c r="C253" t="str">
        <f>HeartData[[#This Row],[sex]]</f>
        <v>Male</v>
      </c>
      <c r="D253" t="str">
        <f t="shared" si="9"/>
        <v>55-64</v>
      </c>
      <c r="E253" t="str">
        <f>HeartData[[#This Row],[cp]]</f>
        <v>asymptomatic</v>
      </c>
      <c r="F253" t="str">
        <f>IF(HeartData[[#This Row],[num]]&gt;0, "Diseased", "Healthy")</f>
        <v>Diseased</v>
      </c>
      <c r="G253">
        <f>IF(HeartData[[#This Row],[chol]]&gt;$P$3, 1, 0)</f>
        <v>1</v>
      </c>
      <c r="H253">
        <f>IF(HeartData[[#This Row],[trestbps]]&gt;$P$4, 1, 0)</f>
        <v>1</v>
      </c>
      <c r="I253">
        <f>IF(HeartData[[#This Row],[oldpeak]]&gt;$P$5,1,0)</f>
        <v>1</v>
      </c>
      <c r="J253">
        <f>IF(HeartData[[#This Row],[exang]]="TRUE",1,0)</f>
        <v>0</v>
      </c>
      <c r="K253">
        <f>IF(HeartData[[#This Row],[fbs]]="TRUE",1,0)</f>
        <v>0</v>
      </c>
      <c r="L253">
        <f>IF(HeartData[[#This Row],[ca]]&gt;0,1,0)</f>
        <v>1</v>
      </c>
      <c r="M253">
        <f t="shared" si="10"/>
        <v>4</v>
      </c>
      <c r="N253">
        <f t="shared" si="11"/>
        <v>1</v>
      </c>
    </row>
    <row r="254" spans="1:14" x14ac:dyDescent="0.3">
      <c r="A254">
        <f>HeartData[[#This Row],[id]]</f>
        <v>253</v>
      </c>
      <c r="B254" s="4">
        <f>HeartData[[#This Row],[age]]</f>
        <v>64</v>
      </c>
      <c r="C254" t="str">
        <f>HeartData[[#This Row],[sex]]</f>
        <v>Male</v>
      </c>
      <c r="D254" t="str">
        <f t="shared" si="9"/>
        <v>55-64</v>
      </c>
      <c r="E254" t="str">
        <f>HeartData[[#This Row],[cp]]</f>
        <v>asymptomatic</v>
      </c>
      <c r="F254" t="str">
        <f>IF(HeartData[[#This Row],[num]]&gt;0, "Diseased", "Healthy")</f>
        <v>Healthy</v>
      </c>
      <c r="G254">
        <f>IF(HeartData[[#This Row],[chol]]&gt;$P$3, 1, 0)</f>
        <v>1</v>
      </c>
      <c r="H254">
        <f>IF(HeartData[[#This Row],[trestbps]]&gt;$P$4, 1, 0)</f>
        <v>1</v>
      </c>
      <c r="I254">
        <f>IF(HeartData[[#This Row],[oldpeak]]&gt;$P$5,1,0)</f>
        <v>1</v>
      </c>
      <c r="J254">
        <f>IF(HeartData[[#This Row],[exang]]="TRUE",1,0)</f>
        <v>1</v>
      </c>
      <c r="K254">
        <f>IF(HeartData[[#This Row],[fbs]]="TRUE",1,0)</f>
        <v>0</v>
      </c>
      <c r="L254">
        <f>IF(HeartData[[#This Row],[ca]]&gt;0,1,0)</f>
        <v>1</v>
      </c>
      <c r="M254">
        <f t="shared" si="10"/>
        <v>5</v>
      </c>
      <c r="N254">
        <f t="shared" si="11"/>
        <v>0</v>
      </c>
    </row>
    <row r="255" spans="1:14" x14ac:dyDescent="0.3">
      <c r="A255">
        <f>HeartData[[#This Row],[id]]</f>
        <v>254</v>
      </c>
      <c r="B255" s="4">
        <f>HeartData[[#This Row],[age]]</f>
        <v>51</v>
      </c>
      <c r="C255" t="str">
        <f>HeartData[[#This Row],[sex]]</f>
        <v>Female</v>
      </c>
      <c r="D255" t="str">
        <f t="shared" si="9"/>
        <v>45-54</v>
      </c>
      <c r="E255" t="str">
        <f>HeartData[[#This Row],[cp]]</f>
        <v>non-anginal</v>
      </c>
      <c r="F255" t="str">
        <f>IF(HeartData[[#This Row],[num]]&gt;0, "Diseased", "Healthy")</f>
        <v>Healthy</v>
      </c>
      <c r="G255">
        <f>IF(HeartData[[#This Row],[chol]]&gt;$P$3, 1, 0)</f>
        <v>1</v>
      </c>
      <c r="H255">
        <f>IF(HeartData[[#This Row],[trestbps]]&gt;$P$4, 1, 0)</f>
        <v>1</v>
      </c>
      <c r="I255">
        <f>IF(HeartData[[#This Row],[oldpeak]]&gt;$P$5,1,0)</f>
        <v>1</v>
      </c>
      <c r="J255">
        <f>IF(HeartData[[#This Row],[exang]]="TRUE",1,0)</f>
        <v>0</v>
      </c>
      <c r="K255">
        <f>IF(HeartData[[#This Row],[fbs]]="TRUE",1,0)</f>
        <v>0</v>
      </c>
      <c r="L255">
        <f>IF(HeartData[[#This Row],[ca]]&gt;0,1,0)</f>
        <v>0</v>
      </c>
      <c r="M255">
        <f t="shared" si="10"/>
        <v>3</v>
      </c>
      <c r="N255">
        <f t="shared" si="11"/>
        <v>0</v>
      </c>
    </row>
    <row r="256" spans="1:14" x14ac:dyDescent="0.3">
      <c r="A256">
        <f>HeartData[[#This Row],[id]]</f>
        <v>255</v>
      </c>
      <c r="B256" s="4">
        <f>HeartData[[#This Row],[age]]</f>
        <v>43</v>
      </c>
      <c r="C256" t="str">
        <f>HeartData[[#This Row],[sex]]</f>
        <v>Male</v>
      </c>
      <c r="D256" t="str">
        <f t="shared" si="9"/>
        <v>Under 45</v>
      </c>
      <c r="E256" t="str">
        <f>HeartData[[#This Row],[cp]]</f>
        <v>asymptomatic</v>
      </c>
      <c r="F256" t="str">
        <f>IF(HeartData[[#This Row],[num]]&gt;0, "Diseased", "Healthy")</f>
        <v>Healthy</v>
      </c>
      <c r="G256">
        <f>IF(HeartData[[#This Row],[chol]]&gt;$P$3, 1, 0)</f>
        <v>1</v>
      </c>
      <c r="H256">
        <f>IF(HeartData[[#This Row],[trestbps]]&gt;$P$4, 1, 0)</f>
        <v>1</v>
      </c>
      <c r="I256">
        <f>IF(HeartData[[#This Row],[oldpeak]]&gt;$P$5,1,0)</f>
        <v>1</v>
      </c>
      <c r="J256">
        <f>IF(HeartData[[#This Row],[exang]]="TRUE",1,0)</f>
        <v>0</v>
      </c>
      <c r="K256">
        <f>IF(HeartData[[#This Row],[fbs]]="TRUE",1,0)</f>
        <v>0</v>
      </c>
      <c r="L256">
        <f>IF(HeartData[[#This Row],[ca]]&gt;0,1,0)</f>
        <v>0</v>
      </c>
      <c r="M256">
        <f t="shared" si="10"/>
        <v>3</v>
      </c>
      <c r="N256">
        <f t="shared" si="11"/>
        <v>0</v>
      </c>
    </row>
    <row r="257" spans="1:14" x14ac:dyDescent="0.3">
      <c r="A257">
        <f>HeartData[[#This Row],[id]]</f>
        <v>256</v>
      </c>
      <c r="B257" s="4">
        <f>HeartData[[#This Row],[age]]</f>
        <v>42</v>
      </c>
      <c r="C257" t="str">
        <f>HeartData[[#This Row],[sex]]</f>
        <v>Female</v>
      </c>
      <c r="D257" t="str">
        <f t="shared" si="9"/>
        <v>Under 45</v>
      </c>
      <c r="E257" t="str">
        <f>HeartData[[#This Row],[cp]]</f>
        <v>non-anginal</v>
      </c>
      <c r="F257" t="str">
        <f>IF(HeartData[[#This Row],[num]]&gt;0, "Diseased", "Healthy")</f>
        <v>Healthy</v>
      </c>
      <c r="G257">
        <f>IF(HeartData[[#This Row],[chol]]&gt;$P$3, 1, 0)</f>
        <v>1</v>
      </c>
      <c r="H257">
        <f>IF(HeartData[[#This Row],[trestbps]]&gt;$P$4, 1, 0)</f>
        <v>1</v>
      </c>
      <c r="I257">
        <f>IF(HeartData[[#This Row],[oldpeak]]&gt;$P$5,1,0)</f>
        <v>0</v>
      </c>
      <c r="J257">
        <f>IF(HeartData[[#This Row],[exang]]="TRUE",1,0)</f>
        <v>0</v>
      </c>
      <c r="K257">
        <f>IF(HeartData[[#This Row],[fbs]]="TRUE",1,0)</f>
        <v>0</v>
      </c>
      <c r="L257">
        <f>IF(HeartData[[#This Row],[ca]]&gt;0,1,0)</f>
        <v>0</v>
      </c>
      <c r="M257">
        <f t="shared" si="10"/>
        <v>2</v>
      </c>
      <c r="N257">
        <f t="shared" si="11"/>
        <v>0</v>
      </c>
    </row>
    <row r="258" spans="1:14" x14ac:dyDescent="0.3">
      <c r="A258">
        <f>HeartData[[#This Row],[id]]</f>
        <v>257</v>
      </c>
      <c r="B258" s="4">
        <f>HeartData[[#This Row],[age]]</f>
        <v>67</v>
      </c>
      <c r="C258" t="str">
        <f>HeartData[[#This Row],[sex]]</f>
        <v>Female</v>
      </c>
      <c r="D258" t="str">
        <f t="shared" ref="D258:D321" si="12">IF(B258&lt;45,"Under 45",IF(B258&lt;=54,"45-54",IF(B258&lt;=64,"55-64","65+")))</f>
        <v>65+</v>
      </c>
      <c r="E258" t="str">
        <f>HeartData[[#This Row],[cp]]</f>
        <v>asymptomatic</v>
      </c>
      <c r="F258" t="str">
        <f>IF(HeartData[[#This Row],[num]]&gt;0, "Diseased", "Healthy")</f>
        <v>Healthy</v>
      </c>
      <c r="G258">
        <f>IF(HeartData[[#This Row],[chol]]&gt;$P$3, 1, 0)</f>
        <v>1</v>
      </c>
      <c r="H258">
        <f>IF(HeartData[[#This Row],[trestbps]]&gt;$P$4, 1, 0)</f>
        <v>1</v>
      </c>
      <c r="I258">
        <f>IF(HeartData[[#This Row],[oldpeak]]&gt;$P$5,1,0)</f>
        <v>1</v>
      </c>
      <c r="J258">
        <f>IF(HeartData[[#This Row],[exang]]="TRUE",1,0)</f>
        <v>0</v>
      </c>
      <c r="K258">
        <f>IF(HeartData[[#This Row],[fbs]]="TRUE",1,0)</f>
        <v>0</v>
      </c>
      <c r="L258">
        <f>IF(HeartData[[#This Row],[ca]]&gt;0,1,0)</f>
        <v>1</v>
      </c>
      <c r="M258">
        <f t="shared" si="10"/>
        <v>4</v>
      </c>
      <c r="N258">
        <f t="shared" si="11"/>
        <v>0</v>
      </c>
    </row>
    <row r="259" spans="1:14" x14ac:dyDescent="0.3">
      <c r="A259">
        <f>HeartData[[#This Row],[id]]</f>
        <v>258</v>
      </c>
      <c r="B259" s="4">
        <f>HeartData[[#This Row],[age]]</f>
        <v>76</v>
      </c>
      <c r="C259" t="str">
        <f>HeartData[[#This Row],[sex]]</f>
        <v>Female</v>
      </c>
      <c r="D259" t="str">
        <f t="shared" si="12"/>
        <v>65+</v>
      </c>
      <c r="E259" t="str">
        <f>HeartData[[#This Row],[cp]]</f>
        <v>non-anginal</v>
      </c>
      <c r="F259" t="str">
        <f>IF(HeartData[[#This Row],[num]]&gt;0, "Diseased", "Healthy")</f>
        <v>Healthy</v>
      </c>
      <c r="G259">
        <f>IF(HeartData[[#This Row],[chol]]&gt;$P$3, 1, 0)</f>
        <v>1</v>
      </c>
      <c r="H259">
        <f>IF(HeartData[[#This Row],[trestbps]]&gt;$P$4, 1, 0)</f>
        <v>1</v>
      </c>
      <c r="I259">
        <f>IF(HeartData[[#This Row],[oldpeak]]&gt;$P$5,1,0)</f>
        <v>1</v>
      </c>
      <c r="J259">
        <f>IF(HeartData[[#This Row],[exang]]="TRUE",1,0)</f>
        <v>0</v>
      </c>
      <c r="K259">
        <f>IF(HeartData[[#This Row],[fbs]]="TRUE",1,0)</f>
        <v>0</v>
      </c>
      <c r="L259">
        <f>IF(HeartData[[#This Row],[ca]]&gt;0,1,0)</f>
        <v>0</v>
      </c>
      <c r="M259">
        <f t="shared" ref="M259:M322" si="13">G259+H259+I259+J259+K259+L259</f>
        <v>3</v>
      </c>
      <c r="N259">
        <f t="shared" ref="N259:N322" si="14">IF(F259="Diseased",1,0)</f>
        <v>0</v>
      </c>
    </row>
    <row r="260" spans="1:14" x14ac:dyDescent="0.3">
      <c r="A260">
        <f>HeartData[[#This Row],[id]]</f>
        <v>259</v>
      </c>
      <c r="B260" s="4">
        <f>HeartData[[#This Row],[age]]</f>
        <v>70</v>
      </c>
      <c r="C260" t="str">
        <f>HeartData[[#This Row],[sex]]</f>
        <v>Male</v>
      </c>
      <c r="D260" t="str">
        <f t="shared" si="12"/>
        <v>65+</v>
      </c>
      <c r="E260" t="str">
        <f>HeartData[[#This Row],[cp]]</f>
        <v>atypical angina</v>
      </c>
      <c r="F260" t="str">
        <f>IF(HeartData[[#This Row],[num]]&gt;0, "Diseased", "Healthy")</f>
        <v>Healthy</v>
      </c>
      <c r="G260">
        <f>IF(HeartData[[#This Row],[chol]]&gt;$P$3, 1, 0)</f>
        <v>1</v>
      </c>
      <c r="H260">
        <f>IF(HeartData[[#This Row],[trestbps]]&gt;$P$4, 1, 0)</f>
        <v>1</v>
      </c>
      <c r="I260">
        <f>IF(HeartData[[#This Row],[oldpeak]]&gt;$P$5,1,0)</f>
        <v>0</v>
      </c>
      <c r="J260">
        <f>IF(HeartData[[#This Row],[exang]]="TRUE",1,0)</f>
        <v>0</v>
      </c>
      <c r="K260">
        <f>IF(HeartData[[#This Row],[fbs]]="TRUE",1,0)</f>
        <v>0</v>
      </c>
      <c r="L260">
        <f>IF(HeartData[[#This Row],[ca]]&gt;0,1,0)</f>
        <v>0</v>
      </c>
      <c r="M260">
        <f t="shared" si="13"/>
        <v>2</v>
      </c>
      <c r="N260">
        <f t="shared" si="14"/>
        <v>0</v>
      </c>
    </row>
    <row r="261" spans="1:14" x14ac:dyDescent="0.3">
      <c r="A261">
        <f>HeartData[[#This Row],[id]]</f>
        <v>260</v>
      </c>
      <c r="B261" s="4">
        <f>HeartData[[#This Row],[age]]</f>
        <v>57</v>
      </c>
      <c r="C261" t="str">
        <f>HeartData[[#This Row],[sex]]</f>
        <v>Male</v>
      </c>
      <c r="D261" t="str">
        <f t="shared" si="12"/>
        <v>55-64</v>
      </c>
      <c r="E261" t="str">
        <f>HeartData[[#This Row],[cp]]</f>
        <v>atypical angina</v>
      </c>
      <c r="F261" t="str">
        <f>IF(HeartData[[#This Row],[num]]&gt;0, "Diseased", "Healthy")</f>
        <v>Diseased</v>
      </c>
      <c r="G261">
        <f>IF(HeartData[[#This Row],[chol]]&gt;$P$3, 1, 0)</f>
        <v>1</v>
      </c>
      <c r="H261">
        <f>IF(HeartData[[#This Row],[trestbps]]&gt;$P$4, 1, 0)</f>
        <v>1</v>
      </c>
      <c r="I261">
        <f>IF(HeartData[[#This Row],[oldpeak]]&gt;$P$5,1,0)</f>
        <v>1</v>
      </c>
      <c r="J261">
        <f>IF(HeartData[[#This Row],[exang]]="TRUE",1,0)</f>
        <v>0</v>
      </c>
      <c r="K261">
        <f>IF(HeartData[[#This Row],[fbs]]="TRUE",1,0)</f>
        <v>0</v>
      </c>
      <c r="L261">
        <f>IF(HeartData[[#This Row],[ca]]&gt;0,1,0)</f>
        <v>0</v>
      </c>
      <c r="M261">
        <f t="shared" si="13"/>
        <v>3</v>
      </c>
      <c r="N261">
        <f t="shared" si="14"/>
        <v>1</v>
      </c>
    </row>
    <row r="262" spans="1:14" x14ac:dyDescent="0.3">
      <c r="A262">
        <f>HeartData[[#This Row],[id]]</f>
        <v>261</v>
      </c>
      <c r="B262" s="4">
        <f>HeartData[[#This Row],[age]]</f>
        <v>44</v>
      </c>
      <c r="C262" t="str">
        <f>HeartData[[#This Row],[sex]]</f>
        <v>Female</v>
      </c>
      <c r="D262" t="str">
        <f t="shared" si="12"/>
        <v>Under 45</v>
      </c>
      <c r="E262" t="str">
        <f>HeartData[[#This Row],[cp]]</f>
        <v>non-anginal</v>
      </c>
      <c r="F262" t="str">
        <f>IF(HeartData[[#This Row],[num]]&gt;0, "Diseased", "Healthy")</f>
        <v>Healthy</v>
      </c>
      <c r="G262">
        <f>IF(HeartData[[#This Row],[chol]]&gt;$P$3, 1, 0)</f>
        <v>1</v>
      </c>
      <c r="H262">
        <f>IF(HeartData[[#This Row],[trestbps]]&gt;$P$4, 1, 0)</f>
        <v>1</v>
      </c>
      <c r="I262">
        <f>IF(HeartData[[#This Row],[oldpeak]]&gt;$P$5,1,0)</f>
        <v>1</v>
      </c>
      <c r="J262">
        <f>IF(HeartData[[#This Row],[exang]]="TRUE",1,0)</f>
        <v>0</v>
      </c>
      <c r="K262">
        <f>IF(HeartData[[#This Row],[fbs]]="TRUE",1,0)</f>
        <v>0</v>
      </c>
      <c r="L262">
        <f>IF(HeartData[[#This Row],[ca]]&gt;0,1,0)</f>
        <v>1</v>
      </c>
      <c r="M262">
        <f t="shared" si="13"/>
        <v>4</v>
      </c>
      <c r="N262">
        <f t="shared" si="14"/>
        <v>0</v>
      </c>
    </row>
    <row r="263" spans="1:14" x14ac:dyDescent="0.3">
      <c r="A263">
        <f>HeartData[[#This Row],[id]]</f>
        <v>262</v>
      </c>
      <c r="B263" s="4">
        <f>HeartData[[#This Row],[age]]</f>
        <v>58</v>
      </c>
      <c r="C263" t="str">
        <f>HeartData[[#This Row],[sex]]</f>
        <v>Female</v>
      </c>
      <c r="D263" t="str">
        <f t="shared" si="12"/>
        <v>55-64</v>
      </c>
      <c r="E263" t="str">
        <f>HeartData[[#This Row],[cp]]</f>
        <v>atypical angina</v>
      </c>
      <c r="F263" t="str">
        <f>IF(HeartData[[#This Row],[num]]&gt;0, "Diseased", "Healthy")</f>
        <v>Diseased</v>
      </c>
      <c r="G263">
        <f>IF(HeartData[[#This Row],[chol]]&gt;$P$3, 1, 0)</f>
        <v>1</v>
      </c>
      <c r="H263">
        <f>IF(HeartData[[#This Row],[trestbps]]&gt;$P$4, 1, 0)</f>
        <v>1</v>
      </c>
      <c r="I263">
        <f>IF(HeartData[[#This Row],[oldpeak]]&gt;$P$5,1,0)</f>
        <v>0</v>
      </c>
      <c r="J263">
        <f>IF(HeartData[[#This Row],[exang]]="TRUE",1,0)</f>
        <v>0</v>
      </c>
      <c r="K263">
        <f>IF(HeartData[[#This Row],[fbs]]="TRUE",1,0)</f>
        <v>1</v>
      </c>
      <c r="L263">
        <f>IF(HeartData[[#This Row],[ca]]&gt;0,1,0)</f>
        <v>1</v>
      </c>
      <c r="M263">
        <f t="shared" si="13"/>
        <v>4</v>
      </c>
      <c r="N263">
        <f t="shared" si="14"/>
        <v>1</v>
      </c>
    </row>
    <row r="264" spans="1:14" x14ac:dyDescent="0.3">
      <c r="A264">
        <f>HeartData[[#This Row],[id]]</f>
        <v>263</v>
      </c>
      <c r="B264" s="4">
        <f>HeartData[[#This Row],[age]]</f>
        <v>60</v>
      </c>
      <c r="C264" t="str">
        <f>HeartData[[#This Row],[sex]]</f>
        <v>Female</v>
      </c>
      <c r="D264" t="str">
        <f t="shared" si="12"/>
        <v>55-64</v>
      </c>
      <c r="E264" t="str">
        <f>HeartData[[#This Row],[cp]]</f>
        <v>typical angina</v>
      </c>
      <c r="F264" t="str">
        <f>IF(HeartData[[#This Row],[num]]&gt;0, "Diseased", "Healthy")</f>
        <v>Healthy</v>
      </c>
      <c r="G264">
        <f>IF(HeartData[[#This Row],[chol]]&gt;$P$3, 1, 0)</f>
        <v>1</v>
      </c>
      <c r="H264">
        <f>IF(HeartData[[#This Row],[trestbps]]&gt;$P$4, 1, 0)</f>
        <v>1</v>
      </c>
      <c r="I264">
        <f>IF(HeartData[[#This Row],[oldpeak]]&gt;$P$5,1,0)</f>
        <v>1</v>
      </c>
      <c r="J264">
        <f>IF(HeartData[[#This Row],[exang]]="TRUE",1,0)</f>
        <v>0</v>
      </c>
      <c r="K264">
        <f>IF(HeartData[[#This Row],[fbs]]="TRUE",1,0)</f>
        <v>0</v>
      </c>
      <c r="L264">
        <f>IF(HeartData[[#This Row],[ca]]&gt;0,1,0)</f>
        <v>0</v>
      </c>
      <c r="M264">
        <f t="shared" si="13"/>
        <v>3</v>
      </c>
      <c r="N264">
        <f t="shared" si="14"/>
        <v>0</v>
      </c>
    </row>
    <row r="265" spans="1:14" x14ac:dyDescent="0.3">
      <c r="A265">
        <f>HeartData[[#This Row],[id]]</f>
        <v>264</v>
      </c>
      <c r="B265" s="4">
        <f>HeartData[[#This Row],[age]]</f>
        <v>44</v>
      </c>
      <c r="C265" t="str">
        <f>HeartData[[#This Row],[sex]]</f>
        <v>Male</v>
      </c>
      <c r="D265" t="str">
        <f t="shared" si="12"/>
        <v>Under 45</v>
      </c>
      <c r="E265" t="str">
        <f>HeartData[[#This Row],[cp]]</f>
        <v>non-anginal</v>
      </c>
      <c r="F265" t="str">
        <f>IF(HeartData[[#This Row],[num]]&gt;0, "Diseased", "Healthy")</f>
        <v>Healthy</v>
      </c>
      <c r="G265">
        <f>IF(HeartData[[#This Row],[chol]]&gt;$P$3, 1, 0)</f>
        <v>1</v>
      </c>
      <c r="H265">
        <f>IF(HeartData[[#This Row],[trestbps]]&gt;$P$4, 1, 0)</f>
        <v>1</v>
      </c>
      <c r="I265">
        <f>IF(HeartData[[#This Row],[oldpeak]]&gt;$P$5,1,0)</f>
        <v>0</v>
      </c>
      <c r="J265">
        <f>IF(HeartData[[#This Row],[exang]]="TRUE",1,0)</f>
        <v>0</v>
      </c>
      <c r="K265">
        <f>IF(HeartData[[#This Row],[fbs]]="TRUE",1,0)</f>
        <v>0</v>
      </c>
      <c r="L265">
        <f>IF(HeartData[[#This Row],[ca]]&gt;0,1,0)</f>
        <v>0</v>
      </c>
      <c r="M265">
        <f t="shared" si="13"/>
        <v>2</v>
      </c>
      <c r="N265">
        <f t="shared" si="14"/>
        <v>0</v>
      </c>
    </row>
    <row r="266" spans="1:14" x14ac:dyDescent="0.3">
      <c r="A266">
        <f>HeartData[[#This Row],[id]]</f>
        <v>265</v>
      </c>
      <c r="B266" s="4">
        <f>HeartData[[#This Row],[age]]</f>
        <v>61</v>
      </c>
      <c r="C266" t="str">
        <f>HeartData[[#This Row],[sex]]</f>
        <v>Male</v>
      </c>
      <c r="D266" t="str">
        <f t="shared" si="12"/>
        <v>55-64</v>
      </c>
      <c r="E266" t="str">
        <f>HeartData[[#This Row],[cp]]</f>
        <v>asymptomatic</v>
      </c>
      <c r="F266" t="str">
        <f>IF(HeartData[[#This Row],[num]]&gt;0, "Diseased", "Healthy")</f>
        <v>Diseased</v>
      </c>
      <c r="G266">
        <f>IF(HeartData[[#This Row],[chol]]&gt;$P$3, 1, 0)</f>
        <v>1</v>
      </c>
      <c r="H266">
        <f>IF(HeartData[[#This Row],[trestbps]]&gt;$P$4, 1, 0)</f>
        <v>1</v>
      </c>
      <c r="I266">
        <f>IF(HeartData[[#This Row],[oldpeak]]&gt;$P$5,1,0)</f>
        <v>1</v>
      </c>
      <c r="J266">
        <f>IF(HeartData[[#This Row],[exang]]="TRUE",1,0)</f>
        <v>1</v>
      </c>
      <c r="K266">
        <f>IF(HeartData[[#This Row],[fbs]]="TRUE",1,0)</f>
        <v>0</v>
      </c>
      <c r="L266">
        <f>IF(HeartData[[#This Row],[ca]]&gt;0,1,0)</f>
        <v>1</v>
      </c>
      <c r="M266">
        <f t="shared" si="13"/>
        <v>5</v>
      </c>
      <c r="N266">
        <f t="shared" si="14"/>
        <v>1</v>
      </c>
    </row>
    <row r="267" spans="1:14" x14ac:dyDescent="0.3">
      <c r="A267">
        <f>HeartData[[#This Row],[id]]</f>
        <v>266</v>
      </c>
      <c r="B267" s="4">
        <f>HeartData[[#This Row],[age]]</f>
        <v>42</v>
      </c>
      <c r="C267" t="str">
        <f>HeartData[[#This Row],[sex]]</f>
        <v>Male</v>
      </c>
      <c r="D267" t="str">
        <f t="shared" si="12"/>
        <v>Under 45</v>
      </c>
      <c r="E267" t="str">
        <f>HeartData[[#This Row],[cp]]</f>
        <v>asymptomatic</v>
      </c>
      <c r="F267" t="str">
        <f>IF(HeartData[[#This Row],[num]]&gt;0, "Diseased", "Healthy")</f>
        <v>Diseased</v>
      </c>
      <c r="G267">
        <f>IF(HeartData[[#This Row],[chol]]&gt;$P$3, 1, 0)</f>
        <v>1</v>
      </c>
      <c r="H267">
        <f>IF(HeartData[[#This Row],[trestbps]]&gt;$P$4, 1, 0)</f>
        <v>1</v>
      </c>
      <c r="I267">
        <f>IF(HeartData[[#This Row],[oldpeak]]&gt;$P$5,1,0)</f>
        <v>1</v>
      </c>
      <c r="J267">
        <f>IF(HeartData[[#This Row],[exang]]="TRUE",1,0)</f>
        <v>1</v>
      </c>
      <c r="K267">
        <f>IF(HeartData[[#This Row],[fbs]]="TRUE",1,0)</f>
        <v>0</v>
      </c>
      <c r="L267">
        <f>IF(HeartData[[#This Row],[ca]]&gt;0,1,0)</f>
        <v>0</v>
      </c>
      <c r="M267">
        <f t="shared" si="13"/>
        <v>4</v>
      </c>
      <c r="N267">
        <f t="shared" si="14"/>
        <v>1</v>
      </c>
    </row>
    <row r="268" spans="1:14" x14ac:dyDescent="0.3">
      <c r="A268">
        <f>HeartData[[#This Row],[id]]</f>
        <v>267</v>
      </c>
      <c r="B268" s="4">
        <f>HeartData[[#This Row],[age]]</f>
        <v>52</v>
      </c>
      <c r="C268" t="str">
        <f>HeartData[[#This Row],[sex]]</f>
        <v>Male</v>
      </c>
      <c r="D268" t="str">
        <f t="shared" si="12"/>
        <v>45-54</v>
      </c>
      <c r="E268" t="str">
        <f>HeartData[[#This Row],[cp]]</f>
        <v>asymptomatic</v>
      </c>
      <c r="F268" t="str">
        <f>IF(HeartData[[#This Row],[num]]&gt;0, "Diseased", "Healthy")</f>
        <v>Diseased</v>
      </c>
      <c r="G268">
        <f>IF(HeartData[[#This Row],[chol]]&gt;$P$3, 1, 0)</f>
        <v>1</v>
      </c>
      <c r="H268">
        <f>IF(HeartData[[#This Row],[trestbps]]&gt;$P$4, 1, 0)</f>
        <v>1</v>
      </c>
      <c r="I268">
        <f>IF(HeartData[[#This Row],[oldpeak]]&gt;$P$5,1,0)</f>
        <v>1</v>
      </c>
      <c r="J268">
        <f>IF(HeartData[[#This Row],[exang]]="TRUE",1,0)</f>
        <v>1</v>
      </c>
      <c r="K268">
        <f>IF(HeartData[[#This Row],[fbs]]="TRUE",1,0)</f>
        <v>1</v>
      </c>
      <c r="L268">
        <f>IF(HeartData[[#This Row],[ca]]&gt;0,1,0)</f>
        <v>0</v>
      </c>
      <c r="M268">
        <f t="shared" si="13"/>
        <v>5</v>
      </c>
      <c r="N268">
        <f t="shared" si="14"/>
        <v>1</v>
      </c>
    </row>
    <row r="269" spans="1:14" x14ac:dyDescent="0.3">
      <c r="A269">
        <f>HeartData[[#This Row],[id]]</f>
        <v>268</v>
      </c>
      <c r="B269" s="4">
        <f>HeartData[[#This Row],[age]]</f>
        <v>59</v>
      </c>
      <c r="C269" t="str">
        <f>HeartData[[#This Row],[sex]]</f>
        <v>Male</v>
      </c>
      <c r="D269" t="str">
        <f t="shared" si="12"/>
        <v>55-64</v>
      </c>
      <c r="E269" t="str">
        <f>HeartData[[#This Row],[cp]]</f>
        <v>non-anginal</v>
      </c>
      <c r="F269" t="str">
        <f>IF(HeartData[[#This Row],[num]]&gt;0, "Diseased", "Healthy")</f>
        <v>Diseased</v>
      </c>
      <c r="G269">
        <f>IF(HeartData[[#This Row],[chol]]&gt;$P$3, 1, 0)</f>
        <v>1</v>
      </c>
      <c r="H269">
        <f>IF(HeartData[[#This Row],[trestbps]]&gt;$P$4, 1, 0)</f>
        <v>1</v>
      </c>
      <c r="I269">
        <f>IF(HeartData[[#This Row],[oldpeak]]&gt;$P$5,1,0)</f>
        <v>1</v>
      </c>
      <c r="J269">
        <f>IF(HeartData[[#This Row],[exang]]="TRUE",1,0)</f>
        <v>0</v>
      </c>
      <c r="K269">
        <f>IF(HeartData[[#This Row],[fbs]]="TRUE",1,0)</f>
        <v>1</v>
      </c>
      <c r="L269">
        <f>IF(HeartData[[#This Row],[ca]]&gt;0,1,0)</f>
        <v>1</v>
      </c>
      <c r="M269">
        <f t="shared" si="13"/>
        <v>5</v>
      </c>
      <c r="N269">
        <f t="shared" si="14"/>
        <v>1</v>
      </c>
    </row>
    <row r="270" spans="1:14" x14ac:dyDescent="0.3">
      <c r="A270">
        <f>HeartData[[#This Row],[id]]</f>
        <v>269</v>
      </c>
      <c r="B270" s="4">
        <f>HeartData[[#This Row],[age]]</f>
        <v>40</v>
      </c>
      <c r="C270" t="str">
        <f>HeartData[[#This Row],[sex]]</f>
        <v>Male</v>
      </c>
      <c r="D270" t="str">
        <f t="shared" si="12"/>
        <v>Under 45</v>
      </c>
      <c r="E270" t="str">
        <f>HeartData[[#This Row],[cp]]</f>
        <v>asymptomatic</v>
      </c>
      <c r="F270" t="str">
        <f>IF(HeartData[[#This Row],[num]]&gt;0, "Diseased", "Healthy")</f>
        <v>Diseased</v>
      </c>
      <c r="G270">
        <f>IF(HeartData[[#This Row],[chol]]&gt;$P$3, 1, 0)</f>
        <v>1</v>
      </c>
      <c r="H270">
        <f>IF(HeartData[[#This Row],[trestbps]]&gt;$P$4, 1, 0)</f>
        <v>1</v>
      </c>
      <c r="I270">
        <f>IF(HeartData[[#This Row],[oldpeak]]&gt;$P$5,1,0)</f>
        <v>0</v>
      </c>
      <c r="J270">
        <f>IF(HeartData[[#This Row],[exang]]="TRUE",1,0)</f>
        <v>0</v>
      </c>
      <c r="K270">
        <f>IF(HeartData[[#This Row],[fbs]]="TRUE",1,0)</f>
        <v>0</v>
      </c>
      <c r="L270">
        <f>IF(HeartData[[#This Row],[ca]]&gt;0,1,0)</f>
        <v>0</v>
      </c>
      <c r="M270">
        <f t="shared" si="13"/>
        <v>2</v>
      </c>
      <c r="N270">
        <f t="shared" si="14"/>
        <v>1</v>
      </c>
    </row>
    <row r="271" spans="1:14" x14ac:dyDescent="0.3">
      <c r="A271">
        <f>HeartData[[#This Row],[id]]</f>
        <v>270</v>
      </c>
      <c r="B271" s="4">
        <f>HeartData[[#This Row],[age]]</f>
        <v>42</v>
      </c>
      <c r="C271" t="str">
        <f>HeartData[[#This Row],[sex]]</f>
        <v>Male</v>
      </c>
      <c r="D271" t="str">
        <f t="shared" si="12"/>
        <v>Under 45</v>
      </c>
      <c r="E271" t="str">
        <f>HeartData[[#This Row],[cp]]</f>
        <v>non-anginal</v>
      </c>
      <c r="F271" t="str">
        <f>IF(HeartData[[#This Row],[num]]&gt;0, "Diseased", "Healthy")</f>
        <v>Healthy</v>
      </c>
      <c r="G271">
        <f>IF(HeartData[[#This Row],[chol]]&gt;$P$3, 1, 0)</f>
        <v>1</v>
      </c>
      <c r="H271">
        <f>IF(HeartData[[#This Row],[trestbps]]&gt;$P$4, 1, 0)</f>
        <v>1</v>
      </c>
      <c r="I271">
        <f>IF(HeartData[[#This Row],[oldpeak]]&gt;$P$5,1,0)</f>
        <v>0</v>
      </c>
      <c r="J271">
        <f>IF(HeartData[[#This Row],[exang]]="TRUE",1,0)</f>
        <v>0</v>
      </c>
      <c r="K271">
        <f>IF(HeartData[[#This Row],[fbs]]="TRUE",1,0)</f>
        <v>0</v>
      </c>
      <c r="L271">
        <f>IF(HeartData[[#This Row],[ca]]&gt;0,1,0)</f>
        <v>0</v>
      </c>
      <c r="M271">
        <f t="shared" si="13"/>
        <v>2</v>
      </c>
      <c r="N271">
        <f t="shared" si="14"/>
        <v>0</v>
      </c>
    </row>
    <row r="272" spans="1:14" x14ac:dyDescent="0.3">
      <c r="A272">
        <f>HeartData[[#This Row],[id]]</f>
        <v>271</v>
      </c>
      <c r="B272" s="4">
        <f>HeartData[[#This Row],[age]]</f>
        <v>61</v>
      </c>
      <c r="C272" t="str">
        <f>HeartData[[#This Row],[sex]]</f>
        <v>Male</v>
      </c>
      <c r="D272" t="str">
        <f t="shared" si="12"/>
        <v>55-64</v>
      </c>
      <c r="E272" t="str">
        <f>HeartData[[#This Row],[cp]]</f>
        <v>asymptomatic</v>
      </c>
      <c r="F272" t="str">
        <f>IF(HeartData[[#This Row],[num]]&gt;0, "Diseased", "Healthy")</f>
        <v>Diseased</v>
      </c>
      <c r="G272">
        <f>IF(HeartData[[#This Row],[chol]]&gt;$P$3, 1, 0)</f>
        <v>1</v>
      </c>
      <c r="H272">
        <f>IF(HeartData[[#This Row],[trestbps]]&gt;$P$4, 1, 0)</f>
        <v>1</v>
      </c>
      <c r="I272">
        <f>IF(HeartData[[#This Row],[oldpeak]]&gt;$P$5,1,0)</f>
        <v>1</v>
      </c>
      <c r="J272">
        <f>IF(HeartData[[#This Row],[exang]]="TRUE",1,0)</f>
        <v>1</v>
      </c>
      <c r="K272">
        <f>IF(HeartData[[#This Row],[fbs]]="TRUE",1,0)</f>
        <v>0</v>
      </c>
      <c r="L272">
        <f>IF(HeartData[[#This Row],[ca]]&gt;0,1,0)</f>
        <v>1</v>
      </c>
      <c r="M272">
        <f t="shared" si="13"/>
        <v>5</v>
      </c>
      <c r="N272">
        <f t="shared" si="14"/>
        <v>1</v>
      </c>
    </row>
    <row r="273" spans="1:14" x14ac:dyDescent="0.3">
      <c r="A273">
        <f>HeartData[[#This Row],[id]]</f>
        <v>272</v>
      </c>
      <c r="B273" s="4">
        <f>HeartData[[#This Row],[age]]</f>
        <v>66</v>
      </c>
      <c r="C273" t="str">
        <f>HeartData[[#This Row],[sex]]</f>
        <v>Male</v>
      </c>
      <c r="D273" t="str">
        <f t="shared" si="12"/>
        <v>65+</v>
      </c>
      <c r="E273" t="str">
        <f>HeartData[[#This Row],[cp]]</f>
        <v>asymptomatic</v>
      </c>
      <c r="F273" t="str">
        <f>IF(HeartData[[#This Row],[num]]&gt;0, "Diseased", "Healthy")</f>
        <v>Healthy</v>
      </c>
      <c r="G273">
        <f>IF(HeartData[[#This Row],[chol]]&gt;$P$3, 1, 0)</f>
        <v>1</v>
      </c>
      <c r="H273">
        <f>IF(HeartData[[#This Row],[trestbps]]&gt;$P$4, 1, 0)</f>
        <v>1</v>
      </c>
      <c r="I273">
        <f>IF(HeartData[[#This Row],[oldpeak]]&gt;$P$5,1,0)</f>
        <v>1</v>
      </c>
      <c r="J273">
        <f>IF(HeartData[[#This Row],[exang]]="TRUE",1,0)</f>
        <v>0</v>
      </c>
      <c r="K273">
        <f>IF(HeartData[[#This Row],[fbs]]="TRUE",1,0)</f>
        <v>0</v>
      </c>
      <c r="L273">
        <f>IF(HeartData[[#This Row],[ca]]&gt;0,1,0)</f>
        <v>0</v>
      </c>
      <c r="M273">
        <f t="shared" si="13"/>
        <v>3</v>
      </c>
      <c r="N273">
        <f t="shared" si="14"/>
        <v>0</v>
      </c>
    </row>
    <row r="274" spans="1:14" x14ac:dyDescent="0.3">
      <c r="A274">
        <f>HeartData[[#This Row],[id]]</f>
        <v>273</v>
      </c>
      <c r="B274" s="4">
        <f>HeartData[[#This Row],[age]]</f>
        <v>46</v>
      </c>
      <c r="C274" t="str">
        <f>HeartData[[#This Row],[sex]]</f>
        <v>Male</v>
      </c>
      <c r="D274" t="str">
        <f t="shared" si="12"/>
        <v>45-54</v>
      </c>
      <c r="E274" t="str">
        <f>HeartData[[#This Row],[cp]]</f>
        <v>asymptomatic</v>
      </c>
      <c r="F274" t="str">
        <f>IF(HeartData[[#This Row],[num]]&gt;0, "Diseased", "Healthy")</f>
        <v>Diseased</v>
      </c>
      <c r="G274">
        <f>IF(HeartData[[#This Row],[chol]]&gt;$P$3, 1, 0)</f>
        <v>1</v>
      </c>
      <c r="H274">
        <f>IF(HeartData[[#This Row],[trestbps]]&gt;$P$4, 1, 0)</f>
        <v>1</v>
      </c>
      <c r="I274">
        <f>IF(HeartData[[#This Row],[oldpeak]]&gt;$P$5,1,0)</f>
        <v>1</v>
      </c>
      <c r="J274">
        <f>IF(HeartData[[#This Row],[exang]]="TRUE",1,0)</f>
        <v>1</v>
      </c>
      <c r="K274">
        <f>IF(HeartData[[#This Row],[fbs]]="TRUE",1,0)</f>
        <v>0</v>
      </c>
      <c r="L274">
        <f>IF(HeartData[[#This Row],[ca]]&gt;0,1,0)</f>
        <v>1</v>
      </c>
      <c r="M274">
        <f t="shared" si="13"/>
        <v>5</v>
      </c>
      <c r="N274">
        <f t="shared" si="14"/>
        <v>1</v>
      </c>
    </row>
    <row r="275" spans="1:14" x14ac:dyDescent="0.3">
      <c r="A275">
        <f>HeartData[[#This Row],[id]]</f>
        <v>274</v>
      </c>
      <c r="B275" s="4">
        <f>HeartData[[#This Row],[age]]</f>
        <v>71</v>
      </c>
      <c r="C275" t="str">
        <f>HeartData[[#This Row],[sex]]</f>
        <v>Female</v>
      </c>
      <c r="D275" t="str">
        <f t="shared" si="12"/>
        <v>65+</v>
      </c>
      <c r="E275" t="str">
        <f>HeartData[[#This Row],[cp]]</f>
        <v>asymptomatic</v>
      </c>
      <c r="F275" t="str">
        <f>IF(HeartData[[#This Row],[num]]&gt;0, "Diseased", "Healthy")</f>
        <v>Healthy</v>
      </c>
      <c r="G275">
        <f>IF(HeartData[[#This Row],[chol]]&gt;$P$3, 1, 0)</f>
        <v>1</v>
      </c>
      <c r="H275">
        <f>IF(HeartData[[#This Row],[trestbps]]&gt;$P$4, 1, 0)</f>
        <v>1</v>
      </c>
      <c r="I275">
        <f>IF(HeartData[[#This Row],[oldpeak]]&gt;$P$5,1,0)</f>
        <v>1</v>
      </c>
      <c r="J275">
        <f>IF(HeartData[[#This Row],[exang]]="TRUE",1,0)</f>
        <v>0</v>
      </c>
      <c r="K275">
        <f>IF(HeartData[[#This Row],[fbs]]="TRUE",1,0)</f>
        <v>0</v>
      </c>
      <c r="L275">
        <f>IF(HeartData[[#This Row],[ca]]&gt;0,1,0)</f>
        <v>0</v>
      </c>
      <c r="M275">
        <f t="shared" si="13"/>
        <v>3</v>
      </c>
      <c r="N275">
        <f t="shared" si="14"/>
        <v>0</v>
      </c>
    </row>
    <row r="276" spans="1:14" x14ac:dyDescent="0.3">
      <c r="A276">
        <f>HeartData[[#This Row],[id]]</f>
        <v>275</v>
      </c>
      <c r="B276" s="4">
        <f>HeartData[[#This Row],[age]]</f>
        <v>59</v>
      </c>
      <c r="C276" t="str">
        <f>HeartData[[#This Row],[sex]]</f>
        <v>Male</v>
      </c>
      <c r="D276" t="str">
        <f t="shared" si="12"/>
        <v>55-64</v>
      </c>
      <c r="E276" t="str">
        <f>HeartData[[#This Row],[cp]]</f>
        <v>typical angina</v>
      </c>
      <c r="F276" t="str">
        <f>IF(HeartData[[#This Row],[num]]&gt;0, "Diseased", "Healthy")</f>
        <v>Diseased</v>
      </c>
      <c r="G276">
        <f>IF(HeartData[[#This Row],[chol]]&gt;$P$3, 1, 0)</f>
        <v>1</v>
      </c>
      <c r="H276">
        <f>IF(HeartData[[#This Row],[trestbps]]&gt;$P$4, 1, 0)</f>
        <v>1</v>
      </c>
      <c r="I276">
        <f>IF(HeartData[[#This Row],[oldpeak]]&gt;$P$5,1,0)</f>
        <v>1</v>
      </c>
      <c r="J276">
        <f>IF(HeartData[[#This Row],[exang]]="TRUE",1,0)</f>
        <v>0</v>
      </c>
      <c r="K276">
        <f>IF(HeartData[[#This Row],[fbs]]="TRUE",1,0)</f>
        <v>0</v>
      </c>
      <c r="L276">
        <f>IF(HeartData[[#This Row],[ca]]&gt;0,1,0)</f>
        <v>1</v>
      </c>
      <c r="M276">
        <f t="shared" si="13"/>
        <v>4</v>
      </c>
      <c r="N276">
        <f t="shared" si="14"/>
        <v>1</v>
      </c>
    </row>
    <row r="277" spans="1:14" x14ac:dyDescent="0.3">
      <c r="A277">
        <f>HeartData[[#This Row],[id]]</f>
        <v>276</v>
      </c>
      <c r="B277" s="4">
        <f>HeartData[[#This Row],[age]]</f>
        <v>64</v>
      </c>
      <c r="C277" t="str">
        <f>HeartData[[#This Row],[sex]]</f>
        <v>Male</v>
      </c>
      <c r="D277" t="str">
        <f t="shared" si="12"/>
        <v>55-64</v>
      </c>
      <c r="E277" t="str">
        <f>HeartData[[#This Row],[cp]]</f>
        <v>typical angina</v>
      </c>
      <c r="F277" t="str">
        <f>IF(HeartData[[#This Row],[num]]&gt;0, "Diseased", "Healthy")</f>
        <v>Healthy</v>
      </c>
      <c r="G277">
        <f>IF(HeartData[[#This Row],[chol]]&gt;$P$3, 1, 0)</f>
        <v>1</v>
      </c>
      <c r="H277">
        <f>IF(HeartData[[#This Row],[trestbps]]&gt;$P$4, 1, 0)</f>
        <v>1</v>
      </c>
      <c r="I277">
        <f>IF(HeartData[[#This Row],[oldpeak]]&gt;$P$5,1,0)</f>
        <v>1</v>
      </c>
      <c r="J277">
        <f>IF(HeartData[[#This Row],[exang]]="TRUE",1,0)</f>
        <v>0</v>
      </c>
      <c r="K277">
        <f>IF(HeartData[[#This Row],[fbs]]="TRUE",1,0)</f>
        <v>0</v>
      </c>
      <c r="L277">
        <f>IF(HeartData[[#This Row],[ca]]&gt;0,1,0)</f>
        <v>0</v>
      </c>
      <c r="M277">
        <f t="shared" si="13"/>
        <v>3</v>
      </c>
      <c r="N277">
        <f t="shared" si="14"/>
        <v>0</v>
      </c>
    </row>
    <row r="278" spans="1:14" x14ac:dyDescent="0.3">
      <c r="A278">
        <f>HeartData[[#This Row],[id]]</f>
        <v>277</v>
      </c>
      <c r="B278" s="4">
        <f>HeartData[[#This Row],[age]]</f>
        <v>66</v>
      </c>
      <c r="C278" t="str">
        <f>HeartData[[#This Row],[sex]]</f>
        <v>Female</v>
      </c>
      <c r="D278" t="str">
        <f t="shared" si="12"/>
        <v>65+</v>
      </c>
      <c r="E278" t="str">
        <f>HeartData[[#This Row],[cp]]</f>
        <v>non-anginal</v>
      </c>
      <c r="F278" t="str">
        <f>IF(HeartData[[#This Row],[num]]&gt;0, "Diseased", "Healthy")</f>
        <v>Healthy</v>
      </c>
      <c r="G278">
        <f>IF(HeartData[[#This Row],[chol]]&gt;$P$3, 1, 0)</f>
        <v>1</v>
      </c>
      <c r="H278">
        <f>IF(HeartData[[#This Row],[trestbps]]&gt;$P$4, 1, 0)</f>
        <v>1</v>
      </c>
      <c r="I278">
        <f>IF(HeartData[[#This Row],[oldpeak]]&gt;$P$5,1,0)</f>
        <v>0</v>
      </c>
      <c r="J278">
        <f>IF(HeartData[[#This Row],[exang]]="TRUE",1,0)</f>
        <v>0</v>
      </c>
      <c r="K278">
        <f>IF(HeartData[[#This Row],[fbs]]="TRUE",1,0)</f>
        <v>0</v>
      </c>
      <c r="L278">
        <f>IF(HeartData[[#This Row],[ca]]&gt;0,1,0)</f>
        <v>1</v>
      </c>
      <c r="M278">
        <f t="shared" si="13"/>
        <v>3</v>
      </c>
      <c r="N278">
        <f t="shared" si="14"/>
        <v>0</v>
      </c>
    </row>
    <row r="279" spans="1:14" x14ac:dyDescent="0.3">
      <c r="A279">
        <f>HeartData[[#This Row],[id]]</f>
        <v>278</v>
      </c>
      <c r="B279" s="4">
        <f>HeartData[[#This Row],[age]]</f>
        <v>39</v>
      </c>
      <c r="C279" t="str">
        <f>HeartData[[#This Row],[sex]]</f>
        <v>Female</v>
      </c>
      <c r="D279" t="str">
        <f t="shared" si="12"/>
        <v>Under 45</v>
      </c>
      <c r="E279" t="str">
        <f>HeartData[[#This Row],[cp]]</f>
        <v>non-anginal</v>
      </c>
      <c r="F279" t="str">
        <f>IF(HeartData[[#This Row],[num]]&gt;0, "Diseased", "Healthy")</f>
        <v>Healthy</v>
      </c>
      <c r="G279">
        <f>IF(HeartData[[#This Row],[chol]]&gt;$P$3, 1, 0)</f>
        <v>1</v>
      </c>
      <c r="H279">
        <f>IF(HeartData[[#This Row],[trestbps]]&gt;$P$4, 1, 0)</f>
        <v>1</v>
      </c>
      <c r="I279">
        <f>IF(HeartData[[#This Row],[oldpeak]]&gt;$P$5,1,0)</f>
        <v>0</v>
      </c>
      <c r="J279">
        <f>IF(HeartData[[#This Row],[exang]]="TRUE",1,0)</f>
        <v>0</v>
      </c>
      <c r="K279">
        <f>IF(HeartData[[#This Row],[fbs]]="TRUE",1,0)</f>
        <v>0</v>
      </c>
      <c r="L279">
        <f>IF(HeartData[[#This Row],[ca]]&gt;0,1,0)</f>
        <v>0</v>
      </c>
      <c r="M279">
        <f t="shared" si="13"/>
        <v>2</v>
      </c>
      <c r="N279">
        <f t="shared" si="14"/>
        <v>0</v>
      </c>
    </row>
    <row r="280" spans="1:14" x14ac:dyDescent="0.3">
      <c r="A280">
        <f>HeartData[[#This Row],[id]]</f>
        <v>279</v>
      </c>
      <c r="B280" s="4">
        <f>HeartData[[#This Row],[age]]</f>
        <v>57</v>
      </c>
      <c r="C280" t="str">
        <f>HeartData[[#This Row],[sex]]</f>
        <v>Male</v>
      </c>
      <c r="D280" t="str">
        <f t="shared" si="12"/>
        <v>55-64</v>
      </c>
      <c r="E280" t="str">
        <f>HeartData[[#This Row],[cp]]</f>
        <v>atypical angina</v>
      </c>
      <c r="F280" t="str">
        <f>IF(HeartData[[#This Row],[num]]&gt;0, "Diseased", "Healthy")</f>
        <v>Diseased</v>
      </c>
      <c r="G280">
        <f>IF(HeartData[[#This Row],[chol]]&gt;$P$3, 1, 0)</f>
        <v>1</v>
      </c>
      <c r="H280">
        <f>IF(HeartData[[#This Row],[trestbps]]&gt;$P$4, 1, 0)</f>
        <v>1</v>
      </c>
      <c r="I280">
        <f>IF(HeartData[[#This Row],[oldpeak]]&gt;$P$5,1,0)</f>
        <v>0</v>
      </c>
      <c r="J280">
        <f>IF(HeartData[[#This Row],[exang]]="TRUE",1,0)</f>
        <v>0</v>
      </c>
      <c r="K280">
        <f>IF(HeartData[[#This Row],[fbs]]="TRUE",1,0)</f>
        <v>0</v>
      </c>
      <c r="L280">
        <f>IF(HeartData[[#This Row],[ca]]&gt;0,1,0)</f>
        <v>1</v>
      </c>
      <c r="M280">
        <f t="shared" si="13"/>
        <v>3</v>
      </c>
      <c r="N280">
        <f t="shared" si="14"/>
        <v>1</v>
      </c>
    </row>
    <row r="281" spans="1:14" x14ac:dyDescent="0.3">
      <c r="A281">
        <f>HeartData[[#This Row],[id]]</f>
        <v>280</v>
      </c>
      <c r="B281" s="4">
        <f>HeartData[[#This Row],[age]]</f>
        <v>58</v>
      </c>
      <c r="C281" t="str">
        <f>HeartData[[#This Row],[sex]]</f>
        <v>Female</v>
      </c>
      <c r="D281" t="str">
        <f t="shared" si="12"/>
        <v>55-64</v>
      </c>
      <c r="E281" t="str">
        <f>HeartData[[#This Row],[cp]]</f>
        <v>asymptomatic</v>
      </c>
      <c r="F281" t="str">
        <f>IF(HeartData[[#This Row],[num]]&gt;0, "Diseased", "Healthy")</f>
        <v>Healthy</v>
      </c>
      <c r="G281">
        <f>IF(HeartData[[#This Row],[chol]]&gt;$P$3, 1, 0)</f>
        <v>1</v>
      </c>
      <c r="H281">
        <f>IF(HeartData[[#This Row],[trestbps]]&gt;$P$4, 1, 0)</f>
        <v>1</v>
      </c>
      <c r="I281">
        <f>IF(HeartData[[#This Row],[oldpeak]]&gt;$P$5,1,0)</f>
        <v>1</v>
      </c>
      <c r="J281">
        <f>IF(HeartData[[#This Row],[exang]]="TRUE",1,0)</f>
        <v>0</v>
      </c>
      <c r="K281">
        <f>IF(HeartData[[#This Row],[fbs]]="TRUE",1,0)</f>
        <v>0</v>
      </c>
      <c r="L281">
        <f>IF(HeartData[[#This Row],[ca]]&gt;0,1,0)</f>
        <v>0</v>
      </c>
      <c r="M281">
        <f t="shared" si="13"/>
        <v>3</v>
      </c>
      <c r="N281">
        <f t="shared" si="14"/>
        <v>0</v>
      </c>
    </row>
    <row r="282" spans="1:14" x14ac:dyDescent="0.3">
      <c r="A282">
        <f>HeartData[[#This Row],[id]]</f>
        <v>281</v>
      </c>
      <c r="B282" s="4">
        <f>HeartData[[#This Row],[age]]</f>
        <v>57</v>
      </c>
      <c r="C282" t="str">
        <f>HeartData[[#This Row],[sex]]</f>
        <v>Male</v>
      </c>
      <c r="D282" t="str">
        <f t="shared" si="12"/>
        <v>55-64</v>
      </c>
      <c r="E282" t="str">
        <f>HeartData[[#This Row],[cp]]</f>
        <v>asymptomatic</v>
      </c>
      <c r="F282" t="str">
        <f>IF(HeartData[[#This Row],[num]]&gt;0, "Diseased", "Healthy")</f>
        <v>Diseased</v>
      </c>
      <c r="G282">
        <f>IF(HeartData[[#This Row],[chol]]&gt;$P$3, 1, 0)</f>
        <v>1</v>
      </c>
      <c r="H282">
        <f>IF(HeartData[[#This Row],[trestbps]]&gt;$P$4, 1, 0)</f>
        <v>1</v>
      </c>
      <c r="I282">
        <f>IF(HeartData[[#This Row],[oldpeak]]&gt;$P$5,1,0)</f>
        <v>1</v>
      </c>
      <c r="J282">
        <f>IF(HeartData[[#This Row],[exang]]="TRUE",1,0)</f>
        <v>1</v>
      </c>
      <c r="K282">
        <f>IF(HeartData[[#This Row],[fbs]]="TRUE",1,0)</f>
        <v>0</v>
      </c>
      <c r="L282">
        <f>IF(HeartData[[#This Row],[ca]]&gt;0,1,0)</f>
        <v>1</v>
      </c>
      <c r="M282">
        <f t="shared" si="13"/>
        <v>5</v>
      </c>
      <c r="N282">
        <f t="shared" si="14"/>
        <v>1</v>
      </c>
    </row>
    <row r="283" spans="1:14" x14ac:dyDescent="0.3">
      <c r="A283">
        <f>HeartData[[#This Row],[id]]</f>
        <v>282</v>
      </c>
      <c r="B283" s="4">
        <f>HeartData[[#This Row],[age]]</f>
        <v>47</v>
      </c>
      <c r="C283" t="str">
        <f>HeartData[[#This Row],[sex]]</f>
        <v>Male</v>
      </c>
      <c r="D283" t="str">
        <f t="shared" si="12"/>
        <v>45-54</v>
      </c>
      <c r="E283" t="str">
        <f>HeartData[[#This Row],[cp]]</f>
        <v>non-anginal</v>
      </c>
      <c r="F283" t="str">
        <f>IF(HeartData[[#This Row],[num]]&gt;0, "Diseased", "Healthy")</f>
        <v>Healthy</v>
      </c>
      <c r="G283">
        <f>IF(HeartData[[#This Row],[chol]]&gt;$P$3, 1, 0)</f>
        <v>1</v>
      </c>
      <c r="H283">
        <f>IF(HeartData[[#This Row],[trestbps]]&gt;$P$4, 1, 0)</f>
        <v>1</v>
      </c>
      <c r="I283">
        <f>IF(HeartData[[#This Row],[oldpeak]]&gt;$P$5,1,0)</f>
        <v>0</v>
      </c>
      <c r="J283">
        <f>IF(HeartData[[#This Row],[exang]]="TRUE",1,0)</f>
        <v>0</v>
      </c>
      <c r="K283">
        <f>IF(HeartData[[#This Row],[fbs]]="TRUE",1,0)</f>
        <v>0</v>
      </c>
      <c r="L283">
        <f>IF(HeartData[[#This Row],[ca]]&gt;0,1,0)</f>
        <v>0</v>
      </c>
      <c r="M283">
        <f t="shared" si="13"/>
        <v>2</v>
      </c>
      <c r="N283">
        <f t="shared" si="14"/>
        <v>0</v>
      </c>
    </row>
    <row r="284" spans="1:14" x14ac:dyDescent="0.3">
      <c r="A284">
        <f>HeartData[[#This Row],[id]]</f>
        <v>283</v>
      </c>
      <c r="B284" s="4">
        <f>HeartData[[#This Row],[age]]</f>
        <v>55</v>
      </c>
      <c r="C284" t="str">
        <f>HeartData[[#This Row],[sex]]</f>
        <v>Female</v>
      </c>
      <c r="D284" t="str">
        <f t="shared" si="12"/>
        <v>55-64</v>
      </c>
      <c r="E284" t="str">
        <f>HeartData[[#This Row],[cp]]</f>
        <v>asymptomatic</v>
      </c>
      <c r="F284" t="str">
        <f>IF(HeartData[[#This Row],[num]]&gt;0, "Diseased", "Healthy")</f>
        <v>Diseased</v>
      </c>
      <c r="G284">
        <f>IF(HeartData[[#This Row],[chol]]&gt;$P$3, 1, 0)</f>
        <v>1</v>
      </c>
      <c r="H284">
        <f>IF(HeartData[[#This Row],[trestbps]]&gt;$P$4, 1, 0)</f>
        <v>1</v>
      </c>
      <c r="I284">
        <f>IF(HeartData[[#This Row],[oldpeak]]&gt;$P$5,1,0)</f>
        <v>1</v>
      </c>
      <c r="J284">
        <f>IF(HeartData[[#This Row],[exang]]="TRUE",1,0)</f>
        <v>1</v>
      </c>
      <c r="K284">
        <f>IF(HeartData[[#This Row],[fbs]]="TRUE",1,0)</f>
        <v>0</v>
      </c>
      <c r="L284">
        <f>IF(HeartData[[#This Row],[ca]]&gt;0,1,0)</f>
        <v>1</v>
      </c>
      <c r="M284">
        <f t="shared" si="13"/>
        <v>5</v>
      </c>
      <c r="N284">
        <f t="shared" si="14"/>
        <v>1</v>
      </c>
    </row>
    <row r="285" spans="1:14" x14ac:dyDescent="0.3">
      <c r="A285">
        <f>HeartData[[#This Row],[id]]</f>
        <v>284</v>
      </c>
      <c r="B285" s="4">
        <f>HeartData[[#This Row],[age]]</f>
        <v>35</v>
      </c>
      <c r="C285" t="str">
        <f>HeartData[[#This Row],[sex]]</f>
        <v>Male</v>
      </c>
      <c r="D285" t="str">
        <f t="shared" si="12"/>
        <v>Under 45</v>
      </c>
      <c r="E285" t="str">
        <f>HeartData[[#This Row],[cp]]</f>
        <v>atypical angina</v>
      </c>
      <c r="F285" t="str">
        <f>IF(HeartData[[#This Row],[num]]&gt;0, "Diseased", "Healthy")</f>
        <v>Healthy</v>
      </c>
      <c r="G285">
        <f>IF(HeartData[[#This Row],[chol]]&gt;$P$3, 1, 0)</f>
        <v>1</v>
      </c>
      <c r="H285">
        <f>IF(HeartData[[#This Row],[trestbps]]&gt;$P$4, 1, 0)</f>
        <v>1</v>
      </c>
      <c r="I285">
        <f>IF(HeartData[[#This Row],[oldpeak]]&gt;$P$5,1,0)</f>
        <v>0</v>
      </c>
      <c r="J285">
        <f>IF(HeartData[[#This Row],[exang]]="TRUE",1,0)</f>
        <v>0</v>
      </c>
      <c r="K285">
        <f>IF(HeartData[[#This Row],[fbs]]="TRUE",1,0)</f>
        <v>0</v>
      </c>
      <c r="L285">
        <f>IF(HeartData[[#This Row],[ca]]&gt;0,1,0)</f>
        <v>0</v>
      </c>
      <c r="M285">
        <f t="shared" si="13"/>
        <v>2</v>
      </c>
      <c r="N285">
        <f t="shared" si="14"/>
        <v>0</v>
      </c>
    </row>
    <row r="286" spans="1:14" x14ac:dyDescent="0.3">
      <c r="A286">
        <f>HeartData[[#This Row],[id]]</f>
        <v>285</v>
      </c>
      <c r="B286" s="4">
        <f>HeartData[[#This Row],[age]]</f>
        <v>61</v>
      </c>
      <c r="C286" t="str">
        <f>HeartData[[#This Row],[sex]]</f>
        <v>Male</v>
      </c>
      <c r="D286" t="str">
        <f t="shared" si="12"/>
        <v>55-64</v>
      </c>
      <c r="E286" t="str">
        <f>HeartData[[#This Row],[cp]]</f>
        <v>asymptomatic</v>
      </c>
      <c r="F286" t="str">
        <f>IF(HeartData[[#This Row],[num]]&gt;0, "Diseased", "Healthy")</f>
        <v>Diseased</v>
      </c>
      <c r="G286">
        <f>IF(HeartData[[#This Row],[chol]]&gt;$P$3, 1, 0)</f>
        <v>1</v>
      </c>
      <c r="H286">
        <f>IF(HeartData[[#This Row],[trestbps]]&gt;$P$4, 1, 0)</f>
        <v>1</v>
      </c>
      <c r="I286">
        <f>IF(HeartData[[#This Row],[oldpeak]]&gt;$P$5,1,0)</f>
        <v>0</v>
      </c>
      <c r="J286">
        <f>IF(HeartData[[#This Row],[exang]]="TRUE",1,0)</f>
        <v>0</v>
      </c>
      <c r="K286">
        <f>IF(HeartData[[#This Row],[fbs]]="TRUE",1,0)</f>
        <v>0</v>
      </c>
      <c r="L286">
        <f>IF(HeartData[[#This Row],[ca]]&gt;0,1,0)</f>
        <v>1</v>
      </c>
      <c r="M286">
        <f t="shared" si="13"/>
        <v>3</v>
      </c>
      <c r="N286">
        <f t="shared" si="14"/>
        <v>1</v>
      </c>
    </row>
    <row r="287" spans="1:14" x14ac:dyDescent="0.3">
      <c r="A287">
        <f>HeartData[[#This Row],[id]]</f>
        <v>286</v>
      </c>
      <c r="B287" s="4">
        <f>HeartData[[#This Row],[age]]</f>
        <v>58</v>
      </c>
      <c r="C287" t="str">
        <f>HeartData[[#This Row],[sex]]</f>
        <v>Male</v>
      </c>
      <c r="D287" t="str">
        <f t="shared" si="12"/>
        <v>55-64</v>
      </c>
      <c r="E287" t="str">
        <f>HeartData[[#This Row],[cp]]</f>
        <v>asymptomatic</v>
      </c>
      <c r="F287" t="str">
        <f>IF(HeartData[[#This Row],[num]]&gt;0, "Diseased", "Healthy")</f>
        <v>Diseased</v>
      </c>
      <c r="G287">
        <f>IF(HeartData[[#This Row],[chol]]&gt;$P$3, 1, 0)</f>
        <v>1</v>
      </c>
      <c r="H287">
        <f>IF(HeartData[[#This Row],[trestbps]]&gt;$P$4, 1, 0)</f>
        <v>1</v>
      </c>
      <c r="I287">
        <f>IF(HeartData[[#This Row],[oldpeak]]&gt;$P$5,1,0)</f>
        <v>1</v>
      </c>
      <c r="J287">
        <f>IF(HeartData[[#This Row],[exang]]="TRUE",1,0)</f>
        <v>0</v>
      </c>
      <c r="K287">
        <f>IF(HeartData[[#This Row],[fbs]]="TRUE",1,0)</f>
        <v>0</v>
      </c>
      <c r="L287">
        <f>IF(HeartData[[#This Row],[ca]]&gt;0,1,0)</f>
        <v>1</v>
      </c>
      <c r="M287">
        <f t="shared" si="13"/>
        <v>4</v>
      </c>
      <c r="N287">
        <f t="shared" si="14"/>
        <v>1</v>
      </c>
    </row>
    <row r="288" spans="1:14" x14ac:dyDescent="0.3">
      <c r="A288">
        <f>HeartData[[#This Row],[id]]</f>
        <v>287</v>
      </c>
      <c r="B288" s="4">
        <f>HeartData[[#This Row],[age]]</f>
        <v>58</v>
      </c>
      <c r="C288" t="str">
        <f>HeartData[[#This Row],[sex]]</f>
        <v>Female</v>
      </c>
      <c r="D288" t="str">
        <f t="shared" si="12"/>
        <v>55-64</v>
      </c>
      <c r="E288" t="str">
        <f>HeartData[[#This Row],[cp]]</f>
        <v>asymptomatic</v>
      </c>
      <c r="F288" t="str">
        <f>IF(HeartData[[#This Row],[num]]&gt;0, "Diseased", "Healthy")</f>
        <v>Diseased</v>
      </c>
      <c r="G288">
        <f>IF(HeartData[[#This Row],[chol]]&gt;$P$3, 1, 0)</f>
        <v>1</v>
      </c>
      <c r="H288">
        <f>IF(HeartData[[#This Row],[trestbps]]&gt;$P$4, 1, 0)</f>
        <v>1</v>
      </c>
      <c r="I288">
        <f>IF(HeartData[[#This Row],[oldpeak]]&gt;$P$5,1,0)</f>
        <v>1</v>
      </c>
      <c r="J288">
        <f>IF(HeartData[[#This Row],[exang]]="TRUE",1,0)</f>
        <v>1</v>
      </c>
      <c r="K288">
        <f>IF(HeartData[[#This Row],[fbs]]="TRUE",1,0)</f>
        <v>1</v>
      </c>
      <c r="L288">
        <f>IF(HeartData[[#This Row],[ca]]&gt;0,1,0)</f>
        <v>1</v>
      </c>
      <c r="M288">
        <f t="shared" si="13"/>
        <v>6</v>
      </c>
      <c r="N288">
        <f t="shared" si="14"/>
        <v>1</v>
      </c>
    </row>
    <row r="289" spans="1:14" x14ac:dyDescent="0.3">
      <c r="A289">
        <f>HeartData[[#This Row],[id]]</f>
        <v>288</v>
      </c>
      <c r="B289" s="4">
        <f>HeartData[[#This Row],[age]]</f>
        <v>58</v>
      </c>
      <c r="C289" t="str">
        <f>HeartData[[#This Row],[sex]]</f>
        <v>Male</v>
      </c>
      <c r="D289" t="str">
        <f t="shared" si="12"/>
        <v>55-64</v>
      </c>
      <c r="E289" t="str">
        <f>HeartData[[#This Row],[cp]]</f>
        <v>atypical angina</v>
      </c>
      <c r="F289" t="str">
        <f>IF(HeartData[[#This Row],[num]]&gt;0, "Diseased", "Healthy")</f>
        <v>Healthy</v>
      </c>
      <c r="G289">
        <f>IF(HeartData[[#This Row],[chol]]&gt;$P$3, 1, 0)</f>
        <v>1</v>
      </c>
      <c r="H289">
        <f>IF(HeartData[[#This Row],[trestbps]]&gt;$P$4, 1, 0)</f>
        <v>1</v>
      </c>
      <c r="I289">
        <f>IF(HeartData[[#This Row],[oldpeak]]&gt;$P$5,1,0)</f>
        <v>1</v>
      </c>
      <c r="J289">
        <f>IF(HeartData[[#This Row],[exang]]="TRUE",1,0)</f>
        <v>0</v>
      </c>
      <c r="K289">
        <f>IF(HeartData[[#This Row],[fbs]]="TRUE",1,0)</f>
        <v>0</v>
      </c>
      <c r="L289">
        <f>IF(HeartData[[#This Row],[ca]]&gt;0,1,0)</f>
        <v>0</v>
      </c>
      <c r="M289">
        <f t="shared" si="13"/>
        <v>3</v>
      </c>
      <c r="N289">
        <f t="shared" si="14"/>
        <v>0</v>
      </c>
    </row>
    <row r="290" spans="1:14" x14ac:dyDescent="0.3">
      <c r="A290">
        <f>HeartData[[#This Row],[id]]</f>
        <v>289</v>
      </c>
      <c r="B290" s="4">
        <f>HeartData[[#This Row],[age]]</f>
        <v>56</v>
      </c>
      <c r="C290" t="str">
        <f>HeartData[[#This Row],[sex]]</f>
        <v>Male</v>
      </c>
      <c r="D290" t="str">
        <f t="shared" si="12"/>
        <v>55-64</v>
      </c>
      <c r="E290" t="str">
        <f>HeartData[[#This Row],[cp]]</f>
        <v>atypical angina</v>
      </c>
      <c r="F290" t="str">
        <f>IF(HeartData[[#This Row],[num]]&gt;0, "Diseased", "Healthy")</f>
        <v>Healthy</v>
      </c>
      <c r="G290">
        <f>IF(HeartData[[#This Row],[chol]]&gt;$P$3, 1, 0)</f>
        <v>1</v>
      </c>
      <c r="H290">
        <f>IF(HeartData[[#This Row],[trestbps]]&gt;$P$4, 1, 0)</f>
        <v>1</v>
      </c>
      <c r="I290">
        <f>IF(HeartData[[#This Row],[oldpeak]]&gt;$P$5,1,0)</f>
        <v>0</v>
      </c>
      <c r="J290">
        <f>IF(HeartData[[#This Row],[exang]]="TRUE",1,0)</f>
        <v>0</v>
      </c>
      <c r="K290">
        <f>IF(HeartData[[#This Row],[fbs]]="TRUE",1,0)</f>
        <v>0</v>
      </c>
      <c r="L290">
        <f>IF(HeartData[[#This Row],[ca]]&gt;0,1,0)</f>
        <v>0</v>
      </c>
      <c r="M290">
        <f t="shared" si="13"/>
        <v>2</v>
      </c>
      <c r="N290">
        <f t="shared" si="14"/>
        <v>0</v>
      </c>
    </row>
    <row r="291" spans="1:14" x14ac:dyDescent="0.3">
      <c r="A291">
        <f>HeartData[[#This Row],[id]]</f>
        <v>290</v>
      </c>
      <c r="B291" s="4">
        <f>HeartData[[#This Row],[age]]</f>
        <v>56</v>
      </c>
      <c r="C291" t="str">
        <f>HeartData[[#This Row],[sex]]</f>
        <v>Male</v>
      </c>
      <c r="D291" t="str">
        <f t="shared" si="12"/>
        <v>55-64</v>
      </c>
      <c r="E291" t="str">
        <f>HeartData[[#This Row],[cp]]</f>
        <v>atypical angina</v>
      </c>
      <c r="F291" t="str">
        <f>IF(HeartData[[#This Row],[num]]&gt;0, "Diseased", "Healthy")</f>
        <v>Healthy</v>
      </c>
      <c r="G291">
        <f>IF(HeartData[[#This Row],[chol]]&gt;$P$3, 1, 0)</f>
        <v>1</v>
      </c>
      <c r="H291">
        <f>IF(HeartData[[#This Row],[trestbps]]&gt;$P$4, 1, 0)</f>
        <v>1</v>
      </c>
      <c r="I291">
        <f>IF(HeartData[[#This Row],[oldpeak]]&gt;$P$5,1,0)</f>
        <v>0</v>
      </c>
      <c r="J291">
        <f>IF(HeartData[[#This Row],[exang]]="TRUE",1,0)</f>
        <v>0</v>
      </c>
      <c r="K291">
        <f>IF(HeartData[[#This Row],[fbs]]="TRUE",1,0)</f>
        <v>0</v>
      </c>
      <c r="L291">
        <f>IF(HeartData[[#This Row],[ca]]&gt;0,1,0)</f>
        <v>0</v>
      </c>
      <c r="M291">
        <f t="shared" si="13"/>
        <v>2</v>
      </c>
      <c r="N291">
        <f t="shared" si="14"/>
        <v>0</v>
      </c>
    </row>
    <row r="292" spans="1:14" x14ac:dyDescent="0.3">
      <c r="A292">
        <f>HeartData[[#This Row],[id]]</f>
        <v>291</v>
      </c>
      <c r="B292" s="4">
        <f>HeartData[[#This Row],[age]]</f>
        <v>67</v>
      </c>
      <c r="C292" t="str">
        <f>HeartData[[#This Row],[sex]]</f>
        <v>Male</v>
      </c>
      <c r="D292" t="str">
        <f t="shared" si="12"/>
        <v>65+</v>
      </c>
      <c r="E292" t="str">
        <f>HeartData[[#This Row],[cp]]</f>
        <v>non-anginal</v>
      </c>
      <c r="F292" t="str">
        <f>IF(HeartData[[#This Row],[num]]&gt;0, "Diseased", "Healthy")</f>
        <v>Diseased</v>
      </c>
      <c r="G292">
        <f>IF(HeartData[[#This Row],[chol]]&gt;$P$3, 1, 0)</f>
        <v>1</v>
      </c>
      <c r="H292">
        <f>IF(HeartData[[#This Row],[trestbps]]&gt;$P$4, 1, 0)</f>
        <v>1</v>
      </c>
      <c r="I292">
        <f>IF(HeartData[[#This Row],[oldpeak]]&gt;$P$5,1,0)</f>
        <v>1</v>
      </c>
      <c r="J292">
        <f>IF(HeartData[[#This Row],[exang]]="TRUE",1,0)</f>
        <v>0</v>
      </c>
      <c r="K292">
        <f>IF(HeartData[[#This Row],[fbs]]="TRUE",1,0)</f>
        <v>0</v>
      </c>
      <c r="L292">
        <f>IF(HeartData[[#This Row],[ca]]&gt;0,1,0)</f>
        <v>0</v>
      </c>
      <c r="M292">
        <f t="shared" si="13"/>
        <v>3</v>
      </c>
      <c r="N292">
        <f t="shared" si="14"/>
        <v>1</v>
      </c>
    </row>
    <row r="293" spans="1:14" x14ac:dyDescent="0.3">
      <c r="A293">
        <f>HeartData[[#This Row],[id]]</f>
        <v>292</v>
      </c>
      <c r="B293" s="4">
        <f>HeartData[[#This Row],[age]]</f>
        <v>55</v>
      </c>
      <c r="C293" t="str">
        <f>HeartData[[#This Row],[sex]]</f>
        <v>Female</v>
      </c>
      <c r="D293" t="str">
        <f t="shared" si="12"/>
        <v>55-64</v>
      </c>
      <c r="E293" t="str">
        <f>HeartData[[#This Row],[cp]]</f>
        <v>atypical angina</v>
      </c>
      <c r="F293" t="str">
        <f>IF(HeartData[[#This Row],[num]]&gt;0, "Diseased", "Healthy")</f>
        <v>Healthy</v>
      </c>
      <c r="G293">
        <f>IF(HeartData[[#This Row],[chol]]&gt;$P$3, 1, 0)</f>
        <v>1</v>
      </c>
      <c r="H293">
        <f>IF(HeartData[[#This Row],[trestbps]]&gt;$P$4, 1, 0)</f>
        <v>1</v>
      </c>
      <c r="I293">
        <f>IF(HeartData[[#This Row],[oldpeak]]&gt;$P$5,1,0)</f>
        <v>1</v>
      </c>
      <c r="J293">
        <f>IF(HeartData[[#This Row],[exang]]="TRUE",1,0)</f>
        <v>0</v>
      </c>
      <c r="K293">
        <f>IF(HeartData[[#This Row],[fbs]]="TRUE",1,0)</f>
        <v>0</v>
      </c>
      <c r="L293">
        <f>IF(HeartData[[#This Row],[ca]]&gt;0,1,0)</f>
        <v>0</v>
      </c>
      <c r="M293">
        <f t="shared" si="13"/>
        <v>3</v>
      </c>
      <c r="N293">
        <f t="shared" si="14"/>
        <v>0</v>
      </c>
    </row>
    <row r="294" spans="1:14" x14ac:dyDescent="0.3">
      <c r="A294">
        <f>HeartData[[#This Row],[id]]</f>
        <v>293</v>
      </c>
      <c r="B294" s="4">
        <f>HeartData[[#This Row],[age]]</f>
        <v>44</v>
      </c>
      <c r="C294" t="str">
        <f>HeartData[[#This Row],[sex]]</f>
        <v>Male</v>
      </c>
      <c r="D294" t="str">
        <f t="shared" si="12"/>
        <v>Under 45</v>
      </c>
      <c r="E294" t="str">
        <f>HeartData[[#This Row],[cp]]</f>
        <v>asymptomatic</v>
      </c>
      <c r="F294" t="str">
        <f>IF(HeartData[[#This Row],[num]]&gt;0, "Diseased", "Healthy")</f>
        <v>Diseased</v>
      </c>
      <c r="G294">
        <f>IF(HeartData[[#This Row],[chol]]&gt;$P$3, 1, 0)</f>
        <v>1</v>
      </c>
      <c r="H294">
        <f>IF(HeartData[[#This Row],[trestbps]]&gt;$P$4, 1, 0)</f>
        <v>1</v>
      </c>
      <c r="I294">
        <f>IF(HeartData[[#This Row],[oldpeak]]&gt;$P$5,1,0)</f>
        <v>1</v>
      </c>
      <c r="J294">
        <f>IF(HeartData[[#This Row],[exang]]="TRUE",1,0)</f>
        <v>1</v>
      </c>
      <c r="K294">
        <f>IF(HeartData[[#This Row],[fbs]]="TRUE",1,0)</f>
        <v>0</v>
      </c>
      <c r="L294">
        <f>IF(HeartData[[#This Row],[ca]]&gt;0,1,0)</f>
        <v>0</v>
      </c>
      <c r="M294">
        <f t="shared" si="13"/>
        <v>4</v>
      </c>
      <c r="N294">
        <f t="shared" si="14"/>
        <v>1</v>
      </c>
    </row>
    <row r="295" spans="1:14" x14ac:dyDescent="0.3">
      <c r="A295">
        <f>HeartData[[#This Row],[id]]</f>
        <v>294</v>
      </c>
      <c r="B295" s="4">
        <f>HeartData[[#This Row],[age]]</f>
        <v>63</v>
      </c>
      <c r="C295" t="str">
        <f>HeartData[[#This Row],[sex]]</f>
        <v>Male</v>
      </c>
      <c r="D295" t="str">
        <f t="shared" si="12"/>
        <v>55-64</v>
      </c>
      <c r="E295" t="str">
        <f>HeartData[[#This Row],[cp]]</f>
        <v>asymptomatic</v>
      </c>
      <c r="F295" t="str">
        <f>IF(HeartData[[#This Row],[num]]&gt;0, "Diseased", "Healthy")</f>
        <v>Diseased</v>
      </c>
      <c r="G295">
        <f>IF(HeartData[[#This Row],[chol]]&gt;$P$3, 1, 0)</f>
        <v>1</v>
      </c>
      <c r="H295">
        <f>IF(HeartData[[#This Row],[trestbps]]&gt;$P$4, 1, 0)</f>
        <v>1</v>
      </c>
      <c r="I295">
        <f>IF(HeartData[[#This Row],[oldpeak]]&gt;$P$5,1,0)</f>
        <v>1</v>
      </c>
      <c r="J295">
        <f>IF(HeartData[[#This Row],[exang]]="TRUE",1,0)</f>
        <v>1</v>
      </c>
      <c r="K295">
        <f>IF(HeartData[[#This Row],[fbs]]="TRUE",1,0)</f>
        <v>0</v>
      </c>
      <c r="L295">
        <f>IF(HeartData[[#This Row],[ca]]&gt;0,1,0)</f>
        <v>1</v>
      </c>
      <c r="M295">
        <f t="shared" si="13"/>
        <v>5</v>
      </c>
      <c r="N295">
        <f t="shared" si="14"/>
        <v>1</v>
      </c>
    </row>
    <row r="296" spans="1:14" x14ac:dyDescent="0.3">
      <c r="A296">
        <f>HeartData[[#This Row],[id]]</f>
        <v>295</v>
      </c>
      <c r="B296" s="4">
        <f>HeartData[[#This Row],[age]]</f>
        <v>63</v>
      </c>
      <c r="C296" t="str">
        <f>HeartData[[#This Row],[sex]]</f>
        <v>Female</v>
      </c>
      <c r="D296" t="str">
        <f t="shared" si="12"/>
        <v>55-64</v>
      </c>
      <c r="E296" t="str">
        <f>HeartData[[#This Row],[cp]]</f>
        <v>asymptomatic</v>
      </c>
      <c r="F296" t="str">
        <f>IF(HeartData[[#This Row],[num]]&gt;0, "Diseased", "Healthy")</f>
        <v>Diseased</v>
      </c>
      <c r="G296">
        <f>IF(HeartData[[#This Row],[chol]]&gt;$P$3, 1, 0)</f>
        <v>1</v>
      </c>
      <c r="H296">
        <f>IF(HeartData[[#This Row],[trestbps]]&gt;$P$4, 1, 0)</f>
        <v>1</v>
      </c>
      <c r="I296">
        <f>IF(HeartData[[#This Row],[oldpeak]]&gt;$P$5,1,0)</f>
        <v>0</v>
      </c>
      <c r="J296">
        <f>IF(HeartData[[#This Row],[exang]]="TRUE",1,0)</f>
        <v>1</v>
      </c>
      <c r="K296">
        <f>IF(HeartData[[#This Row],[fbs]]="TRUE",1,0)</f>
        <v>0</v>
      </c>
      <c r="L296">
        <f>IF(HeartData[[#This Row],[ca]]&gt;0,1,0)</f>
        <v>0</v>
      </c>
      <c r="M296">
        <f t="shared" si="13"/>
        <v>3</v>
      </c>
      <c r="N296">
        <f t="shared" si="14"/>
        <v>1</v>
      </c>
    </row>
    <row r="297" spans="1:14" x14ac:dyDescent="0.3">
      <c r="A297">
        <f>HeartData[[#This Row],[id]]</f>
        <v>296</v>
      </c>
      <c r="B297" s="4">
        <f>HeartData[[#This Row],[age]]</f>
        <v>41</v>
      </c>
      <c r="C297" t="str">
        <f>HeartData[[#This Row],[sex]]</f>
        <v>Male</v>
      </c>
      <c r="D297" t="str">
        <f t="shared" si="12"/>
        <v>Under 45</v>
      </c>
      <c r="E297" t="str">
        <f>HeartData[[#This Row],[cp]]</f>
        <v>atypical angina</v>
      </c>
      <c r="F297" t="str">
        <f>IF(HeartData[[#This Row],[num]]&gt;0, "Diseased", "Healthy")</f>
        <v>Healthy</v>
      </c>
      <c r="G297">
        <f>IF(HeartData[[#This Row],[chol]]&gt;$P$3, 1, 0)</f>
        <v>1</v>
      </c>
      <c r="H297">
        <f>IF(HeartData[[#This Row],[trestbps]]&gt;$P$4, 1, 0)</f>
        <v>1</v>
      </c>
      <c r="I297">
        <f>IF(HeartData[[#This Row],[oldpeak]]&gt;$P$5,1,0)</f>
        <v>0</v>
      </c>
      <c r="J297">
        <f>IF(HeartData[[#This Row],[exang]]="TRUE",1,0)</f>
        <v>0</v>
      </c>
      <c r="K297">
        <f>IF(HeartData[[#This Row],[fbs]]="TRUE",1,0)</f>
        <v>0</v>
      </c>
      <c r="L297">
        <f>IF(HeartData[[#This Row],[ca]]&gt;0,1,0)</f>
        <v>0</v>
      </c>
      <c r="M297">
        <f t="shared" si="13"/>
        <v>2</v>
      </c>
      <c r="N297">
        <f t="shared" si="14"/>
        <v>0</v>
      </c>
    </row>
    <row r="298" spans="1:14" x14ac:dyDescent="0.3">
      <c r="A298">
        <f>HeartData[[#This Row],[id]]</f>
        <v>297</v>
      </c>
      <c r="B298" s="4">
        <f>HeartData[[#This Row],[age]]</f>
        <v>59</v>
      </c>
      <c r="C298" t="str">
        <f>HeartData[[#This Row],[sex]]</f>
        <v>Male</v>
      </c>
      <c r="D298" t="str">
        <f t="shared" si="12"/>
        <v>55-64</v>
      </c>
      <c r="E298" t="str">
        <f>HeartData[[#This Row],[cp]]</f>
        <v>asymptomatic</v>
      </c>
      <c r="F298" t="str">
        <f>IF(HeartData[[#This Row],[num]]&gt;0, "Diseased", "Healthy")</f>
        <v>Diseased</v>
      </c>
      <c r="G298">
        <f>IF(HeartData[[#This Row],[chol]]&gt;$P$3, 1, 0)</f>
        <v>1</v>
      </c>
      <c r="H298">
        <f>IF(HeartData[[#This Row],[trestbps]]&gt;$P$4, 1, 0)</f>
        <v>1</v>
      </c>
      <c r="I298">
        <f>IF(HeartData[[#This Row],[oldpeak]]&gt;$P$5,1,0)</f>
        <v>1</v>
      </c>
      <c r="J298">
        <f>IF(HeartData[[#This Row],[exang]]="TRUE",1,0)</f>
        <v>0</v>
      </c>
      <c r="K298">
        <f>IF(HeartData[[#This Row],[fbs]]="TRUE",1,0)</f>
        <v>1</v>
      </c>
      <c r="L298">
        <f>IF(HeartData[[#This Row],[ca]]&gt;0,1,0)</f>
        <v>1</v>
      </c>
      <c r="M298">
        <f t="shared" si="13"/>
        <v>5</v>
      </c>
      <c r="N298">
        <f t="shared" si="14"/>
        <v>1</v>
      </c>
    </row>
    <row r="299" spans="1:14" x14ac:dyDescent="0.3">
      <c r="A299">
        <f>HeartData[[#This Row],[id]]</f>
        <v>298</v>
      </c>
      <c r="B299" s="4">
        <f>HeartData[[#This Row],[age]]</f>
        <v>57</v>
      </c>
      <c r="C299" t="str">
        <f>HeartData[[#This Row],[sex]]</f>
        <v>Female</v>
      </c>
      <c r="D299" t="str">
        <f t="shared" si="12"/>
        <v>55-64</v>
      </c>
      <c r="E299" t="str">
        <f>HeartData[[#This Row],[cp]]</f>
        <v>asymptomatic</v>
      </c>
      <c r="F299" t="str">
        <f>IF(HeartData[[#This Row],[num]]&gt;0, "Diseased", "Healthy")</f>
        <v>Diseased</v>
      </c>
      <c r="G299">
        <f>IF(HeartData[[#This Row],[chol]]&gt;$P$3, 1, 0)</f>
        <v>1</v>
      </c>
      <c r="H299">
        <f>IF(HeartData[[#This Row],[trestbps]]&gt;$P$4, 1, 0)</f>
        <v>1</v>
      </c>
      <c r="I299">
        <f>IF(HeartData[[#This Row],[oldpeak]]&gt;$P$5,1,0)</f>
        <v>1</v>
      </c>
      <c r="J299">
        <f>IF(HeartData[[#This Row],[exang]]="TRUE",1,0)</f>
        <v>1</v>
      </c>
      <c r="K299">
        <f>IF(HeartData[[#This Row],[fbs]]="TRUE",1,0)</f>
        <v>0</v>
      </c>
      <c r="L299">
        <f>IF(HeartData[[#This Row],[ca]]&gt;0,1,0)</f>
        <v>0</v>
      </c>
      <c r="M299">
        <f t="shared" si="13"/>
        <v>4</v>
      </c>
      <c r="N299">
        <f t="shared" si="14"/>
        <v>1</v>
      </c>
    </row>
    <row r="300" spans="1:14" x14ac:dyDescent="0.3">
      <c r="A300">
        <f>HeartData[[#This Row],[id]]</f>
        <v>299</v>
      </c>
      <c r="B300" s="4">
        <f>HeartData[[#This Row],[age]]</f>
        <v>45</v>
      </c>
      <c r="C300" t="str">
        <f>HeartData[[#This Row],[sex]]</f>
        <v>Male</v>
      </c>
      <c r="D300" t="str">
        <f t="shared" si="12"/>
        <v>45-54</v>
      </c>
      <c r="E300" t="str">
        <f>HeartData[[#This Row],[cp]]</f>
        <v>typical angina</v>
      </c>
      <c r="F300" t="str">
        <f>IF(HeartData[[#This Row],[num]]&gt;0, "Diseased", "Healthy")</f>
        <v>Diseased</v>
      </c>
      <c r="G300">
        <f>IF(HeartData[[#This Row],[chol]]&gt;$P$3, 1, 0)</f>
        <v>1</v>
      </c>
      <c r="H300">
        <f>IF(HeartData[[#This Row],[trestbps]]&gt;$P$4, 1, 0)</f>
        <v>1</v>
      </c>
      <c r="I300">
        <f>IF(HeartData[[#This Row],[oldpeak]]&gt;$P$5,1,0)</f>
        <v>1</v>
      </c>
      <c r="J300">
        <f>IF(HeartData[[#This Row],[exang]]="TRUE",1,0)</f>
        <v>0</v>
      </c>
      <c r="K300">
        <f>IF(HeartData[[#This Row],[fbs]]="TRUE",1,0)</f>
        <v>0</v>
      </c>
      <c r="L300">
        <f>IF(HeartData[[#This Row],[ca]]&gt;0,1,0)</f>
        <v>0</v>
      </c>
      <c r="M300">
        <f t="shared" si="13"/>
        <v>3</v>
      </c>
      <c r="N300">
        <f t="shared" si="14"/>
        <v>1</v>
      </c>
    </row>
    <row r="301" spans="1:14" x14ac:dyDescent="0.3">
      <c r="A301">
        <f>HeartData[[#This Row],[id]]</f>
        <v>300</v>
      </c>
      <c r="B301" s="4">
        <f>HeartData[[#This Row],[age]]</f>
        <v>68</v>
      </c>
      <c r="C301" t="str">
        <f>HeartData[[#This Row],[sex]]</f>
        <v>Male</v>
      </c>
      <c r="D301" t="str">
        <f t="shared" si="12"/>
        <v>65+</v>
      </c>
      <c r="E301" t="str">
        <f>HeartData[[#This Row],[cp]]</f>
        <v>asymptomatic</v>
      </c>
      <c r="F301" t="str">
        <f>IF(HeartData[[#This Row],[num]]&gt;0, "Diseased", "Healthy")</f>
        <v>Diseased</v>
      </c>
      <c r="G301">
        <f>IF(HeartData[[#This Row],[chol]]&gt;$P$3, 1, 0)</f>
        <v>1</v>
      </c>
      <c r="H301">
        <f>IF(HeartData[[#This Row],[trestbps]]&gt;$P$4, 1, 0)</f>
        <v>1</v>
      </c>
      <c r="I301">
        <f>IF(HeartData[[#This Row],[oldpeak]]&gt;$P$5,1,0)</f>
        <v>1</v>
      </c>
      <c r="J301">
        <f>IF(HeartData[[#This Row],[exang]]="TRUE",1,0)</f>
        <v>0</v>
      </c>
      <c r="K301">
        <f>IF(HeartData[[#This Row],[fbs]]="TRUE",1,0)</f>
        <v>1</v>
      </c>
      <c r="L301">
        <f>IF(HeartData[[#This Row],[ca]]&gt;0,1,0)</f>
        <v>1</v>
      </c>
      <c r="M301">
        <f t="shared" si="13"/>
        <v>5</v>
      </c>
      <c r="N301">
        <f t="shared" si="14"/>
        <v>1</v>
      </c>
    </row>
    <row r="302" spans="1:14" x14ac:dyDescent="0.3">
      <c r="A302">
        <f>HeartData[[#This Row],[id]]</f>
        <v>301</v>
      </c>
      <c r="B302" s="4">
        <f>HeartData[[#This Row],[age]]</f>
        <v>57</v>
      </c>
      <c r="C302" t="str">
        <f>HeartData[[#This Row],[sex]]</f>
        <v>Male</v>
      </c>
      <c r="D302" t="str">
        <f t="shared" si="12"/>
        <v>55-64</v>
      </c>
      <c r="E302" t="str">
        <f>HeartData[[#This Row],[cp]]</f>
        <v>asymptomatic</v>
      </c>
      <c r="F302" t="str">
        <f>IF(HeartData[[#This Row],[num]]&gt;0, "Diseased", "Healthy")</f>
        <v>Diseased</v>
      </c>
      <c r="G302">
        <f>IF(HeartData[[#This Row],[chol]]&gt;$P$3, 1, 0)</f>
        <v>1</v>
      </c>
      <c r="H302">
        <f>IF(HeartData[[#This Row],[trestbps]]&gt;$P$4, 1, 0)</f>
        <v>1</v>
      </c>
      <c r="I302">
        <f>IF(HeartData[[#This Row],[oldpeak]]&gt;$P$5,1,0)</f>
        <v>1</v>
      </c>
      <c r="J302">
        <f>IF(HeartData[[#This Row],[exang]]="TRUE",1,0)</f>
        <v>1</v>
      </c>
      <c r="K302">
        <f>IF(HeartData[[#This Row],[fbs]]="TRUE",1,0)</f>
        <v>0</v>
      </c>
      <c r="L302">
        <f>IF(HeartData[[#This Row],[ca]]&gt;0,1,0)</f>
        <v>1</v>
      </c>
      <c r="M302">
        <f t="shared" si="13"/>
        <v>5</v>
      </c>
      <c r="N302">
        <f t="shared" si="14"/>
        <v>1</v>
      </c>
    </row>
    <row r="303" spans="1:14" x14ac:dyDescent="0.3">
      <c r="A303">
        <f>HeartData[[#This Row],[id]]</f>
        <v>302</v>
      </c>
      <c r="B303" s="4">
        <f>HeartData[[#This Row],[age]]</f>
        <v>57</v>
      </c>
      <c r="C303" t="str">
        <f>HeartData[[#This Row],[sex]]</f>
        <v>Female</v>
      </c>
      <c r="D303" t="str">
        <f t="shared" si="12"/>
        <v>55-64</v>
      </c>
      <c r="E303" t="str">
        <f>HeartData[[#This Row],[cp]]</f>
        <v>atypical angina</v>
      </c>
      <c r="F303" t="str">
        <f>IF(HeartData[[#This Row],[num]]&gt;0, "Diseased", "Healthy")</f>
        <v>Diseased</v>
      </c>
      <c r="G303">
        <f>IF(HeartData[[#This Row],[chol]]&gt;$P$3, 1, 0)</f>
        <v>1</v>
      </c>
      <c r="H303">
        <f>IF(HeartData[[#This Row],[trestbps]]&gt;$P$4, 1, 0)</f>
        <v>1</v>
      </c>
      <c r="I303">
        <f>IF(HeartData[[#This Row],[oldpeak]]&gt;$P$5,1,0)</f>
        <v>0</v>
      </c>
      <c r="J303">
        <f>IF(HeartData[[#This Row],[exang]]="TRUE",1,0)</f>
        <v>0</v>
      </c>
      <c r="K303">
        <f>IF(HeartData[[#This Row],[fbs]]="TRUE",1,0)</f>
        <v>0</v>
      </c>
      <c r="L303">
        <f>IF(HeartData[[#This Row],[ca]]&gt;0,1,0)</f>
        <v>1</v>
      </c>
      <c r="M303">
        <f t="shared" si="13"/>
        <v>3</v>
      </c>
      <c r="N303">
        <f t="shared" si="14"/>
        <v>1</v>
      </c>
    </row>
    <row r="304" spans="1:14" x14ac:dyDescent="0.3">
      <c r="A304">
        <f>HeartData[[#This Row],[id]]</f>
        <v>303</v>
      </c>
      <c r="B304" s="4">
        <f>HeartData[[#This Row],[age]]</f>
        <v>38</v>
      </c>
      <c r="C304" t="str">
        <f>HeartData[[#This Row],[sex]]</f>
        <v>Male</v>
      </c>
      <c r="D304" t="str">
        <f t="shared" si="12"/>
        <v>Under 45</v>
      </c>
      <c r="E304" t="str">
        <f>HeartData[[#This Row],[cp]]</f>
        <v>non-anginal</v>
      </c>
      <c r="F304" t="str">
        <f>IF(HeartData[[#This Row],[num]]&gt;0, "Diseased", "Healthy")</f>
        <v>Healthy</v>
      </c>
      <c r="G304">
        <f>IF(HeartData[[#This Row],[chol]]&gt;$P$3, 1, 0)</f>
        <v>1</v>
      </c>
      <c r="H304">
        <f>IF(HeartData[[#This Row],[trestbps]]&gt;$P$4, 1, 0)</f>
        <v>1</v>
      </c>
      <c r="I304">
        <f>IF(HeartData[[#This Row],[oldpeak]]&gt;$P$5,1,0)</f>
        <v>0</v>
      </c>
      <c r="J304">
        <f>IF(HeartData[[#This Row],[exang]]="TRUE",1,0)</f>
        <v>0</v>
      </c>
      <c r="K304">
        <f>IF(HeartData[[#This Row],[fbs]]="TRUE",1,0)</f>
        <v>0</v>
      </c>
      <c r="L304">
        <f>IF(HeartData[[#This Row],[ca]]&gt;0,1,0)</f>
        <v>0</v>
      </c>
      <c r="M304">
        <f t="shared" si="13"/>
        <v>2</v>
      </c>
      <c r="N304">
        <f t="shared" si="14"/>
        <v>0</v>
      </c>
    </row>
    <row r="305" spans="1:14" x14ac:dyDescent="0.3">
      <c r="A305">
        <f>HeartData[[#This Row],[id]]</f>
        <v>304</v>
      </c>
      <c r="B305" s="4">
        <f>HeartData[[#This Row],[age]]</f>
        <v>28</v>
      </c>
      <c r="C305" t="str">
        <f>HeartData[[#This Row],[sex]]</f>
        <v>Male</v>
      </c>
      <c r="D305" t="str">
        <f t="shared" si="12"/>
        <v>Under 45</v>
      </c>
      <c r="E305" t="str">
        <f>HeartData[[#This Row],[cp]]</f>
        <v>atypical angina</v>
      </c>
      <c r="F305" t="str">
        <f>IF(HeartData[[#This Row],[num]]&gt;0, "Diseased", "Healthy")</f>
        <v>Healthy</v>
      </c>
      <c r="G305">
        <f>IF(HeartData[[#This Row],[chol]]&gt;$P$3, 1, 0)</f>
        <v>1</v>
      </c>
      <c r="H305">
        <f>IF(HeartData[[#This Row],[trestbps]]&gt;$P$4, 1, 0)</f>
        <v>1</v>
      </c>
      <c r="I305">
        <f>IF(HeartData[[#This Row],[oldpeak]]&gt;$P$5,1,0)</f>
        <v>0</v>
      </c>
      <c r="J305">
        <f>IF(HeartData[[#This Row],[exang]]="TRUE",1,0)</f>
        <v>0</v>
      </c>
      <c r="K305">
        <f>IF(HeartData[[#This Row],[fbs]]="TRUE",1,0)</f>
        <v>0</v>
      </c>
      <c r="L305">
        <f>IF(HeartData[[#This Row],[ca]]&gt;0,1,0)</f>
        <v>0</v>
      </c>
      <c r="M305">
        <f t="shared" si="13"/>
        <v>2</v>
      </c>
      <c r="N305">
        <f t="shared" si="14"/>
        <v>0</v>
      </c>
    </row>
    <row r="306" spans="1:14" x14ac:dyDescent="0.3">
      <c r="A306">
        <f>HeartData[[#This Row],[id]]</f>
        <v>305</v>
      </c>
      <c r="B306" s="4">
        <f>HeartData[[#This Row],[age]]</f>
        <v>29</v>
      </c>
      <c r="C306" t="str">
        <f>HeartData[[#This Row],[sex]]</f>
        <v>Male</v>
      </c>
      <c r="D306" t="str">
        <f t="shared" si="12"/>
        <v>Under 45</v>
      </c>
      <c r="E306" t="str">
        <f>HeartData[[#This Row],[cp]]</f>
        <v>atypical angina</v>
      </c>
      <c r="F306" t="str">
        <f>IF(HeartData[[#This Row],[num]]&gt;0, "Diseased", "Healthy")</f>
        <v>Healthy</v>
      </c>
      <c r="G306">
        <f>IF(HeartData[[#This Row],[chol]]&gt;$P$3, 1, 0)</f>
        <v>1</v>
      </c>
      <c r="H306">
        <f>IF(HeartData[[#This Row],[trestbps]]&gt;$P$4, 1, 0)</f>
        <v>1</v>
      </c>
      <c r="I306">
        <f>IF(HeartData[[#This Row],[oldpeak]]&gt;$P$5,1,0)</f>
        <v>0</v>
      </c>
      <c r="J306">
        <f>IF(HeartData[[#This Row],[exang]]="TRUE",1,0)</f>
        <v>0</v>
      </c>
      <c r="K306">
        <f>IF(HeartData[[#This Row],[fbs]]="TRUE",1,0)</f>
        <v>0</v>
      </c>
      <c r="L306">
        <f>IF(HeartData[[#This Row],[ca]]&gt;0,1,0)</f>
        <v>0</v>
      </c>
      <c r="M306">
        <f t="shared" si="13"/>
        <v>2</v>
      </c>
      <c r="N306">
        <f t="shared" si="14"/>
        <v>0</v>
      </c>
    </row>
    <row r="307" spans="1:14" x14ac:dyDescent="0.3">
      <c r="A307">
        <f>HeartData[[#This Row],[id]]</f>
        <v>306</v>
      </c>
      <c r="B307" s="4">
        <f>HeartData[[#This Row],[age]]</f>
        <v>29</v>
      </c>
      <c r="C307" t="str">
        <f>HeartData[[#This Row],[sex]]</f>
        <v>Male</v>
      </c>
      <c r="D307" t="str">
        <f t="shared" si="12"/>
        <v>Under 45</v>
      </c>
      <c r="E307" t="str">
        <f>HeartData[[#This Row],[cp]]</f>
        <v>atypical angina</v>
      </c>
      <c r="F307" t="str">
        <f>IF(HeartData[[#This Row],[num]]&gt;0, "Diseased", "Healthy")</f>
        <v>Healthy</v>
      </c>
      <c r="G307">
        <f>IF(HeartData[[#This Row],[chol]]&gt;$P$3, 1, 0)</f>
        <v>0</v>
      </c>
      <c r="H307">
        <f>IF(HeartData[[#This Row],[trestbps]]&gt;$P$4, 1, 0)</f>
        <v>1</v>
      </c>
      <c r="I307">
        <f>IF(HeartData[[#This Row],[oldpeak]]&gt;$P$5,1,0)</f>
        <v>0</v>
      </c>
      <c r="J307">
        <f>IF(HeartData[[#This Row],[exang]]="TRUE",1,0)</f>
        <v>0</v>
      </c>
      <c r="K307">
        <f>IF(HeartData[[#This Row],[fbs]]="TRUE",1,0)</f>
        <v>0</v>
      </c>
      <c r="L307">
        <f>IF(HeartData[[#This Row],[ca]]&gt;0,1,0)</f>
        <v>0</v>
      </c>
      <c r="M307">
        <f t="shared" si="13"/>
        <v>1</v>
      </c>
      <c r="N307">
        <f t="shared" si="14"/>
        <v>0</v>
      </c>
    </row>
    <row r="308" spans="1:14" x14ac:dyDescent="0.3">
      <c r="A308">
        <f>HeartData[[#This Row],[id]]</f>
        <v>307</v>
      </c>
      <c r="B308" s="4">
        <f>HeartData[[#This Row],[age]]</f>
        <v>30</v>
      </c>
      <c r="C308" t="str">
        <f>HeartData[[#This Row],[sex]]</f>
        <v>Female</v>
      </c>
      <c r="D308" t="str">
        <f t="shared" si="12"/>
        <v>Under 45</v>
      </c>
      <c r="E308" t="str">
        <f>HeartData[[#This Row],[cp]]</f>
        <v>typical angina</v>
      </c>
      <c r="F308" t="str">
        <f>IF(HeartData[[#This Row],[num]]&gt;0, "Diseased", "Healthy")</f>
        <v>Healthy</v>
      </c>
      <c r="G308">
        <f>IF(HeartData[[#This Row],[chol]]&gt;$P$3, 1, 0)</f>
        <v>1</v>
      </c>
      <c r="H308">
        <f>IF(HeartData[[#This Row],[trestbps]]&gt;$P$4, 1, 0)</f>
        <v>1</v>
      </c>
      <c r="I308">
        <f>IF(HeartData[[#This Row],[oldpeak]]&gt;$P$5,1,0)</f>
        <v>0</v>
      </c>
      <c r="J308">
        <f>IF(HeartData[[#This Row],[exang]]="TRUE",1,0)</f>
        <v>0</v>
      </c>
      <c r="K308">
        <f>IF(HeartData[[#This Row],[fbs]]="TRUE",1,0)</f>
        <v>0</v>
      </c>
      <c r="L308">
        <f>IF(HeartData[[#This Row],[ca]]&gt;0,1,0)</f>
        <v>0</v>
      </c>
      <c r="M308">
        <f t="shared" si="13"/>
        <v>2</v>
      </c>
      <c r="N308">
        <f t="shared" si="14"/>
        <v>0</v>
      </c>
    </row>
    <row r="309" spans="1:14" x14ac:dyDescent="0.3">
      <c r="A309">
        <f>HeartData[[#This Row],[id]]</f>
        <v>308</v>
      </c>
      <c r="B309" s="4">
        <f>HeartData[[#This Row],[age]]</f>
        <v>31</v>
      </c>
      <c r="C309" t="str">
        <f>HeartData[[#This Row],[sex]]</f>
        <v>Female</v>
      </c>
      <c r="D309" t="str">
        <f t="shared" si="12"/>
        <v>Under 45</v>
      </c>
      <c r="E309" t="str">
        <f>HeartData[[#This Row],[cp]]</f>
        <v>atypical angina</v>
      </c>
      <c r="F309" t="str">
        <f>IF(HeartData[[#This Row],[num]]&gt;0, "Diseased", "Healthy")</f>
        <v>Healthy</v>
      </c>
      <c r="G309">
        <f>IF(HeartData[[#This Row],[chol]]&gt;$P$3, 1, 0)</f>
        <v>1</v>
      </c>
      <c r="H309">
        <f>IF(HeartData[[#This Row],[trestbps]]&gt;$P$4, 1, 0)</f>
        <v>1</v>
      </c>
      <c r="I309">
        <f>IF(HeartData[[#This Row],[oldpeak]]&gt;$P$5,1,0)</f>
        <v>0</v>
      </c>
      <c r="J309">
        <f>IF(HeartData[[#This Row],[exang]]="TRUE",1,0)</f>
        <v>0</v>
      </c>
      <c r="K309">
        <f>IF(HeartData[[#This Row],[fbs]]="TRUE",1,0)</f>
        <v>0</v>
      </c>
      <c r="L309">
        <f>IF(HeartData[[#This Row],[ca]]&gt;0,1,0)</f>
        <v>0</v>
      </c>
      <c r="M309">
        <f t="shared" si="13"/>
        <v>2</v>
      </c>
      <c r="N309">
        <f t="shared" si="14"/>
        <v>0</v>
      </c>
    </row>
    <row r="310" spans="1:14" x14ac:dyDescent="0.3">
      <c r="A310">
        <f>HeartData[[#This Row],[id]]</f>
        <v>309</v>
      </c>
      <c r="B310" s="4">
        <f>HeartData[[#This Row],[age]]</f>
        <v>32</v>
      </c>
      <c r="C310" t="str">
        <f>HeartData[[#This Row],[sex]]</f>
        <v>Female</v>
      </c>
      <c r="D310" t="str">
        <f t="shared" si="12"/>
        <v>Under 45</v>
      </c>
      <c r="E310" t="str">
        <f>HeartData[[#This Row],[cp]]</f>
        <v>atypical angina</v>
      </c>
      <c r="F310" t="str">
        <f>IF(HeartData[[#This Row],[num]]&gt;0, "Diseased", "Healthy")</f>
        <v>Healthy</v>
      </c>
      <c r="G310">
        <f>IF(HeartData[[#This Row],[chol]]&gt;$P$3, 1, 0)</f>
        <v>1</v>
      </c>
      <c r="H310">
        <f>IF(HeartData[[#This Row],[trestbps]]&gt;$P$4, 1, 0)</f>
        <v>1</v>
      </c>
      <c r="I310">
        <f>IF(HeartData[[#This Row],[oldpeak]]&gt;$P$5,1,0)</f>
        <v>0</v>
      </c>
      <c r="J310">
        <f>IF(HeartData[[#This Row],[exang]]="TRUE",1,0)</f>
        <v>0</v>
      </c>
      <c r="K310">
        <f>IF(HeartData[[#This Row],[fbs]]="TRUE",1,0)</f>
        <v>0</v>
      </c>
      <c r="L310">
        <f>IF(HeartData[[#This Row],[ca]]&gt;0,1,0)</f>
        <v>0</v>
      </c>
      <c r="M310">
        <f t="shared" si="13"/>
        <v>2</v>
      </c>
      <c r="N310">
        <f t="shared" si="14"/>
        <v>0</v>
      </c>
    </row>
    <row r="311" spans="1:14" x14ac:dyDescent="0.3">
      <c r="A311">
        <f>HeartData[[#This Row],[id]]</f>
        <v>310</v>
      </c>
      <c r="B311" s="4">
        <f>HeartData[[#This Row],[age]]</f>
        <v>32</v>
      </c>
      <c r="C311" t="str">
        <f>HeartData[[#This Row],[sex]]</f>
        <v>Male</v>
      </c>
      <c r="D311" t="str">
        <f t="shared" si="12"/>
        <v>Under 45</v>
      </c>
      <c r="E311" t="str">
        <f>HeartData[[#This Row],[cp]]</f>
        <v>atypical angina</v>
      </c>
      <c r="F311" t="str">
        <f>IF(HeartData[[#This Row],[num]]&gt;0, "Diseased", "Healthy")</f>
        <v>Healthy</v>
      </c>
      <c r="G311">
        <f>IF(HeartData[[#This Row],[chol]]&gt;$P$3, 1, 0)</f>
        <v>1</v>
      </c>
      <c r="H311">
        <f>IF(HeartData[[#This Row],[trestbps]]&gt;$P$4, 1, 0)</f>
        <v>1</v>
      </c>
      <c r="I311">
        <f>IF(HeartData[[#This Row],[oldpeak]]&gt;$P$5,1,0)</f>
        <v>0</v>
      </c>
      <c r="J311">
        <f>IF(HeartData[[#This Row],[exang]]="TRUE",1,0)</f>
        <v>0</v>
      </c>
      <c r="K311">
        <f>IF(HeartData[[#This Row],[fbs]]="TRUE",1,0)</f>
        <v>0</v>
      </c>
      <c r="L311">
        <f>IF(HeartData[[#This Row],[ca]]&gt;0,1,0)</f>
        <v>0</v>
      </c>
      <c r="M311">
        <f t="shared" si="13"/>
        <v>2</v>
      </c>
      <c r="N311">
        <f t="shared" si="14"/>
        <v>0</v>
      </c>
    </row>
    <row r="312" spans="1:14" x14ac:dyDescent="0.3">
      <c r="A312">
        <f>HeartData[[#This Row],[id]]</f>
        <v>311</v>
      </c>
      <c r="B312" s="4">
        <f>HeartData[[#This Row],[age]]</f>
        <v>32</v>
      </c>
      <c r="C312" t="str">
        <f>HeartData[[#This Row],[sex]]</f>
        <v>Male</v>
      </c>
      <c r="D312" t="str">
        <f t="shared" si="12"/>
        <v>Under 45</v>
      </c>
      <c r="E312" t="str">
        <f>HeartData[[#This Row],[cp]]</f>
        <v>atypical angina</v>
      </c>
      <c r="F312" t="str">
        <f>IF(HeartData[[#This Row],[num]]&gt;0, "Diseased", "Healthy")</f>
        <v>Healthy</v>
      </c>
      <c r="G312">
        <f>IF(HeartData[[#This Row],[chol]]&gt;$P$3, 1, 0)</f>
        <v>1</v>
      </c>
      <c r="H312">
        <f>IF(HeartData[[#This Row],[trestbps]]&gt;$P$4, 1, 0)</f>
        <v>1</v>
      </c>
      <c r="I312">
        <f>IF(HeartData[[#This Row],[oldpeak]]&gt;$P$5,1,0)</f>
        <v>0</v>
      </c>
      <c r="J312">
        <f>IF(HeartData[[#This Row],[exang]]="TRUE",1,0)</f>
        <v>0</v>
      </c>
      <c r="K312">
        <f>IF(HeartData[[#This Row],[fbs]]="TRUE",1,0)</f>
        <v>0</v>
      </c>
      <c r="L312">
        <f>IF(HeartData[[#This Row],[ca]]&gt;0,1,0)</f>
        <v>0</v>
      </c>
      <c r="M312">
        <f t="shared" si="13"/>
        <v>2</v>
      </c>
      <c r="N312">
        <f t="shared" si="14"/>
        <v>0</v>
      </c>
    </row>
    <row r="313" spans="1:14" x14ac:dyDescent="0.3">
      <c r="A313">
        <f>HeartData[[#This Row],[id]]</f>
        <v>312</v>
      </c>
      <c r="B313" s="4">
        <f>HeartData[[#This Row],[age]]</f>
        <v>33</v>
      </c>
      <c r="C313" t="str">
        <f>HeartData[[#This Row],[sex]]</f>
        <v>Male</v>
      </c>
      <c r="D313" t="str">
        <f t="shared" si="12"/>
        <v>Under 45</v>
      </c>
      <c r="E313" t="str">
        <f>HeartData[[#This Row],[cp]]</f>
        <v>non-anginal</v>
      </c>
      <c r="F313" t="str">
        <f>IF(HeartData[[#This Row],[num]]&gt;0, "Diseased", "Healthy")</f>
        <v>Healthy</v>
      </c>
      <c r="G313">
        <f>IF(HeartData[[#This Row],[chol]]&gt;$P$3, 1, 0)</f>
        <v>1</v>
      </c>
      <c r="H313">
        <f>IF(HeartData[[#This Row],[trestbps]]&gt;$P$4, 1, 0)</f>
        <v>1</v>
      </c>
      <c r="I313">
        <f>IF(HeartData[[#This Row],[oldpeak]]&gt;$P$5,1,0)</f>
        <v>0</v>
      </c>
      <c r="J313">
        <f>IF(HeartData[[#This Row],[exang]]="TRUE",1,0)</f>
        <v>0</v>
      </c>
      <c r="K313">
        <f>IF(HeartData[[#This Row],[fbs]]="TRUE",1,0)</f>
        <v>0</v>
      </c>
      <c r="L313">
        <f>IF(HeartData[[#This Row],[ca]]&gt;0,1,0)</f>
        <v>0</v>
      </c>
      <c r="M313">
        <f t="shared" si="13"/>
        <v>2</v>
      </c>
      <c r="N313">
        <f t="shared" si="14"/>
        <v>0</v>
      </c>
    </row>
    <row r="314" spans="1:14" x14ac:dyDescent="0.3">
      <c r="A314">
        <f>HeartData[[#This Row],[id]]</f>
        <v>313</v>
      </c>
      <c r="B314" s="4">
        <f>HeartData[[#This Row],[age]]</f>
        <v>34</v>
      </c>
      <c r="C314" t="str">
        <f>HeartData[[#This Row],[sex]]</f>
        <v>Female</v>
      </c>
      <c r="D314" t="str">
        <f t="shared" si="12"/>
        <v>Under 45</v>
      </c>
      <c r="E314" t="str">
        <f>HeartData[[#This Row],[cp]]</f>
        <v>atypical angina</v>
      </c>
      <c r="F314" t="str">
        <f>IF(HeartData[[#This Row],[num]]&gt;0, "Diseased", "Healthy")</f>
        <v>Healthy</v>
      </c>
      <c r="G314">
        <f>IF(HeartData[[#This Row],[chol]]&gt;$P$3, 1, 0)</f>
        <v>1</v>
      </c>
      <c r="H314">
        <f>IF(HeartData[[#This Row],[trestbps]]&gt;$P$4, 1, 0)</f>
        <v>1</v>
      </c>
      <c r="I314">
        <f>IF(HeartData[[#This Row],[oldpeak]]&gt;$P$5,1,0)</f>
        <v>0</v>
      </c>
      <c r="J314">
        <f>IF(HeartData[[#This Row],[exang]]="TRUE",1,0)</f>
        <v>0</v>
      </c>
      <c r="K314">
        <f>IF(HeartData[[#This Row],[fbs]]="TRUE",1,0)</f>
        <v>0</v>
      </c>
      <c r="L314">
        <f>IF(HeartData[[#This Row],[ca]]&gt;0,1,0)</f>
        <v>0</v>
      </c>
      <c r="M314">
        <f t="shared" si="13"/>
        <v>2</v>
      </c>
      <c r="N314">
        <f t="shared" si="14"/>
        <v>0</v>
      </c>
    </row>
    <row r="315" spans="1:14" x14ac:dyDescent="0.3">
      <c r="A315">
        <f>HeartData[[#This Row],[id]]</f>
        <v>314</v>
      </c>
      <c r="B315" s="4">
        <f>HeartData[[#This Row],[age]]</f>
        <v>34</v>
      </c>
      <c r="C315" t="str">
        <f>HeartData[[#This Row],[sex]]</f>
        <v>Male</v>
      </c>
      <c r="D315" t="str">
        <f t="shared" si="12"/>
        <v>Under 45</v>
      </c>
      <c r="E315" t="str">
        <f>HeartData[[#This Row],[cp]]</f>
        <v>atypical angina</v>
      </c>
      <c r="F315" t="str">
        <f>IF(HeartData[[#This Row],[num]]&gt;0, "Diseased", "Healthy")</f>
        <v>Healthy</v>
      </c>
      <c r="G315">
        <f>IF(HeartData[[#This Row],[chol]]&gt;$P$3, 1, 0)</f>
        <v>1</v>
      </c>
      <c r="H315">
        <f>IF(HeartData[[#This Row],[trestbps]]&gt;$P$4, 1, 0)</f>
        <v>1</v>
      </c>
      <c r="I315">
        <f>IF(HeartData[[#This Row],[oldpeak]]&gt;$P$5,1,0)</f>
        <v>0</v>
      </c>
      <c r="J315">
        <f>IF(HeartData[[#This Row],[exang]]="TRUE",1,0)</f>
        <v>0</v>
      </c>
      <c r="K315">
        <f>IF(HeartData[[#This Row],[fbs]]="TRUE",1,0)</f>
        <v>0</v>
      </c>
      <c r="L315">
        <f>IF(HeartData[[#This Row],[ca]]&gt;0,1,0)</f>
        <v>0</v>
      </c>
      <c r="M315">
        <f t="shared" si="13"/>
        <v>2</v>
      </c>
      <c r="N315">
        <f t="shared" si="14"/>
        <v>0</v>
      </c>
    </row>
    <row r="316" spans="1:14" x14ac:dyDescent="0.3">
      <c r="A316">
        <f>HeartData[[#This Row],[id]]</f>
        <v>315</v>
      </c>
      <c r="B316" s="4">
        <f>HeartData[[#This Row],[age]]</f>
        <v>34</v>
      </c>
      <c r="C316" t="str">
        <f>HeartData[[#This Row],[sex]]</f>
        <v>Male</v>
      </c>
      <c r="D316" t="str">
        <f t="shared" si="12"/>
        <v>Under 45</v>
      </c>
      <c r="E316" t="str">
        <f>HeartData[[#This Row],[cp]]</f>
        <v>atypical angina</v>
      </c>
      <c r="F316" t="str">
        <f>IF(HeartData[[#This Row],[num]]&gt;0, "Diseased", "Healthy")</f>
        <v>Healthy</v>
      </c>
      <c r="G316">
        <f>IF(HeartData[[#This Row],[chol]]&gt;$P$3, 1, 0)</f>
        <v>1</v>
      </c>
      <c r="H316">
        <f>IF(HeartData[[#This Row],[trestbps]]&gt;$P$4, 1, 0)</f>
        <v>1</v>
      </c>
      <c r="I316">
        <f>IF(HeartData[[#This Row],[oldpeak]]&gt;$P$5,1,0)</f>
        <v>0</v>
      </c>
      <c r="J316">
        <f>IF(HeartData[[#This Row],[exang]]="TRUE",1,0)</f>
        <v>0</v>
      </c>
      <c r="K316">
        <f>IF(HeartData[[#This Row],[fbs]]="TRUE",1,0)</f>
        <v>0</v>
      </c>
      <c r="L316">
        <f>IF(HeartData[[#This Row],[ca]]&gt;0,1,0)</f>
        <v>0</v>
      </c>
      <c r="M316">
        <f t="shared" si="13"/>
        <v>2</v>
      </c>
      <c r="N316">
        <f t="shared" si="14"/>
        <v>0</v>
      </c>
    </row>
    <row r="317" spans="1:14" x14ac:dyDescent="0.3">
      <c r="A317">
        <f>HeartData[[#This Row],[id]]</f>
        <v>316</v>
      </c>
      <c r="B317" s="4">
        <f>HeartData[[#This Row],[age]]</f>
        <v>35</v>
      </c>
      <c r="C317" t="str">
        <f>HeartData[[#This Row],[sex]]</f>
        <v>Female</v>
      </c>
      <c r="D317" t="str">
        <f t="shared" si="12"/>
        <v>Under 45</v>
      </c>
      <c r="E317" t="str">
        <f>HeartData[[#This Row],[cp]]</f>
        <v>typical angina</v>
      </c>
      <c r="F317" t="str">
        <f>IF(HeartData[[#This Row],[num]]&gt;0, "Diseased", "Healthy")</f>
        <v>Healthy</v>
      </c>
      <c r="G317">
        <f>IF(HeartData[[#This Row],[chol]]&gt;$P$3, 1, 0)</f>
        <v>1</v>
      </c>
      <c r="H317">
        <f>IF(HeartData[[#This Row],[trestbps]]&gt;$P$4, 1, 0)</f>
        <v>1</v>
      </c>
      <c r="I317">
        <f>IF(HeartData[[#This Row],[oldpeak]]&gt;$P$5,1,0)</f>
        <v>0</v>
      </c>
      <c r="J317">
        <f>IF(HeartData[[#This Row],[exang]]="TRUE",1,0)</f>
        <v>0</v>
      </c>
      <c r="K317">
        <f>IF(HeartData[[#This Row],[fbs]]="TRUE",1,0)</f>
        <v>0</v>
      </c>
      <c r="L317">
        <f>IF(HeartData[[#This Row],[ca]]&gt;0,1,0)</f>
        <v>0</v>
      </c>
      <c r="M317">
        <f t="shared" si="13"/>
        <v>2</v>
      </c>
      <c r="N317">
        <f t="shared" si="14"/>
        <v>0</v>
      </c>
    </row>
    <row r="318" spans="1:14" x14ac:dyDescent="0.3">
      <c r="A318">
        <f>HeartData[[#This Row],[id]]</f>
        <v>317</v>
      </c>
      <c r="B318" s="4">
        <f>HeartData[[#This Row],[age]]</f>
        <v>35</v>
      </c>
      <c r="C318" t="str">
        <f>HeartData[[#This Row],[sex]]</f>
        <v>Female</v>
      </c>
      <c r="D318" t="str">
        <f t="shared" si="12"/>
        <v>Under 45</v>
      </c>
      <c r="E318" t="str">
        <f>HeartData[[#This Row],[cp]]</f>
        <v>asymptomatic</v>
      </c>
      <c r="F318" t="str">
        <f>IF(HeartData[[#This Row],[num]]&gt;0, "Diseased", "Healthy")</f>
        <v>Healthy</v>
      </c>
      <c r="G318">
        <f>IF(HeartData[[#This Row],[chol]]&gt;$P$3, 1, 0)</f>
        <v>1</v>
      </c>
      <c r="H318">
        <f>IF(HeartData[[#This Row],[trestbps]]&gt;$P$4, 1, 0)</f>
        <v>1</v>
      </c>
      <c r="I318">
        <f>IF(HeartData[[#This Row],[oldpeak]]&gt;$P$5,1,0)</f>
        <v>0</v>
      </c>
      <c r="J318">
        <f>IF(HeartData[[#This Row],[exang]]="TRUE",1,0)</f>
        <v>0</v>
      </c>
      <c r="K318">
        <f>IF(HeartData[[#This Row],[fbs]]="TRUE",1,0)</f>
        <v>0</v>
      </c>
      <c r="L318">
        <f>IF(HeartData[[#This Row],[ca]]&gt;0,1,0)</f>
        <v>0</v>
      </c>
      <c r="M318">
        <f t="shared" si="13"/>
        <v>2</v>
      </c>
      <c r="N318">
        <f t="shared" si="14"/>
        <v>0</v>
      </c>
    </row>
    <row r="319" spans="1:14" x14ac:dyDescent="0.3">
      <c r="A319">
        <f>HeartData[[#This Row],[id]]</f>
        <v>318</v>
      </c>
      <c r="B319" s="4">
        <f>HeartData[[#This Row],[age]]</f>
        <v>35</v>
      </c>
      <c r="C319" t="str">
        <f>HeartData[[#This Row],[sex]]</f>
        <v>Male</v>
      </c>
      <c r="D319" t="str">
        <f t="shared" si="12"/>
        <v>Under 45</v>
      </c>
      <c r="E319" t="str">
        <f>HeartData[[#This Row],[cp]]</f>
        <v>atypical angina</v>
      </c>
      <c r="F319" t="str">
        <f>IF(HeartData[[#This Row],[num]]&gt;0, "Diseased", "Healthy")</f>
        <v>Healthy</v>
      </c>
      <c r="G319">
        <f>IF(HeartData[[#This Row],[chol]]&gt;$P$3, 1, 0)</f>
        <v>1</v>
      </c>
      <c r="H319">
        <f>IF(HeartData[[#This Row],[trestbps]]&gt;$P$4, 1, 0)</f>
        <v>1</v>
      </c>
      <c r="I319">
        <f>IF(HeartData[[#This Row],[oldpeak]]&gt;$P$5,1,0)</f>
        <v>0</v>
      </c>
      <c r="J319">
        <f>IF(HeartData[[#This Row],[exang]]="TRUE",1,0)</f>
        <v>0</v>
      </c>
      <c r="K319">
        <f>IF(HeartData[[#This Row],[fbs]]="TRUE",1,0)</f>
        <v>0</v>
      </c>
      <c r="L319">
        <f>IF(HeartData[[#This Row],[ca]]&gt;0,1,0)</f>
        <v>0</v>
      </c>
      <c r="M319">
        <f t="shared" si="13"/>
        <v>2</v>
      </c>
      <c r="N319">
        <f t="shared" si="14"/>
        <v>0</v>
      </c>
    </row>
    <row r="320" spans="1:14" x14ac:dyDescent="0.3">
      <c r="A320">
        <f>HeartData[[#This Row],[id]]</f>
        <v>319</v>
      </c>
      <c r="B320" s="4">
        <f>HeartData[[#This Row],[age]]</f>
        <v>35</v>
      </c>
      <c r="C320" t="str">
        <f>HeartData[[#This Row],[sex]]</f>
        <v>Male</v>
      </c>
      <c r="D320" t="str">
        <f t="shared" si="12"/>
        <v>Under 45</v>
      </c>
      <c r="E320" t="str">
        <f>HeartData[[#This Row],[cp]]</f>
        <v>atypical angina</v>
      </c>
      <c r="F320" t="str">
        <f>IF(HeartData[[#This Row],[num]]&gt;0, "Diseased", "Healthy")</f>
        <v>Healthy</v>
      </c>
      <c r="G320">
        <f>IF(HeartData[[#This Row],[chol]]&gt;$P$3, 1, 0)</f>
        <v>1</v>
      </c>
      <c r="H320">
        <f>IF(HeartData[[#This Row],[trestbps]]&gt;$P$4, 1, 0)</f>
        <v>1</v>
      </c>
      <c r="I320">
        <f>IF(HeartData[[#This Row],[oldpeak]]&gt;$P$5,1,0)</f>
        <v>0</v>
      </c>
      <c r="J320">
        <f>IF(HeartData[[#This Row],[exang]]="TRUE",1,0)</f>
        <v>0</v>
      </c>
      <c r="K320">
        <f>IF(HeartData[[#This Row],[fbs]]="TRUE",1,0)</f>
        <v>0</v>
      </c>
      <c r="L320">
        <f>IF(HeartData[[#This Row],[ca]]&gt;0,1,0)</f>
        <v>0</v>
      </c>
      <c r="M320">
        <f t="shared" si="13"/>
        <v>2</v>
      </c>
      <c r="N320">
        <f t="shared" si="14"/>
        <v>0</v>
      </c>
    </row>
    <row r="321" spans="1:14" x14ac:dyDescent="0.3">
      <c r="A321">
        <f>HeartData[[#This Row],[id]]</f>
        <v>320</v>
      </c>
      <c r="B321" s="4">
        <f>HeartData[[#This Row],[age]]</f>
        <v>36</v>
      </c>
      <c r="C321" t="str">
        <f>HeartData[[#This Row],[sex]]</f>
        <v>Male</v>
      </c>
      <c r="D321" t="str">
        <f t="shared" si="12"/>
        <v>Under 45</v>
      </c>
      <c r="E321" t="str">
        <f>HeartData[[#This Row],[cp]]</f>
        <v>atypical angina</v>
      </c>
      <c r="F321" t="str">
        <f>IF(HeartData[[#This Row],[num]]&gt;0, "Diseased", "Healthy")</f>
        <v>Healthy</v>
      </c>
      <c r="G321">
        <f>IF(HeartData[[#This Row],[chol]]&gt;$P$3, 1, 0)</f>
        <v>1</v>
      </c>
      <c r="H321">
        <f>IF(HeartData[[#This Row],[trestbps]]&gt;$P$4, 1, 0)</f>
        <v>1</v>
      </c>
      <c r="I321">
        <f>IF(HeartData[[#This Row],[oldpeak]]&gt;$P$5,1,0)</f>
        <v>0</v>
      </c>
      <c r="J321">
        <f>IF(HeartData[[#This Row],[exang]]="TRUE",1,0)</f>
        <v>0</v>
      </c>
      <c r="K321">
        <f>IF(HeartData[[#This Row],[fbs]]="TRUE",1,0)</f>
        <v>0</v>
      </c>
      <c r="L321">
        <f>IF(HeartData[[#This Row],[ca]]&gt;0,1,0)</f>
        <v>0</v>
      </c>
      <c r="M321">
        <f t="shared" si="13"/>
        <v>2</v>
      </c>
      <c r="N321">
        <f t="shared" si="14"/>
        <v>0</v>
      </c>
    </row>
    <row r="322" spans="1:14" x14ac:dyDescent="0.3">
      <c r="A322">
        <f>HeartData[[#This Row],[id]]</f>
        <v>321</v>
      </c>
      <c r="B322" s="4">
        <f>HeartData[[#This Row],[age]]</f>
        <v>36</v>
      </c>
      <c r="C322" t="str">
        <f>HeartData[[#This Row],[sex]]</f>
        <v>Male</v>
      </c>
      <c r="D322" t="str">
        <f t="shared" ref="D322:D385" si="15">IF(B322&lt;45,"Under 45",IF(B322&lt;=54,"45-54",IF(B322&lt;=64,"55-64","65+")))</f>
        <v>Under 45</v>
      </c>
      <c r="E322" t="str">
        <f>HeartData[[#This Row],[cp]]</f>
        <v>non-anginal</v>
      </c>
      <c r="F322" t="str">
        <f>IF(HeartData[[#This Row],[num]]&gt;0, "Diseased", "Healthy")</f>
        <v>Healthy</v>
      </c>
      <c r="G322">
        <f>IF(HeartData[[#This Row],[chol]]&gt;$P$3, 1, 0)</f>
        <v>1</v>
      </c>
      <c r="H322">
        <f>IF(HeartData[[#This Row],[trestbps]]&gt;$P$4, 1, 0)</f>
        <v>1</v>
      </c>
      <c r="I322">
        <f>IF(HeartData[[#This Row],[oldpeak]]&gt;$P$5,1,0)</f>
        <v>1</v>
      </c>
      <c r="J322">
        <f>IF(HeartData[[#This Row],[exang]]="TRUE",1,0)</f>
        <v>0</v>
      </c>
      <c r="K322">
        <f>IF(HeartData[[#This Row],[fbs]]="TRUE",1,0)</f>
        <v>0</v>
      </c>
      <c r="L322">
        <f>IF(HeartData[[#This Row],[ca]]&gt;0,1,0)</f>
        <v>0</v>
      </c>
      <c r="M322">
        <f t="shared" si="13"/>
        <v>3</v>
      </c>
      <c r="N322">
        <f t="shared" si="14"/>
        <v>0</v>
      </c>
    </row>
    <row r="323" spans="1:14" x14ac:dyDescent="0.3">
      <c r="A323">
        <f>HeartData[[#This Row],[id]]</f>
        <v>322</v>
      </c>
      <c r="B323" s="4">
        <f>HeartData[[#This Row],[age]]</f>
        <v>36</v>
      </c>
      <c r="C323" t="str">
        <f>HeartData[[#This Row],[sex]]</f>
        <v>Male</v>
      </c>
      <c r="D323" t="str">
        <f t="shared" si="15"/>
        <v>Under 45</v>
      </c>
      <c r="E323" t="str">
        <f>HeartData[[#This Row],[cp]]</f>
        <v>non-anginal</v>
      </c>
      <c r="F323" t="str">
        <f>IF(HeartData[[#This Row],[num]]&gt;0, "Diseased", "Healthy")</f>
        <v>Healthy</v>
      </c>
      <c r="G323">
        <f>IF(HeartData[[#This Row],[chol]]&gt;$P$3, 1, 0)</f>
        <v>1</v>
      </c>
      <c r="H323">
        <f>IF(HeartData[[#This Row],[trestbps]]&gt;$P$4, 1, 0)</f>
        <v>1</v>
      </c>
      <c r="I323">
        <f>IF(HeartData[[#This Row],[oldpeak]]&gt;$P$5,1,0)</f>
        <v>0</v>
      </c>
      <c r="J323">
        <f>IF(HeartData[[#This Row],[exang]]="TRUE",1,0)</f>
        <v>0</v>
      </c>
      <c r="K323">
        <f>IF(HeartData[[#This Row],[fbs]]="TRUE",1,0)</f>
        <v>0</v>
      </c>
      <c r="L323">
        <f>IF(HeartData[[#This Row],[ca]]&gt;0,1,0)</f>
        <v>0</v>
      </c>
      <c r="M323">
        <f t="shared" ref="M323:M386" si="16">G323+H323+I323+J323+K323+L323</f>
        <v>2</v>
      </c>
      <c r="N323">
        <f t="shared" ref="N323:N386" si="17">IF(F323="Diseased",1,0)</f>
        <v>0</v>
      </c>
    </row>
    <row r="324" spans="1:14" x14ac:dyDescent="0.3">
      <c r="A324">
        <f>HeartData[[#This Row],[id]]</f>
        <v>323</v>
      </c>
      <c r="B324" s="4">
        <f>HeartData[[#This Row],[age]]</f>
        <v>36</v>
      </c>
      <c r="C324" t="str">
        <f>HeartData[[#This Row],[sex]]</f>
        <v>Male</v>
      </c>
      <c r="D324" t="str">
        <f t="shared" si="15"/>
        <v>Under 45</v>
      </c>
      <c r="E324" t="str">
        <f>HeartData[[#This Row],[cp]]</f>
        <v>non-anginal</v>
      </c>
      <c r="F324" t="str">
        <f>IF(HeartData[[#This Row],[num]]&gt;0, "Diseased", "Healthy")</f>
        <v>Healthy</v>
      </c>
      <c r="G324">
        <f>IF(HeartData[[#This Row],[chol]]&gt;$P$3, 1, 0)</f>
        <v>1</v>
      </c>
      <c r="H324">
        <f>IF(HeartData[[#This Row],[trestbps]]&gt;$P$4, 1, 0)</f>
        <v>1</v>
      </c>
      <c r="I324">
        <f>IF(HeartData[[#This Row],[oldpeak]]&gt;$P$5,1,0)</f>
        <v>0</v>
      </c>
      <c r="J324">
        <f>IF(HeartData[[#This Row],[exang]]="TRUE",1,0)</f>
        <v>0</v>
      </c>
      <c r="K324">
        <f>IF(HeartData[[#This Row],[fbs]]="TRUE",1,0)</f>
        <v>0</v>
      </c>
      <c r="L324">
        <f>IF(HeartData[[#This Row],[ca]]&gt;0,1,0)</f>
        <v>0</v>
      </c>
      <c r="M324">
        <f t="shared" si="16"/>
        <v>2</v>
      </c>
      <c r="N324">
        <f t="shared" si="17"/>
        <v>0</v>
      </c>
    </row>
    <row r="325" spans="1:14" x14ac:dyDescent="0.3">
      <c r="A325">
        <f>HeartData[[#This Row],[id]]</f>
        <v>324</v>
      </c>
      <c r="B325" s="4">
        <f>HeartData[[#This Row],[age]]</f>
        <v>37</v>
      </c>
      <c r="C325" t="str">
        <f>HeartData[[#This Row],[sex]]</f>
        <v>Female</v>
      </c>
      <c r="D325" t="str">
        <f t="shared" si="15"/>
        <v>Under 45</v>
      </c>
      <c r="E325" t="str">
        <f>HeartData[[#This Row],[cp]]</f>
        <v>atypical angina</v>
      </c>
      <c r="F325" t="str">
        <f>IF(HeartData[[#This Row],[num]]&gt;0, "Diseased", "Healthy")</f>
        <v>Healthy</v>
      </c>
      <c r="G325">
        <f>IF(HeartData[[#This Row],[chol]]&gt;$P$3, 1, 0)</f>
        <v>1</v>
      </c>
      <c r="H325">
        <f>IF(HeartData[[#This Row],[trestbps]]&gt;$P$4, 1, 0)</f>
        <v>1</v>
      </c>
      <c r="I325">
        <f>IF(HeartData[[#This Row],[oldpeak]]&gt;$P$5,1,0)</f>
        <v>0</v>
      </c>
      <c r="J325">
        <f>IF(HeartData[[#This Row],[exang]]="TRUE",1,0)</f>
        <v>0</v>
      </c>
      <c r="K325">
        <f>IF(HeartData[[#This Row],[fbs]]="TRUE",1,0)</f>
        <v>0</v>
      </c>
      <c r="L325">
        <f>IF(HeartData[[#This Row],[ca]]&gt;0,1,0)</f>
        <v>0</v>
      </c>
      <c r="M325">
        <f t="shared" si="16"/>
        <v>2</v>
      </c>
      <c r="N325">
        <f t="shared" si="17"/>
        <v>0</v>
      </c>
    </row>
    <row r="326" spans="1:14" x14ac:dyDescent="0.3">
      <c r="A326">
        <f>HeartData[[#This Row],[id]]</f>
        <v>325</v>
      </c>
      <c r="B326" s="4">
        <f>HeartData[[#This Row],[age]]</f>
        <v>37</v>
      </c>
      <c r="C326" t="str">
        <f>HeartData[[#This Row],[sex]]</f>
        <v>Female</v>
      </c>
      <c r="D326" t="str">
        <f t="shared" si="15"/>
        <v>Under 45</v>
      </c>
      <c r="E326" t="str">
        <f>HeartData[[#This Row],[cp]]</f>
        <v>non-anginal</v>
      </c>
      <c r="F326" t="str">
        <f>IF(HeartData[[#This Row],[num]]&gt;0, "Diseased", "Healthy")</f>
        <v>Healthy</v>
      </c>
      <c r="G326">
        <f>IF(HeartData[[#This Row],[chol]]&gt;$P$3, 1, 0)</f>
        <v>1</v>
      </c>
      <c r="H326">
        <f>IF(HeartData[[#This Row],[trestbps]]&gt;$P$4, 1, 0)</f>
        <v>1</v>
      </c>
      <c r="I326">
        <f>IF(HeartData[[#This Row],[oldpeak]]&gt;$P$5,1,0)</f>
        <v>0</v>
      </c>
      <c r="J326">
        <f>IF(HeartData[[#This Row],[exang]]="TRUE",1,0)</f>
        <v>0</v>
      </c>
      <c r="K326">
        <f>IF(HeartData[[#This Row],[fbs]]="TRUE",1,0)</f>
        <v>0</v>
      </c>
      <c r="L326">
        <f>IF(HeartData[[#This Row],[ca]]&gt;0,1,0)</f>
        <v>0</v>
      </c>
      <c r="M326">
        <f t="shared" si="16"/>
        <v>2</v>
      </c>
      <c r="N326">
        <f t="shared" si="17"/>
        <v>0</v>
      </c>
    </row>
    <row r="327" spans="1:14" x14ac:dyDescent="0.3">
      <c r="A327">
        <f>HeartData[[#This Row],[id]]</f>
        <v>326</v>
      </c>
      <c r="B327" s="4">
        <f>HeartData[[#This Row],[age]]</f>
        <v>37</v>
      </c>
      <c r="C327" t="str">
        <f>HeartData[[#This Row],[sex]]</f>
        <v>Female</v>
      </c>
      <c r="D327" t="str">
        <f t="shared" si="15"/>
        <v>Under 45</v>
      </c>
      <c r="E327" t="str">
        <f>HeartData[[#This Row],[cp]]</f>
        <v>asymptomatic</v>
      </c>
      <c r="F327" t="str">
        <f>IF(HeartData[[#This Row],[num]]&gt;0, "Diseased", "Healthy")</f>
        <v>Healthy</v>
      </c>
      <c r="G327">
        <f>IF(HeartData[[#This Row],[chol]]&gt;$P$3, 1, 0)</f>
        <v>1</v>
      </c>
      <c r="H327">
        <f>IF(HeartData[[#This Row],[trestbps]]&gt;$P$4, 1, 0)</f>
        <v>1</v>
      </c>
      <c r="I327">
        <f>IF(HeartData[[#This Row],[oldpeak]]&gt;$P$5,1,0)</f>
        <v>0</v>
      </c>
      <c r="J327">
        <f>IF(HeartData[[#This Row],[exang]]="TRUE",1,0)</f>
        <v>0</v>
      </c>
      <c r="K327">
        <f>IF(HeartData[[#This Row],[fbs]]="TRUE",1,0)</f>
        <v>0</v>
      </c>
      <c r="L327">
        <f>IF(HeartData[[#This Row],[ca]]&gt;0,1,0)</f>
        <v>0</v>
      </c>
      <c r="M327">
        <f t="shared" si="16"/>
        <v>2</v>
      </c>
      <c r="N327">
        <f t="shared" si="17"/>
        <v>0</v>
      </c>
    </row>
    <row r="328" spans="1:14" x14ac:dyDescent="0.3">
      <c r="A328">
        <f>HeartData[[#This Row],[id]]</f>
        <v>327</v>
      </c>
      <c r="B328" s="4">
        <f>HeartData[[#This Row],[age]]</f>
        <v>37</v>
      </c>
      <c r="C328" t="str">
        <f>HeartData[[#This Row],[sex]]</f>
        <v>Male</v>
      </c>
      <c r="D328" t="str">
        <f t="shared" si="15"/>
        <v>Under 45</v>
      </c>
      <c r="E328" t="str">
        <f>HeartData[[#This Row],[cp]]</f>
        <v>atypical angina</v>
      </c>
      <c r="F328" t="str">
        <f>IF(HeartData[[#This Row],[num]]&gt;0, "Diseased", "Healthy")</f>
        <v>Healthy</v>
      </c>
      <c r="G328">
        <f>IF(HeartData[[#This Row],[chol]]&gt;$P$3, 1, 0)</f>
        <v>1</v>
      </c>
      <c r="H328">
        <f>IF(HeartData[[#This Row],[trestbps]]&gt;$P$4, 1, 0)</f>
        <v>1</v>
      </c>
      <c r="I328">
        <f>IF(HeartData[[#This Row],[oldpeak]]&gt;$P$5,1,0)</f>
        <v>0</v>
      </c>
      <c r="J328">
        <f>IF(HeartData[[#This Row],[exang]]="TRUE",1,0)</f>
        <v>0</v>
      </c>
      <c r="K328">
        <f>IF(HeartData[[#This Row],[fbs]]="TRUE",1,0)</f>
        <v>0</v>
      </c>
      <c r="L328">
        <f>IF(HeartData[[#This Row],[ca]]&gt;0,1,0)</f>
        <v>0</v>
      </c>
      <c r="M328">
        <f t="shared" si="16"/>
        <v>2</v>
      </c>
      <c r="N328">
        <f t="shared" si="17"/>
        <v>0</v>
      </c>
    </row>
    <row r="329" spans="1:14" x14ac:dyDescent="0.3">
      <c r="A329">
        <f>HeartData[[#This Row],[id]]</f>
        <v>328</v>
      </c>
      <c r="B329" s="4">
        <f>HeartData[[#This Row],[age]]</f>
        <v>37</v>
      </c>
      <c r="C329" t="str">
        <f>HeartData[[#This Row],[sex]]</f>
        <v>Male</v>
      </c>
      <c r="D329" t="str">
        <f t="shared" si="15"/>
        <v>Under 45</v>
      </c>
      <c r="E329" t="str">
        <f>HeartData[[#This Row],[cp]]</f>
        <v>non-anginal</v>
      </c>
      <c r="F329" t="str">
        <f>IF(HeartData[[#This Row],[num]]&gt;0, "Diseased", "Healthy")</f>
        <v>Healthy</v>
      </c>
      <c r="G329">
        <f>IF(HeartData[[#This Row],[chol]]&gt;$P$3, 1, 0)</f>
        <v>1</v>
      </c>
      <c r="H329">
        <f>IF(HeartData[[#This Row],[trestbps]]&gt;$P$4, 1, 0)</f>
        <v>1</v>
      </c>
      <c r="I329">
        <f>IF(HeartData[[#This Row],[oldpeak]]&gt;$P$5,1,0)</f>
        <v>0</v>
      </c>
      <c r="J329">
        <f>IF(HeartData[[#This Row],[exang]]="TRUE",1,0)</f>
        <v>0</v>
      </c>
      <c r="K329">
        <f>IF(HeartData[[#This Row],[fbs]]="TRUE",1,0)</f>
        <v>0</v>
      </c>
      <c r="L329">
        <f>IF(HeartData[[#This Row],[ca]]&gt;0,1,0)</f>
        <v>0</v>
      </c>
      <c r="M329">
        <f t="shared" si="16"/>
        <v>2</v>
      </c>
      <c r="N329">
        <f t="shared" si="17"/>
        <v>0</v>
      </c>
    </row>
    <row r="330" spans="1:14" x14ac:dyDescent="0.3">
      <c r="A330">
        <f>HeartData[[#This Row],[id]]</f>
        <v>329</v>
      </c>
      <c r="B330" s="4">
        <f>HeartData[[#This Row],[age]]</f>
        <v>37</v>
      </c>
      <c r="C330" t="str">
        <f>HeartData[[#This Row],[sex]]</f>
        <v>Male</v>
      </c>
      <c r="D330" t="str">
        <f t="shared" si="15"/>
        <v>Under 45</v>
      </c>
      <c r="E330" t="str">
        <f>HeartData[[#This Row],[cp]]</f>
        <v>asymptomatic</v>
      </c>
      <c r="F330" t="str">
        <f>IF(HeartData[[#This Row],[num]]&gt;0, "Diseased", "Healthy")</f>
        <v>Healthy</v>
      </c>
      <c r="G330">
        <f>IF(HeartData[[#This Row],[chol]]&gt;$P$3, 1, 0)</f>
        <v>1</v>
      </c>
      <c r="H330">
        <f>IF(HeartData[[#This Row],[trestbps]]&gt;$P$4, 1, 0)</f>
        <v>1</v>
      </c>
      <c r="I330">
        <f>IF(HeartData[[#This Row],[oldpeak]]&gt;$P$5,1,0)</f>
        <v>0</v>
      </c>
      <c r="J330">
        <f>IF(HeartData[[#This Row],[exang]]="TRUE",1,0)</f>
        <v>0</v>
      </c>
      <c r="K330">
        <f>IF(HeartData[[#This Row],[fbs]]="TRUE",1,0)</f>
        <v>0</v>
      </c>
      <c r="L330">
        <f>IF(HeartData[[#This Row],[ca]]&gt;0,1,0)</f>
        <v>0</v>
      </c>
      <c r="M330">
        <f t="shared" si="16"/>
        <v>2</v>
      </c>
      <c r="N330">
        <f t="shared" si="17"/>
        <v>0</v>
      </c>
    </row>
    <row r="331" spans="1:14" x14ac:dyDescent="0.3">
      <c r="A331">
        <f>HeartData[[#This Row],[id]]</f>
        <v>330</v>
      </c>
      <c r="B331" s="4">
        <f>HeartData[[#This Row],[age]]</f>
        <v>37</v>
      </c>
      <c r="C331" t="str">
        <f>HeartData[[#This Row],[sex]]</f>
        <v>Male</v>
      </c>
      <c r="D331" t="str">
        <f t="shared" si="15"/>
        <v>Under 45</v>
      </c>
      <c r="E331" t="str">
        <f>HeartData[[#This Row],[cp]]</f>
        <v>asymptomatic</v>
      </c>
      <c r="F331" t="str">
        <f>IF(HeartData[[#This Row],[num]]&gt;0, "Diseased", "Healthy")</f>
        <v>Healthy</v>
      </c>
      <c r="G331">
        <f>IF(HeartData[[#This Row],[chol]]&gt;$P$3, 1, 0)</f>
        <v>1</v>
      </c>
      <c r="H331">
        <f>IF(HeartData[[#This Row],[trestbps]]&gt;$P$4, 1, 0)</f>
        <v>1</v>
      </c>
      <c r="I331">
        <f>IF(HeartData[[#This Row],[oldpeak]]&gt;$P$5,1,0)</f>
        <v>0</v>
      </c>
      <c r="J331">
        <f>IF(HeartData[[#This Row],[exang]]="TRUE",1,0)</f>
        <v>0</v>
      </c>
      <c r="K331">
        <f>IF(HeartData[[#This Row],[fbs]]="TRUE",1,0)</f>
        <v>0</v>
      </c>
      <c r="L331">
        <f>IF(HeartData[[#This Row],[ca]]&gt;0,1,0)</f>
        <v>0</v>
      </c>
      <c r="M331">
        <f t="shared" si="16"/>
        <v>2</v>
      </c>
      <c r="N331">
        <f t="shared" si="17"/>
        <v>0</v>
      </c>
    </row>
    <row r="332" spans="1:14" x14ac:dyDescent="0.3">
      <c r="A332">
        <f>HeartData[[#This Row],[id]]</f>
        <v>331</v>
      </c>
      <c r="B332" s="4">
        <f>HeartData[[#This Row],[age]]</f>
        <v>38</v>
      </c>
      <c r="C332" t="str">
        <f>HeartData[[#This Row],[sex]]</f>
        <v>Female</v>
      </c>
      <c r="D332" t="str">
        <f t="shared" si="15"/>
        <v>Under 45</v>
      </c>
      <c r="E332" t="str">
        <f>HeartData[[#This Row],[cp]]</f>
        <v>atypical angina</v>
      </c>
      <c r="F332" t="str">
        <f>IF(HeartData[[#This Row],[num]]&gt;0, "Diseased", "Healthy")</f>
        <v>Healthy</v>
      </c>
      <c r="G332">
        <f>IF(HeartData[[#This Row],[chol]]&gt;$P$3, 1, 0)</f>
        <v>1</v>
      </c>
      <c r="H332">
        <f>IF(HeartData[[#This Row],[trestbps]]&gt;$P$4, 1, 0)</f>
        <v>1</v>
      </c>
      <c r="I332">
        <f>IF(HeartData[[#This Row],[oldpeak]]&gt;$P$5,1,0)</f>
        <v>0</v>
      </c>
      <c r="J332">
        <f>IF(HeartData[[#This Row],[exang]]="TRUE",1,0)</f>
        <v>0</v>
      </c>
      <c r="K332">
        <f>IF(HeartData[[#This Row],[fbs]]="TRUE",1,0)</f>
        <v>0</v>
      </c>
      <c r="L332">
        <f>IF(HeartData[[#This Row],[ca]]&gt;0,1,0)</f>
        <v>0</v>
      </c>
      <c r="M332">
        <f t="shared" si="16"/>
        <v>2</v>
      </c>
      <c r="N332">
        <f t="shared" si="17"/>
        <v>0</v>
      </c>
    </row>
    <row r="333" spans="1:14" x14ac:dyDescent="0.3">
      <c r="A333">
        <f>HeartData[[#This Row],[id]]</f>
        <v>332</v>
      </c>
      <c r="B333" s="4">
        <f>HeartData[[#This Row],[age]]</f>
        <v>38</v>
      </c>
      <c r="C333" t="str">
        <f>HeartData[[#This Row],[sex]]</f>
        <v>Male</v>
      </c>
      <c r="D333" t="str">
        <f t="shared" si="15"/>
        <v>Under 45</v>
      </c>
      <c r="E333" t="str">
        <f>HeartData[[#This Row],[cp]]</f>
        <v>atypical angina</v>
      </c>
      <c r="F333" t="str">
        <f>IF(HeartData[[#This Row],[num]]&gt;0, "Diseased", "Healthy")</f>
        <v>Healthy</v>
      </c>
      <c r="G333">
        <f>IF(HeartData[[#This Row],[chol]]&gt;$P$3, 1, 0)</f>
        <v>1</v>
      </c>
      <c r="H333">
        <f>IF(HeartData[[#This Row],[trestbps]]&gt;$P$4, 1, 0)</f>
        <v>1</v>
      </c>
      <c r="I333">
        <f>IF(HeartData[[#This Row],[oldpeak]]&gt;$P$5,1,0)</f>
        <v>0</v>
      </c>
      <c r="J333">
        <f>IF(HeartData[[#This Row],[exang]]="TRUE",1,0)</f>
        <v>0</v>
      </c>
      <c r="K333">
        <f>IF(HeartData[[#This Row],[fbs]]="TRUE",1,0)</f>
        <v>0</v>
      </c>
      <c r="L333">
        <f>IF(HeartData[[#This Row],[ca]]&gt;0,1,0)</f>
        <v>0</v>
      </c>
      <c r="M333">
        <f t="shared" si="16"/>
        <v>2</v>
      </c>
      <c r="N333">
        <f t="shared" si="17"/>
        <v>0</v>
      </c>
    </row>
    <row r="334" spans="1:14" x14ac:dyDescent="0.3">
      <c r="A334">
        <f>HeartData[[#This Row],[id]]</f>
        <v>333</v>
      </c>
      <c r="B334" s="4">
        <f>HeartData[[#This Row],[age]]</f>
        <v>38</v>
      </c>
      <c r="C334" t="str">
        <f>HeartData[[#This Row],[sex]]</f>
        <v>Male</v>
      </c>
      <c r="D334" t="str">
        <f t="shared" si="15"/>
        <v>Under 45</v>
      </c>
      <c r="E334" t="str">
        <f>HeartData[[#This Row],[cp]]</f>
        <v>non-anginal</v>
      </c>
      <c r="F334" t="str">
        <f>IF(HeartData[[#This Row],[num]]&gt;0, "Diseased", "Healthy")</f>
        <v>Healthy</v>
      </c>
      <c r="G334">
        <f>IF(HeartData[[#This Row],[chol]]&gt;$P$3, 1, 0)</f>
        <v>1</v>
      </c>
      <c r="H334">
        <f>IF(HeartData[[#This Row],[trestbps]]&gt;$P$4, 1, 0)</f>
        <v>1</v>
      </c>
      <c r="I334">
        <f>IF(HeartData[[#This Row],[oldpeak]]&gt;$P$5,1,0)</f>
        <v>0</v>
      </c>
      <c r="J334">
        <f>IF(HeartData[[#This Row],[exang]]="TRUE",1,0)</f>
        <v>0</v>
      </c>
      <c r="K334">
        <f>IF(HeartData[[#This Row],[fbs]]="TRUE",1,0)</f>
        <v>0</v>
      </c>
      <c r="L334">
        <f>IF(HeartData[[#This Row],[ca]]&gt;0,1,0)</f>
        <v>0</v>
      </c>
      <c r="M334">
        <f t="shared" si="16"/>
        <v>2</v>
      </c>
      <c r="N334">
        <f t="shared" si="17"/>
        <v>0</v>
      </c>
    </row>
    <row r="335" spans="1:14" x14ac:dyDescent="0.3">
      <c r="A335">
        <f>HeartData[[#This Row],[id]]</f>
        <v>334</v>
      </c>
      <c r="B335" s="4">
        <f>HeartData[[#This Row],[age]]</f>
        <v>39</v>
      </c>
      <c r="C335" t="str">
        <f>HeartData[[#This Row],[sex]]</f>
        <v>Female</v>
      </c>
      <c r="D335" t="str">
        <f t="shared" si="15"/>
        <v>Under 45</v>
      </c>
      <c r="E335" t="str">
        <f>HeartData[[#This Row],[cp]]</f>
        <v>non-anginal</v>
      </c>
      <c r="F335" t="str">
        <f>IF(HeartData[[#This Row],[num]]&gt;0, "Diseased", "Healthy")</f>
        <v>Healthy</v>
      </c>
      <c r="G335">
        <f>IF(HeartData[[#This Row],[chol]]&gt;$P$3, 1, 0)</f>
        <v>1</v>
      </c>
      <c r="H335">
        <f>IF(HeartData[[#This Row],[trestbps]]&gt;$P$4, 1, 0)</f>
        <v>1</v>
      </c>
      <c r="I335">
        <f>IF(HeartData[[#This Row],[oldpeak]]&gt;$P$5,1,0)</f>
        <v>0</v>
      </c>
      <c r="J335">
        <f>IF(HeartData[[#This Row],[exang]]="TRUE",1,0)</f>
        <v>0</v>
      </c>
      <c r="K335">
        <f>IF(HeartData[[#This Row],[fbs]]="TRUE",1,0)</f>
        <v>0</v>
      </c>
      <c r="L335">
        <f>IF(HeartData[[#This Row],[ca]]&gt;0,1,0)</f>
        <v>0</v>
      </c>
      <c r="M335">
        <f t="shared" si="16"/>
        <v>2</v>
      </c>
      <c r="N335">
        <f t="shared" si="17"/>
        <v>0</v>
      </c>
    </row>
    <row r="336" spans="1:14" x14ac:dyDescent="0.3">
      <c r="A336">
        <f>HeartData[[#This Row],[id]]</f>
        <v>335</v>
      </c>
      <c r="B336" s="4">
        <f>HeartData[[#This Row],[age]]</f>
        <v>39</v>
      </c>
      <c r="C336" t="str">
        <f>HeartData[[#This Row],[sex]]</f>
        <v>Male</v>
      </c>
      <c r="D336" t="str">
        <f t="shared" si="15"/>
        <v>Under 45</v>
      </c>
      <c r="E336" t="str">
        <f>HeartData[[#This Row],[cp]]</f>
        <v>atypical angina</v>
      </c>
      <c r="F336" t="str">
        <f>IF(HeartData[[#This Row],[num]]&gt;0, "Diseased", "Healthy")</f>
        <v>Healthy</v>
      </c>
      <c r="G336">
        <f>IF(HeartData[[#This Row],[chol]]&gt;$P$3, 1, 0)</f>
        <v>0</v>
      </c>
      <c r="H336">
        <f>IF(HeartData[[#This Row],[trestbps]]&gt;$P$4, 1, 0)</f>
        <v>1</v>
      </c>
      <c r="I336">
        <f>IF(HeartData[[#This Row],[oldpeak]]&gt;$P$5,1,0)</f>
        <v>1</v>
      </c>
      <c r="J336">
        <f>IF(HeartData[[#This Row],[exang]]="TRUE",1,0)</f>
        <v>0</v>
      </c>
      <c r="K336">
        <f>IF(HeartData[[#This Row],[fbs]]="TRUE",1,0)</f>
        <v>0</v>
      </c>
      <c r="L336">
        <f>IF(HeartData[[#This Row],[ca]]&gt;0,1,0)</f>
        <v>0</v>
      </c>
      <c r="M336">
        <f t="shared" si="16"/>
        <v>2</v>
      </c>
      <c r="N336">
        <f t="shared" si="17"/>
        <v>0</v>
      </c>
    </row>
    <row r="337" spans="1:14" x14ac:dyDescent="0.3">
      <c r="A337">
        <f>HeartData[[#This Row],[id]]</f>
        <v>336</v>
      </c>
      <c r="B337" s="4">
        <f>HeartData[[#This Row],[age]]</f>
        <v>39</v>
      </c>
      <c r="C337" t="str">
        <f>HeartData[[#This Row],[sex]]</f>
        <v>Male</v>
      </c>
      <c r="D337" t="str">
        <f t="shared" si="15"/>
        <v>Under 45</v>
      </c>
      <c r="E337" t="str">
        <f>HeartData[[#This Row],[cp]]</f>
        <v>atypical angina</v>
      </c>
      <c r="F337" t="str">
        <f>IF(HeartData[[#This Row],[num]]&gt;0, "Diseased", "Healthy")</f>
        <v>Healthy</v>
      </c>
      <c r="G337">
        <f>IF(HeartData[[#This Row],[chol]]&gt;$P$3, 1, 0)</f>
        <v>1</v>
      </c>
      <c r="H337">
        <f>IF(HeartData[[#This Row],[trestbps]]&gt;$P$4, 1, 0)</f>
        <v>1</v>
      </c>
      <c r="I337">
        <f>IF(HeartData[[#This Row],[oldpeak]]&gt;$P$5,1,0)</f>
        <v>1</v>
      </c>
      <c r="J337">
        <f>IF(HeartData[[#This Row],[exang]]="TRUE",1,0)</f>
        <v>1</v>
      </c>
      <c r="K337">
        <f>IF(HeartData[[#This Row],[fbs]]="TRUE",1,0)</f>
        <v>0</v>
      </c>
      <c r="L337">
        <f>IF(HeartData[[#This Row],[ca]]&gt;0,1,0)</f>
        <v>0</v>
      </c>
      <c r="M337">
        <f t="shared" si="16"/>
        <v>4</v>
      </c>
      <c r="N337">
        <f t="shared" si="17"/>
        <v>0</v>
      </c>
    </row>
    <row r="338" spans="1:14" x14ac:dyDescent="0.3">
      <c r="A338">
        <f>HeartData[[#This Row],[id]]</f>
        <v>337</v>
      </c>
      <c r="B338" s="4">
        <f>HeartData[[#This Row],[age]]</f>
        <v>39</v>
      </c>
      <c r="C338" t="str">
        <f>HeartData[[#This Row],[sex]]</f>
        <v>Male</v>
      </c>
      <c r="D338" t="str">
        <f t="shared" si="15"/>
        <v>Under 45</v>
      </c>
      <c r="E338" t="str">
        <f>HeartData[[#This Row],[cp]]</f>
        <v>atypical angina</v>
      </c>
      <c r="F338" t="str">
        <f>IF(HeartData[[#This Row],[num]]&gt;0, "Diseased", "Healthy")</f>
        <v>Healthy</v>
      </c>
      <c r="G338">
        <f>IF(HeartData[[#This Row],[chol]]&gt;$P$3, 1, 0)</f>
        <v>1</v>
      </c>
      <c r="H338">
        <f>IF(HeartData[[#This Row],[trestbps]]&gt;$P$4, 1, 0)</f>
        <v>1</v>
      </c>
      <c r="I338">
        <f>IF(HeartData[[#This Row],[oldpeak]]&gt;$P$5,1,0)</f>
        <v>0</v>
      </c>
      <c r="J338">
        <f>IF(HeartData[[#This Row],[exang]]="TRUE",1,0)</f>
        <v>0</v>
      </c>
      <c r="K338">
        <f>IF(HeartData[[#This Row],[fbs]]="TRUE",1,0)</f>
        <v>0</v>
      </c>
      <c r="L338">
        <f>IF(HeartData[[#This Row],[ca]]&gt;0,1,0)</f>
        <v>0</v>
      </c>
      <c r="M338">
        <f t="shared" si="16"/>
        <v>2</v>
      </c>
      <c r="N338">
        <f t="shared" si="17"/>
        <v>0</v>
      </c>
    </row>
    <row r="339" spans="1:14" x14ac:dyDescent="0.3">
      <c r="A339">
        <f>HeartData[[#This Row],[id]]</f>
        <v>338</v>
      </c>
      <c r="B339" s="4">
        <f>HeartData[[#This Row],[age]]</f>
        <v>39</v>
      </c>
      <c r="C339" t="str">
        <f>HeartData[[#This Row],[sex]]</f>
        <v>Male</v>
      </c>
      <c r="D339" t="str">
        <f t="shared" si="15"/>
        <v>Under 45</v>
      </c>
      <c r="E339" t="str">
        <f>HeartData[[#This Row],[cp]]</f>
        <v>atypical angina</v>
      </c>
      <c r="F339" t="str">
        <f>IF(HeartData[[#This Row],[num]]&gt;0, "Diseased", "Healthy")</f>
        <v>Healthy</v>
      </c>
      <c r="G339">
        <f>IF(HeartData[[#This Row],[chol]]&gt;$P$3, 1, 0)</f>
        <v>0</v>
      </c>
      <c r="H339">
        <f>IF(HeartData[[#This Row],[trestbps]]&gt;$P$4, 1, 0)</f>
        <v>1</v>
      </c>
      <c r="I339">
        <f>IF(HeartData[[#This Row],[oldpeak]]&gt;$P$5,1,0)</f>
        <v>0</v>
      </c>
      <c r="J339">
        <f>IF(HeartData[[#This Row],[exang]]="TRUE",1,0)</f>
        <v>0</v>
      </c>
      <c r="K339">
        <f>IF(HeartData[[#This Row],[fbs]]="TRUE",1,0)</f>
        <v>0</v>
      </c>
      <c r="L339">
        <f>IF(HeartData[[#This Row],[ca]]&gt;0,1,0)</f>
        <v>0</v>
      </c>
      <c r="M339">
        <f t="shared" si="16"/>
        <v>1</v>
      </c>
      <c r="N339">
        <f t="shared" si="17"/>
        <v>0</v>
      </c>
    </row>
    <row r="340" spans="1:14" x14ac:dyDescent="0.3">
      <c r="A340">
        <f>HeartData[[#This Row],[id]]</f>
        <v>339</v>
      </c>
      <c r="B340" s="4">
        <f>HeartData[[#This Row],[age]]</f>
        <v>39</v>
      </c>
      <c r="C340" t="str">
        <f>HeartData[[#This Row],[sex]]</f>
        <v>Male</v>
      </c>
      <c r="D340" t="str">
        <f t="shared" si="15"/>
        <v>Under 45</v>
      </c>
      <c r="E340" t="str">
        <f>HeartData[[#This Row],[cp]]</f>
        <v>atypical angina</v>
      </c>
      <c r="F340" t="str">
        <f>IF(HeartData[[#This Row],[num]]&gt;0, "Diseased", "Healthy")</f>
        <v>Healthy</v>
      </c>
      <c r="G340">
        <f>IF(HeartData[[#This Row],[chol]]&gt;$P$3, 1, 0)</f>
        <v>1</v>
      </c>
      <c r="H340">
        <f>IF(HeartData[[#This Row],[trestbps]]&gt;$P$4, 1, 0)</f>
        <v>1</v>
      </c>
      <c r="I340">
        <f>IF(HeartData[[#This Row],[oldpeak]]&gt;$P$5,1,0)</f>
        <v>0</v>
      </c>
      <c r="J340">
        <f>IF(HeartData[[#This Row],[exang]]="TRUE",1,0)</f>
        <v>0</v>
      </c>
      <c r="K340">
        <f>IF(HeartData[[#This Row],[fbs]]="TRUE",1,0)</f>
        <v>0</v>
      </c>
      <c r="L340">
        <f>IF(HeartData[[#This Row],[ca]]&gt;0,1,0)</f>
        <v>0</v>
      </c>
      <c r="M340">
        <f t="shared" si="16"/>
        <v>2</v>
      </c>
      <c r="N340">
        <f t="shared" si="17"/>
        <v>0</v>
      </c>
    </row>
    <row r="341" spans="1:14" x14ac:dyDescent="0.3">
      <c r="A341">
        <f>HeartData[[#This Row],[id]]</f>
        <v>340</v>
      </c>
      <c r="B341" s="4">
        <f>HeartData[[#This Row],[age]]</f>
        <v>39</v>
      </c>
      <c r="C341" t="str">
        <f>HeartData[[#This Row],[sex]]</f>
        <v>Male</v>
      </c>
      <c r="D341" t="str">
        <f t="shared" si="15"/>
        <v>Under 45</v>
      </c>
      <c r="E341" t="str">
        <f>HeartData[[#This Row],[cp]]</f>
        <v>non-anginal</v>
      </c>
      <c r="F341" t="str">
        <f>IF(HeartData[[#This Row],[num]]&gt;0, "Diseased", "Healthy")</f>
        <v>Healthy</v>
      </c>
      <c r="G341">
        <f>IF(HeartData[[#This Row],[chol]]&gt;$P$3, 1, 0)</f>
        <v>1</v>
      </c>
      <c r="H341">
        <f>IF(HeartData[[#This Row],[trestbps]]&gt;$P$4, 1, 0)</f>
        <v>1</v>
      </c>
      <c r="I341">
        <f>IF(HeartData[[#This Row],[oldpeak]]&gt;$P$5,1,0)</f>
        <v>0</v>
      </c>
      <c r="J341">
        <f>IF(HeartData[[#This Row],[exang]]="TRUE",1,0)</f>
        <v>0</v>
      </c>
      <c r="K341">
        <f>IF(HeartData[[#This Row],[fbs]]="TRUE",1,0)</f>
        <v>0</v>
      </c>
      <c r="L341">
        <f>IF(HeartData[[#This Row],[ca]]&gt;0,1,0)</f>
        <v>0</v>
      </c>
      <c r="M341">
        <f t="shared" si="16"/>
        <v>2</v>
      </c>
      <c r="N341">
        <f t="shared" si="17"/>
        <v>0</v>
      </c>
    </row>
    <row r="342" spans="1:14" x14ac:dyDescent="0.3">
      <c r="A342">
        <f>HeartData[[#This Row],[id]]</f>
        <v>341</v>
      </c>
      <c r="B342" s="4">
        <f>HeartData[[#This Row],[age]]</f>
        <v>39</v>
      </c>
      <c r="C342" t="str">
        <f>HeartData[[#This Row],[sex]]</f>
        <v>Male</v>
      </c>
      <c r="D342" t="str">
        <f t="shared" si="15"/>
        <v>Under 45</v>
      </c>
      <c r="E342" t="str">
        <f>HeartData[[#This Row],[cp]]</f>
        <v>non-anginal</v>
      </c>
      <c r="F342" t="str">
        <f>IF(HeartData[[#This Row],[num]]&gt;0, "Diseased", "Healthy")</f>
        <v>Healthy</v>
      </c>
      <c r="G342">
        <f>IF(HeartData[[#This Row],[chol]]&gt;$P$3, 1, 0)</f>
        <v>1</v>
      </c>
      <c r="H342">
        <f>IF(HeartData[[#This Row],[trestbps]]&gt;$P$4, 1, 0)</f>
        <v>1</v>
      </c>
      <c r="I342">
        <f>IF(HeartData[[#This Row],[oldpeak]]&gt;$P$5,1,0)</f>
        <v>0</v>
      </c>
      <c r="J342">
        <f>IF(HeartData[[#This Row],[exang]]="TRUE",1,0)</f>
        <v>0</v>
      </c>
      <c r="K342">
        <f>IF(HeartData[[#This Row],[fbs]]="TRUE",1,0)</f>
        <v>1</v>
      </c>
      <c r="L342">
        <f>IF(HeartData[[#This Row],[ca]]&gt;0,1,0)</f>
        <v>0</v>
      </c>
      <c r="M342">
        <f t="shared" si="16"/>
        <v>3</v>
      </c>
      <c r="N342">
        <f t="shared" si="17"/>
        <v>0</v>
      </c>
    </row>
    <row r="343" spans="1:14" x14ac:dyDescent="0.3">
      <c r="A343">
        <f>HeartData[[#This Row],[id]]</f>
        <v>342</v>
      </c>
      <c r="B343" s="4">
        <f>HeartData[[#This Row],[age]]</f>
        <v>39</v>
      </c>
      <c r="C343" t="str">
        <f>HeartData[[#This Row],[sex]]</f>
        <v>Male</v>
      </c>
      <c r="D343" t="str">
        <f t="shared" si="15"/>
        <v>Under 45</v>
      </c>
      <c r="E343" t="str">
        <f>HeartData[[#This Row],[cp]]</f>
        <v>asymptomatic</v>
      </c>
      <c r="F343" t="str">
        <f>IF(HeartData[[#This Row],[num]]&gt;0, "Diseased", "Healthy")</f>
        <v>Healthy</v>
      </c>
      <c r="G343">
        <f>IF(HeartData[[#This Row],[chol]]&gt;$P$3, 1, 0)</f>
        <v>1</v>
      </c>
      <c r="H343">
        <f>IF(HeartData[[#This Row],[trestbps]]&gt;$P$4, 1, 0)</f>
        <v>1</v>
      </c>
      <c r="I343">
        <f>IF(HeartData[[#This Row],[oldpeak]]&gt;$P$5,1,0)</f>
        <v>0</v>
      </c>
      <c r="J343">
        <f>IF(HeartData[[#This Row],[exang]]="TRUE",1,0)</f>
        <v>0</v>
      </c>
      <c r="K343">
        <f>IF(HeartData[[#This Row],[fbs]]="TRUE",1,0)</f>
        <v>0</v>
      </c>
      <c r="L343">
        <f>IF(HeartData[[#This Row],[ca]]&gt;0,1,0)</f>
        <v>0</v>
      </c>
      <c r="M343">
        <f t="shared" si="16"/>
        <v>2</v>
      </c>
      <c r="N343">
        <f t="shared" si="17"/>
        <v>0</v>
      </c>
    </row>
    <row r="344" spans="1:14" x14ac:dyDescent="0.3">
      <c r="A344">
        <f>HeartData[[#This Row],[id]]</f>
        <v>343</v>
      </c>
      <c r="B344" s="4">
        <f>HeartData[[#This Row],[age]]</f>
        <v>39</v>
      </c>
      <c r="C344" t="str">
        <f>HeartData[[#This Row],[sex]]</f>
        <v>Male</v>
      </c>
      <c r="D344" t="str">
        <f t="shared" si="15"/>
        <v>Under 45</v>
      </c>
      <c r="E344" t="str">
        <f>HeartData[[#This Row],[cp]]</f>
        <v>asymptomatic</v>
      </c>
      <c r="F344" t="str">
        <f>IF(HeartData[[#This Row],[num]]&gt;0, "Diseased", "Healthy")</f>
        <v>Healthy</v>
      </c>
      <c r="G344">
        <f>IF(HeartData[[#This Row],[chol]]&gt;$P$3, 1, 0)</f>
        <v>1</v>
      </c>
      <c r="H344">
        <f>IF(HeartData[[#This Row],[trestbps]]&gt;$P$4, 1, 0)</f>
        <v>1</v>
      </c>
      <c r="I344">
        <f>IF(HeartData[[#This Row],[oldpeak]]&gt;$P$5,1,0)</f>
        <v>0</v>
      </c>
      <c r="J344">
        <f>IF(HeartData[[#This Row],[exang]]="TRUE",1,0)</f>
        <v>0</v>
      </c>
      <c r="K344">
        <f>IF(HeartData[[#This Row],[fbs]]="TRUE",1,0)</f>
        <v>0</v>
      </c>
      <c r="L344">
        <f>IF(HeartData[[#This Row],[ca]]&gt;0,1,0)</f>
        <v>0</v>
      </c>
      <c r="M344">
        <f t="shared" si="16"/>
        <v>2</v>
      </c>
      <c r="N344">
        <f t="shared" si="17"/>
        <v>0</v>
      </c>
    </row>
    <row r="345" spans="1:14" x14ac:dyDescent="0.3">
      <c r="A345">
        <f>HeartData[[#This Row],[id]]</f>
        <v>344</v>
      </c>
      <c r="B345" s="4">
        <f>HeartData[[#This Row],[age]]</f>
        <v>40</v>
      </c>
      <c r="C345" t="str">
        <f>HeartData[[#This Row],[sex]]</f>
        <v>Male</v>
      </c>
      <c r="D345" t="str">
        <f t="shared" si="15"/>
        <v>Under 45</v>
      </c>
      <c r="E345" t="str">
        <f>HeartData[[#This Row],[cp]]</f>
        <v>atypical angina</v>
      </c>
      <c r="F345" t="str">
        <f>IF(HeartData[[#This Row],[num]]&gt;0, "Diseased", "Healthy")</f>
        <v>Healthy</v>
      </c>
      <c r="G345">
        <f>IF(HeartData[[#This Row],[chol]]&gt;$P$3, 1, 0)</f>
        <v>1</v>
      </c>
      <c r="H345">
        <f>IF(HeartData[[#This Row],[trestbps]]&gt;$P$4, 1, 0)</f>
        <v>1</v>
      </c>
      <c r="I345">
        <f>IF(HeartData[[#This Row],[oldpeak]]&gt;$P$5,1,0)</f>
        <v>0</v>
      </c>
      <c r="J345">
        <f>IF(HeartData[[#This Row],[exang]]="TRUE",1,0)</f>
        <v>0</v>
      </c>
      <c r="K345">
        <f>IF(HeartData[[#This Row],[fbs]]="TRUE",1,0)</f>
        <v>0</v>
      </c>
      <c r="L345">
        <f>IF(HeartData[[#This Row],[ca]]&gt;0,1,0)</f>
        <v>0</v>
      </c>
      <c r="M345">
        <f t="shared" si="16"/>
        <v>2</v>
      </c>
      <c r="N345">
        <f t="shared" si="17"/>
        <v>0</v>
      </c>
    </row>
    <row r="346" spans="1:14" x14ac:dyDescent="0.3">
      <c r="A346">
        <f>HeartData[[#This Row],[id]]</f>
        <v>345</v>
      </c>
      <c r="B346" s="4">
        <f>HeartData[[#This Row],[age]]</f>
        <v>40</v>
      </c>
      <c r="C346" t="str">
        <f>HeartData[[#This Row],[sex]]</f>
        <v>Male</v>
      </c>
      <c r="D346" t="str">
        <f t="shared" si="15"/>
        <v>Under 45</v>
      </c>
      <c r="E346" t="str">
        <f>HeartData[[#This Row],[cp]]</f>
        <v>atypical angina</v>
      </c>
      <c r="F346" t="str">
        <f>IF(HeartData[[#This Row],[num]]&gt;0, "Diseased", "Healthy")</f>
        <v>Healthy</v>
      </c>
      <c r="G346">
        <f>IF(HeartData[[#This Row],[chol]]&gt;$P$3, 1, 0)</f>
        <v>1</v>
      </c>
      <c r="H346">
        <f>IF(HeartData[[#This Row],[trestbps]]&gt;$P$4, 1, 0)</f>
        <v>1</v>
      </c>
      <c r="I346">
        <f>IF(HeartData[[#This Row],[oldpeak]]&gt;$P$5,1,0)</f>
        <v>0</v>
      </c>
      <c r="J346">
        <f>IF(HeartData[[#This Row],[exang]]="TRUE",1,0)</f>
        <v>0</v>
      </c>
      <c r="K346">
        <f>IF(HeartData[[#This Row],[fbs]]="TRUE",1,0)</f>
        <v>0</v>
      </c>
      <c r="L346">
        <f>IF(HeartData[[#This Row],[ca]]&gt;0,1,0)</f>
        <v>0</v>
      </c>
      <c r="M346">
        <f t="shared" si="16"/>
        <v>2</v>
      </c>
      <c r="N346">
        <f t="shared" si="17"/>
        <v>0</v>
      </c>
    </row>
    <row r="347" spans="1:14" x14ac:dyDescent="0.3">
      <c r="A347">
        <f>HeartData[[#This Row],[id]]</f>
        <v>346</v>
      </c>
      <c r="B347" s="4">
        <f>HeartData[[#This Row],[age]]</f>
        <v>40</v>
      </c>
      <c r="C347" t="str">
        <f>HeartData[[#This Row],[sex]]</f>
        <v>Male</v>
      </c>
      <c r="D347" t="str">
        <f t="shared" si="15"/>
        <v>Under 45</v>
      </c>
      <c r="E347" t="str">
        <f>HeartData[[#This Row],[cp]]</f>
        <v>non-anginal</v>
      </c>
      <c r="F347" t="str">
        <f>IF(HeartData[[#This Row],[num]]&gt;0, "Diseased", "Healthy")</f>
        <v>Healthy</v>
      </c>
      <c r="G347">
        <f>IF(HeartData[[#This Row],[chol]]&gt;$P$3, 1, 0)</f>
        <v>1</v>
      </c>
      <c r="H347">
        <f>IF(HeartData[[#This Row],[trestbps]]&gt;$P$4, 1, 0)</f>
        <v>1</v>
      </c>
      <c r="I347">
        <f>IF(HeartData[[#This Row],[oldpeak]]&gt;$P$5,1,0)</f>
        <v>0</v>
      </c>
      <c r="J347">
        <f>IF(HeartData[[#This Row],[exang]]="TRUE",1,0)</f>
        <v>0</v>
      </c>
      <c r="K347">
        <f>IF(HeartData[[#This Row],[fbs]]="TRUE",1,0)</f>
        <v>0</v>
      </c>
      <c r="L347">
        <f>IF(HeartData[[#This Row],[ca]]&gt;0,1,0)</f>
        <v>0</v>
      </c>
      <c r="M347">
        <f t="shared" si="16"/>
        <v>2</v>
      </c>
      <c r="N347">
        <f t="shared" si="17"/>
        <v>0</v>
      </c>
    </row>
    <row r="348" spans="1:14" x14ac:dyDescent="0.3">
      <c r="A348">
        <f>HeartData[[#This Row],[id]]</f>
        <v>347</v>
      </c>
      <c r="B348" s="4">
        <f>HeartData[[#This Row],[age]]</f>
        <v>40</v>
      </c>
      <c r="C348" t="str">
        <f>HeartData[[#This Row],[sex]]</f>
        <v>Male</v>
      </c>
      <c r="D348" t="str">
        <f t="shared" si="15"/>
        <v>Under 45</v>
      </c>
      <c r="E348" t="str">
        <f>HeartData[[#This Row],[cp]]</f>
        <v>non-anginal</v>
      </c>
      <c r="F348" t="str">
        <f>IF(HeartData[[#This Row],[num]]&gt;0, "Diseased", "Healthy")</f>
        <v>Healthy</v>
      </c>
      <c r="G348">
        <f>IF(HeartData[[#This Row],[chol]]&gt;$P$3, 1, 0)</f>
        <v>1</v>
      </c>
      <c r="H348">
        <f>IF(HeartData[[#This Row],[trestbps]]&gt;$P$4, 1, 0)</f>
        <v>1</v>
      </c>
      <c r="I348">
        <f>IF(HeartData[[#This Row],[oldpeak]]&gt;$P$5,1,0)</f>
        <v>0</v>
      </c>
      <c r="J348">
        <f>IF(HeartData[[#This Row],[exang]]="TRUE",1,0)</f>
        <v>0</v>
      </c>
      <c r="K348">
        <f>IF(HeartData[[#This Row],[fbs]]="TRUE",1,0)</f>
        <v>0</v>
      </c>
      <c r="L348">
        <f>IF(HeartData[[#This Row],[ca]]&gt;0,1,0)</f>
        <v>0</v>
      </c>
      <c r="M348">
        <f t="shared" si="16"/>
        <v>2</v>
      </c>
      <c r="N348">
        <f t="shared" si="17"/>
        <v>0</v>
      </c>
    </row>
    <row r="349" spans="1:14" x14ac:dyDescent="0.3">
      <c r="A349">
        <f>HeartData[[#This Row],[id]]</f>
        <v>348</v>
      </c>
      <c r="B349" s="4">
        <f>HeartData[[#This Row],[age]]</f>
        <v>40</v>
      </c>
      <c r="C349" t="str">
        <f>HeartData[[#This Row],[sex]]</f>
        <v>Male</v>
      </c>
      <c r="D349" t="str">
        <f t="shared" si="15"/>
        <v>Under 45</v>
      </c>
      <c r="E349" t="str">
        <f>HeartData[[#This Row],[cp]]</f>
        <v>non-anginal</v>
      </c>
      <c r="F349" t="str">
        <f>IF(HeartData[[#This Row],[num]]&gt;0, "Diseased", "Healthy")</f>
        <v>Healthy</v>
      </c>
      <c r="G349">
        <f>IF(HeartData[[#This Row],[chol]]&gt;$P$3, 1, 0)</f>
        <v>0</v>
      </c>
      <c r="H349">
        <f>IF(HeartData[[#This Row],[trestbps]]&gt;$P$4, 1, 0)</f>
        <v>1</v>
      </c>
      <c r="I349">
        <f>IF(HeartData[[#This Row],[oldpeak]]&gt;$P$5,1,0)</f>
        <v>0</v>
      </c>
      <c r="J349">
        <f>IF(HeartData[[#This Row],[exang]]="TRUE",1,0)</f>
        <v>0</v>
      </c>
      <c r="K349">
        <f>IF(HeartData[[#This Row],[fbs]]="TRUE",1,0)</f>
        <v>0</v>
      </c>
      <c r="L349">
        <f>IF(HeartData[[#This Row],[ca]]&gt;0,1,0)</f>
        <v>0</v>
      </c>
      <c r="M349">
        <f t="shared" si="16"/>
        <v>1</v>
      </c>
      <c r="N349">
        <f t="shared" si="17"/>
        <v>0</v>
      </c>
    </row>
    <row r="350" spans="1:14" x14ac:dyDescent="0.3">
      <c r="A350">
        <f>HeartData[[#This Row],[id]]</f>
        <v>349</v>
      </c>
      <c r="B350" s="4">
        <f>HeartData[[#This Row],[age]]</f>
        <v>41</v>
      </c>
      <c r="C350" t="str">
        <f>HeartData[[#This Row],[sex]]</f>
        <v>Female</v>
      </c>
      <c r="D350" t="str">
        <f t="shared" si="15"/>
        <v>Under 45</v>
      </c>
      <c r="E350" t="str">
        <f>HeartData[[#This Row],[cp]]</f>
        <v>atypical angina</v>
      </c>
      <c r="F350" t="str">
        <f>IF(HeartData[[#This Row],[num]]&gt;0, "Diseased", "Healthy")</f>
        <v>Healthy</v>
      </c>
      <c r="G350">
        <f>IF(HeartData[[#This Row],[chol]]&gt;$P$3, 1, 0)</f>
        <v>1</v>
      </c>
      <c r="H350">
        <f>IF(HeartData[[#This Row],[trestbps]]&gt;$P$4, 1, 0)</f>
        <v>1</v>
      </c>
      <c r="I350">
        <f>IF(HeartData[[#This Row],[oldpeak]]&gt;$P$5,1,0)</f>
        <v>0</v>
      </c>
      <c r="J350">
        <f>IF(HeartData[[#This Row],[exang]]="TRUE",1,0)</f>
        <v>0</v>
      </c>
      <c r="K350">
        <f>IF(HeartData[[#This Row],[fbs]]="TRUE",1,0)</f>
        <v>0</v>
      </c>
      <c r="L350">
        <f>IF(HeartData[[#This Row],[ca]]&gt;0,1,0)</f>
        <v>0</v>
      </c>
      <c r="M350">
        <f t="shared" si="16"/>
        <v>2</v>
      </c>
      <c r="N350">
        <f t="shared" si="17"/>
        <v>0</v>
      </c>
    </row>
    <row r="351" spans="1:14" x14ac:dyDescent="0.3">
      <c r="A351">
        <f>HeartData[[#This Row],[id]]</f>
        <v>350</v>
      </c>
      <c r="B351" s="4">
        <f>HeartData[[#This Row],[age]]</f>
        <v>41</v>
      </c>
      <c r="C351" t="str">
        <f>HeartData[[#This Row],[sex]]</f>
        <v>Female</v>
      </c>
      <c r="D351" t="str">
        <f t="shared" si="15"/>
        <v>Under 45</v>
      </c>
      <c r="E351" t="str">
        <f>HeartData[[#This Row],[cp]]</f>
        <v>atypical angina</v>
      </c>
      <c r="F351" t="str">
        <f>IF(HeartData[[#This Row],[num]]&gt;0, "Diseased", "Healthy")</f>
        <v>Healthy</v>
      </c>
      <c r="G351">
        <f>IF(HeartData[[#This Row],[chol]]&gt;$P$3, 1, 0)</f>
        <v>1</v>
      </c>
      <c r="H351">
        <f>IF(HeartData[[#This Row],[trestbps]]&gt;$P$4, 1, 0)</f>
        <v>1</v>
      </c>
      <c r="I351">
        <f>IF(HeartData[[#This Row],[oldpeak]]&gt;$P$5,1,0)</f>
        <v>0</v>
      </c>
      <c r="J351">
        <f>IF(HeartData[[#This Row],[exang]]="TRUE",1,0)</f>
        <v>0</v>
      </c>
      <c r="K351">
        <f>IF(HeartData[[#This Row],[fbs]]="TRUE",1,0)</f>
        <v>0</v>
      </c>
      <c r="L351">
        <f>IF(HeartData[[#This Row],[ca]]&gt;0,1,0)</f>
        <v>0</v>
      </c>
      <c r="M351">
        <f t="shared" si="16"/>
        <v>2</v>
      </c>
      <c r="N351">
        <f t="shared" si="17"/>
        <v>0</v>
      </c>
    </row>
    <row r="352" spans="1:14" x14ac:dyDescent="0.3">
      <c r="A352">
        <f>HeartData[[#This Row],[id]]</f>
        <v>351</v>
      </c>
      <c r="B352" s="4">
        <f>HeartData[[#This Row],[age]]</f>
        <v>41</v>
      </c>
      <c r="C352" t="str">
        <f>HeartData[[#This Row],[sex]]</f>
        <v>Female</v>
      </c>
      <c r="D352" t="str">
        <f t="shared" si="15"/>
        <v>Under 45</v>
      </c>
      <c r="E352" t="str">
        <f>HeartData[[#This Row],[cp]]</f>
        <v>atypical angina</v>
      </c>
      <c r="F352" t="str">
        <f>IF(HeartData[[#This Row],[num]]&gt;0, "Diseased", "Healthy")</f>
        <v>Healthy</v>
      </c>
      <c r="G352">
        <f>IF(HeartData[[#This Row],[chol]]&gt;$P$3, 1, 0)</f>
        <v>1</v>
      </c>
      <c r="H352">
        <f>IF(HeartData[[#This Row],[trestbps]]&gt;$P$4, 1, 0)</f>
        <v>1</v>
      </c>
      <c r="I352">
        <f>IF(HeartData[[#This Row],[oldpeak]]&gt;$P$5,1,0)</f>
        <v>0</v>
      </c>
      <c r="J352">
        <f>IF(HeartData[[#This Row],[exang]]="TRUE",1,0)</f>
        <v>0</v>
      </c>
      <c r="K352">
        <f>IF(HeartData[[#This Row],[fbs]]="TRUE",1,0)</f>
        <v>0</v>
      </c>
      <c r="L352">
        <f>IF(HeartData[[#This Row],[ca]]&gt;0,1,0)</f>
        <v>0</v>
      </c>
      <c r="M352">
        <f t="shared" si="16"/>
        <v>2</v>
      </c>
      <c r="N352">
        <f t="shared" si="17"/>
        <v>0</v>
      </c>
    </row>
    <row r="353" spans="1:14" x14ac:dyDescent="0.3">
      <c r="A353">
        <f>HeartData[[#This Row],[id]]</f>
        <v>352</v>
      </c>
      <c r="B353" s="4">
        <f>HeartData[[#This Row],[age]]</f>
        <v>41</v>
      </c>
      <c r="C353" t="str">
        <f>HeartData[[#This Row],[sex]]</f>
        <v>Male</v>
      </c>
      <c r="D353" t="str">
        <f t="shared" si="15"/>
        <v>Under 45</v>
      </c>
      <c r="E353" t="str">
        <f>HeartData[[#This Row],[cp]]</f>
        <v>atypical angina</v>
      </c>
      <c r="F353" t="str">
        <f>IF(HeartData[[#This Row],[num]]&gt;0, "Diseased", "Healthy")</f>
        <v>Healthy</v>
      </c>
      <c r="G353">
        <f>IF(HeartData[[#This Row],[chol]]&gt;$P$3, 1, 0)</f>
        <v>1</v>
      </c>
      <c r="H353">
        <f>IF(HeartData[[#This Row],[trestbps]]&gt;$P$4, 1, 0)</f>
        <v>1</v>
      </c>
      <c r="I353">
        <f>IF(HeartData[[#This Row],[oldpeak]]&gt;$P$5,1,0)</f>
        <v>0</v>
      </c>
      <c r="J353">
        <f>IF(HeartData[[#This Row],[exang]]="TRUE",1,0)</f>
        <v>0</v>
      </c>
      <c r="K353">
        <f>IF(HeartData[[#This Row],[fbs]]="TRUE",1,0)</f>
        <v>0</v>
      </c>
      <c r="L353">
        <f>IF(HeartData[[#This Row],[ca]]&gt;0,1,0)</f>
        <v>0</v>
      </c>
      <c r="M353">
        <f t="shared" si="16"/>
        <v>2</v>
      </c>
      <c r="N353">
        <f t="shared" si="17"/>
        <v>0</v>
      </c>
    </row>
    <row r="354" spans="1:14" x14ac:dyDescent="0.3">
      <c r="A354">
        <f>HeartData[[#This Row],[id]]</f>
        <v>353</v>
      </c>
      <c r="B354" s="4">
        <f>HeartData[[#This Row],[age]]</f>
        <v>41</v>
      </c>
      <c r="C354" t="str">
        <f>HeartData[[#This Row],[sex]]</f>
        <v>Male</v>
      </c>
      <c r="D354" t="str">
        <f t="shared" si="15"/>
        <v>Under 45</v>
      </c>
      <c r="E354" t="str">
        <f>HeartData[[#This Row],[cp]]</f>
        <v>atypical angina</v>
      </c>
      <c r="F354" t="str">
        <f>IF(HeartData[[#This Row],[num]]&gt;0, "Diseased", "Healthy")</f>
        <v>Healthy</v>
      </c>
      <c r="G354">
        <f>IF(HeartData[[#This Row],[chol]]&gt;$P$3, 1, 0)</f>
        <v>1</v>
      </c>
      <c r="H354">
        <f>IF(HeartData[[#This Row],[trestbps]]&gt;$P$4, 1, 0)</f>
        <v>1</v>
      </c>
      <c r="I354">
        <f>IF(HeartData[[#This Row],[oldpeak]]&gt;$P$5,1,0)</f>
        <v>0</v>
      </c>
      <c r="J354">
        <f>IF(HeartData[[#This Row],[exang]]="TRUE",1,0)</f>
        <v>0</v>
      </c>
      <c r="K354">
        <f>IF(HeartData[[#This Row],[fbs]]="TRUE",1,0)</f>
        <v>0</v>
      </c>
      <c r="L354">
        <f>IF(HeartData[[#This Row],[ca]]&gt;0,1,0)</f>
        <v>0</v>
      </c>
      <c r="M354">
        <f t="shared" si="16"/>
        <v>2</v>
      </c>
      <c r="N354">
        <f t="shared" si="17"/>
        <v>0</v>
      </c>
    </row>
    <row r="355" spans="1:14" x14ac:dyDescent="0.3">
      <c r="A355">
        <f>HeartData[[#This Row],[id]]</f>
        <v>354</v>
      </c>
      <c r="B355" s="4">
        <f>HeartData[[#This Row],[age]]</f>
        <v>41</v>
      </c>
      <c r="C355" t="str">
        <f>HeartData[[#This Row],[sex]]</f>
        <v>Male</v>
      </c>
      <c r="D355" t="str">
        <f t="shared" si="15"/>
        <v>Under 45</v>
      </c>
      <c r="E355" t="str">
        <f>HeartData[[#This Row],[cp]]</f>
        <v>atypical angina</v>
      </c>
      <c r="F355" t="str">
        <f>IF(HeartData[[#This Row],[num]]&gt;0, "Diseased", "Healthy")</f>
        <v>Healthy</v>
      </c>
      <c r="G355">
        <f>IF(HeartData[[#This Row],[chol]]&gt;$P$3, 1, 0)</f>
        <v>1</v>
      </c>
      <c r="H355">
        <f>IF(HeartData[[#This Row],[trestbps]]&gt;$P$4, 1, 0)</f>
        <v>1</v>
      </c>
      <c r="I355">
        <f>IF(HeartData[[#This Row],[oldpeak]]&gt;$P$5,1,0)</f>
        <v>0</v>
      </c>
      <c r="J355">
        <f>IF(HeartData[[#This Row],[exang]]="TRUE",1,0)</f>
        <v>0</v>
      </c>
      <c r="K355">
        <f>IF(HeartData[[#This Row],[fbs]]="TRUE",1,0)</f>
        <v>0</v>
      </c>
      <c r="L355">
        <f>IF(HeartData[[#This Row],[ca]]&gt;0,1,0)</f>
        <v>0</v>
      </c>
      <c r="M355">
        <f t="shared" si="16"/>
        <v>2</v>
      </c>
      <c r="N355">
        <f t="shared" si="17"/>
        <v>0</v>
      </c>
    </row>
    <row r="356" spans="1:14" x14ac:dyDescent="0.3">
      <c r="A356">
        <f>HeartData[[#This Row],[id]]</f>
        <v>355</v>
      </c>
      <c r="B356" s="4">
        <f>HeartData[[#This Row],[age]]</f>
        <v>41</v>
      </c>
      <c r="C356" t="str">
        <f>HeartData[[#This Row],[sex]]</f>
        <v>Male</v>
      </c>
      <c r="D356" t="str">
        <f t="shared" si="15"/>
        <v>Under 45</v>
      </c>
      <c r="E356" t="str">
        <f>HeartData[[#This Row],[cp]]</f>
        <v>asymptomatic</v>
      </c>
      <c r="F356" t="str">
        <f>IF(HeartData[[#This Row],[num]]&gt;0, "Diseased", "Healthy")</f>
        <v>Healthy</v>
      </c>
      <c r="G356">
        <f>IF(HeartData[[#This Row],[chol]]&gt;$P$3, 1, 0)</f>
        <v>1</v>
      </c>
      <c r="H356">
        <f>IF(HeartData[[#This Row],[trestbps]]&gt;$P$4, 1, 0)</f>
        <v>1</v>
      </c>
      <c r="I356">
        <f>IF(HeartData[[#This Row],[oldpeak]]&gt;$P$5,1,0)</f>
        <v>0</v>
      </c>
      <c r="J356">
        <f>IF(HeartData[[#This Row],[exang]]="TRUE",1,0)</f>
        <v>0</v>
      </c>
      <c r="K356">
        <f>IF(HeartData[[#This Row],[fbs]]="TRUE",1,0)</f>
        <v>0</v>
      </c>
      <c r="L356">
        <f>IF(HeartData[[#This Row],[ca]]&gt;0,1,0)</f>
        <v>0</v>
      </c>
      <c r="M356">
        <f t="shared" si="16"/>
        <v>2</v>
      </c>
      <c r="N356">
        <f t="shared" si="17"/>
        <v>0</v>
      </c>
    </row>
    <row r="357" spans="1:14" x14ac:dyDescent="0.3">
      <c r="A357">
        <f>HeartData[[#This Row],[id]]</f>
        <v>356</v>
      </c>
      <c r="B357" s="4">
        <f>HeartData[[#This Row],[age]]</f>
        <v>42</v>
      </c>
      <c r="C357" t="str">
        <f>HeartData[[#This Row],[sex]]</f>
        <v>Female</v>
      </c>
      <c r="D357" t="str">
        <f t="shared" si="15"/>
        <v>Under 45</v>
      </c>
      <c r="E357" t="str">
        <f>HeartData[[#This Row],[cp]]</f>
        <v>non-anginal</v>
      </c>
      <c r="F357" t="str">
        <f>IF(HeartData[[#This Row],[num]]&gt;0, "Diseased", "Healthy")</f>
        <v>Healthy</v>
      </c>
      <c r="G357">
        <f>IF(HeartData[[#This Row],[chol]]&gt;$P$3, 1, 0)</f>
        <v>1</v>
      </c>
      <c r="H357">
        <f>IF(HeartData[[#This Row],[trestbps]]&gt;$P$4, 1, 0)</f>
        <v>1</v>
      </c>
      <c r="I357">
        <f>IF(HeartData[[#This Row],[oldpeak]]&gt;$P$5,1,0)</f>
        <v>0</v>
      </c>
      <c r="J357">
        <f>IF(HeartData[[#This Row],[exang]]="TRUE",1,0)</f>
        <v>0</v>
      </c>
      <c r="K357">
        <f>IF(HeartData[[#This Row],[fbs]]="TRUE",1,0)</f>
        <v>0</v>
      </c>
      <c r="L357">
        <f>IF(HeartData[[#This Row],[ca]]&gt;0,1,0)</f>
        <v>0</v>
      </c>
      <c r="M357">
        <f t="shared" si="16"/>
        <v>2</v>
      </c>
      <c r="N357">
        <f t="shared" si="17"/>
        <v>0</v>
      </c>
    </row>
    <row r="358" spans="1:14" x14ac:dyDescent="0.3">
      <c r="A358">
        <f>HeartData[[#This Row],[id]]</f>
        <v>357</v>
      </c>
      <c r="B358" s="4">
        <f>HeartData[[#This Row],[age]]</f>
        <v>42</v>
      </c>
      <c r="C358" t="str">
        <f>HeartData[[#This Row],[sex]]</f>
        <v>Male</v>
      </c>
      <c r="D358" t="str">
        <f t="shared" si="15"/>
        <v>Under 45</v>
      </c>
      <c r="E358" t="str">
        <f>HeartData[[#This Row],[cp]]</f>
        <v>atypical angina</v>
      </c>
      <c r="F358" t="str">
        <f>IF(HeartData[[#This Row],[num]]&gt;0, "Diseased", "Healthy")</f>
        <v>Healthy</v>
      </c>
      <c r="G358">
        <f>IF(HeartData[[#This Row],[chol]]&gt;$P$3, 1, 0)</f>
        <v>1</v>
      </c>
      <c r="H358">
        <f>IF(HeartData[[#This Row],[trestbps]]&gt;$P$4, 1, 0)</f>
        <v>1</v>
      </c>
      <c r="I358">
        <f>IF(HeartData[[#This Row],[oldpeak]]&gt;$P$5,1,0)</f>
        <v>0</v>
      </c>
      <c r="J358">
        <f>IF(HeartData[[#This Row],[exang]]="TRUE",1,0)</f>
        <v>0</v>
      </c>
      <c r="K358">
        <f>IF(HeartData[[#This Row],[fbs]]="TRUE",1,0)</f>
        <v>0</v>
      </c>
      <c r="L358">
        <f>IF(HeartData[[#This Row],[ca]]&gt;0,1,0)</f>
        <v>0</v>
      </c>
      <c r="M358">
        <f t="shared" si="16"/>
        <v>2</v>
      </c>
      <c r="N358">
        <f t="shared" si="17"/>
        <v>0</v>
      </c>
    </row>
    <row r="359" spans="1:14" x14ac:dyDescent="0.3">
      <c r="A359">
        <f>HeartData[[#This Row],[id]]</f>
        <v>358</v>
      </c>
      <c r="B359" s="4">
        <f>HeartData[[#This Row],[age]]</f>
        <v>42</v>
      </c>
      <c r="C359" t="str">
        <f>HeartData[[#This Row],[sex]]</f>
        <v>Male</v>
      </c>
      <c r="D359" t="str">
        <f t="shared" si="15"/>
        <v>Under 45</v>
      </c>
      <c r="E359" t="str">
        <f>HeartData[[#This Row],[cp]]</f>
        <v>atypical angina</v>
      </c>
      <c r="F359" t="str">
        <f>IF(HeartData[[#This Row],[num]]&gt;0, "Diseased", "Healthy")</f>
        <v>Healthy</v>
      </c>
      <c r="G359">
        <f>IF(HeartData[[#This Row],[chol]]&gt;$P$3, 1, 0)</f>
        <v>1</v>
      </c>
      <c r="H359">
        <f>IF(HeartData[[#This Row],[trestbps]]&gt;$P$4, 1, 0)</f>
        <v>1</v>
      </c>
      <c r="I359">
        <f>IF(HeartData[[#This Row],[oldpeak]]&gt;$P$5,1,0)</f>
        <v>0</v>
      </c>
      <c r="J359">
        <f>IF(HeartData[[#This Row],[exang]]="TRUE",1,0)</f>
        <v>0</v>
      </c>
      <c r="K359">
        <f>IF(HeartData[[#This Row],[fbs]]="TRUE",1,0)</f>
        <v>0</v>
      </c>
      <c r="L359">
        <f>IF(HeartData[[#This Row],[ca]]&gt;0,1,0)</f>
        <v>0</v>
      </c>
      <c r="M359">
        <f t="shared" si="16"/>
        <v>2</v>
      </c>
      <c r="N359">
        <f t="shared" si="17"/>
        <v>0</v>
      </c>
    </row>
    <row r="360" spans="1:14" x14ac:dyDescent="0.3">
      <c r="A360">
        <f>HeartData[[#This Row],[id]]</f>
        <v>359</v>
      </c>
      <c r="B360" s="4">
        <f>HeartData[[#This Row],[age]]</f>
        <v>42</v>
      </c>
      <c r="C360" t="str">
        <f>HeartData[[#This Row],[sex]]</f>
        <v>Male</v>
      </c>
      <c r="D360" t="str">
        <f t="shared" si="15"/>
        <v>Under 45</v>
      </c>
      <c r="E360" t="str">
        <f>HeartData[[#This Row],[cp]]</f>
        <v>atypical angina</v>
      </c>
      <c r="F360" t="str">
        <f>IF(HeartData[[#This Row],[num]]&gt;0, "Diseased", "Healthy")</f>
        <v>Healthy</v>
      </c>
      <c r="G360">
        <f>IF(HeartData[[#This Row],[chol]]&gt;$P$3, 1, 0)</f>
        <v>1</v>
      </c>
      <c r="H360">
        <f>IF(HeartData[[#This Row],[trestbps]]&gt;$P$4, 1, 0)</f>
        <v>1</v>
      </c>
      <c r="I360">
        <f>IF(HeartData[[#This Row],[oldpeak]]&gt;$P$5,1,0)</f>
        <v>0</v>
      </c>
      <c r="J360">
        <f>IF(HeartData[[#This Row],[exang]]="TRUE",1,0)</f>
        <v>0</v>
      </c>
      <c r="K360">
        <f>IF(HeartData[[#This Row],[fbs]]="TRUE",1,0)</f>
        <v>0</v>
      </c>
      <c r="L360">
        <f>IF(HeartData[[#This Row],[ca]]&gt;0,1,0)</f>
        <v>0</v>
      </c>
      <c r="M360">
        <f t="shared" si="16"/>
        <v>2</v>
      </c>
      <c r="N360">
        <f t="shared" si="17"/>
        <v>0</v>
      </c>
    </row>
    <row r="361" spans="1:14" x14ac:dyDescent="0.3">
      <c r="A361">
        <f>HeartData[[#This Row],[id]]</f>
        <v>360</v>
      </c>
      <c r="B361" s="4">
        <f>HeartData[[#This Row],[age]]</f>
        <v>42</v>
      </c>
      <c r="C361" t="str">
        <f>HeartData[[#This Row],[sex]]</f>
        <v>Male</v>
      </c>
      <c r="D361" t="str">
        <f t="shared" si="15"/>
        <v>Under 45</v>
      </c>
      <c r="E361" t="str">
        <f>HeartData[[#This Row],[cp]]</f>
        <v>non-anginal</v>
      </c>
      <c r="F361" t="str">
        <f>IF(HeartData[[#This Row],[num]]&gt;0, "Diseased", "Healthy")</f>
        <v>Healthy</v>
      </c>
      <c r="G361">
        <f>IF(HeartData[[#This Row],[chol]]&gt;$P$3, 1, 0)</f>
        <v>1</v>
      </c>
      <c r="H361">
        <f>IF(HeartData[[#This Row],[trestbps]]&gt;$P$4, 1, 0)</f>
        <v>1</v>
      </c>
      <c r="I361">
        <f>IF(HeartData[[#This Row],[oldpeak]]&gt;$P$5,1,0)</f>
        <v>1</v>
      </c>
      <c r="J361">
        <f>IF(HeartData[[#This Row],[exang]]="TRUE",1,0)</f>
        <v>1</v>
      </c>
      <c r="K361">
        <f>IF(HeartData[[#This Row],[fbs]]="TRUE",1,0)</f>
        <v>0</v>
      </c>
      <c r="L361">
        <f>IF(HeartData[[#This Row],[ca]]&gt;0,1,0)</f>
        <v>0</v>
      </c>
      <c r="M361">
        <f t="shared" si="16"/>
        <v>4</v>
      </c>
      <c r="N361">
        <f t="shared" si="17"/>
        <v>0</v>
      </c>
    </row>
    <row r="362" spans="1:14" x14ac:dyDescent="0.3">
      <c r="A362">
        <f>HeartData[[#This Row],[id]]</f>
        <v>361</v>
      </c>
      <c r="B362" s="4">
        <f>HeartData[[#This Row],[age]]</f>
        <v>42</v>
      </c>
      <c r="C362" t="str">
        <f>HeartData[[#This Row],[sex]]</f>
        <v>Male</v>
      </c>
      <c r="D362" t="str">
        <f t="shared" si="15"/>
        <v>Under 45</v>
      </c>
      <c r="E362" t="str">
        <f>HeartData[[#This Row],[cp]]</f>
        <v>non-anginal</v>
      </c>
      <c r="F362" t="str">
        <f>IF(HeartData[[#This Row],[num]]&gt;0, "Diseased", "Healthy")</f>
        <v>Healthy</v>
      </c>
      <c r="G362">
        <f>IF(HeartData[[#This Row],[chol]]&gt;$P$3, 1, 0)</f>
        <v>1</v>
      </c>
      <c r="H362">
        <f>IF(HeartData[[#This Row],[trestbps]]&gt;$P$4, 1, 0)</f>
        <v>1</v>
      </c>
      <c r="I362">
        <f>IF(HeartData[[#This Row],[oldpeak]]&gt;$P$5,1,0)</f>
        <v>0</v>
      </c>
      <c r="J362">
        <f>IF(HeartData[[#This Row],[exang]]="TRUE",1,0)</f>
        <v>0</v>
      </c>
      <c r="K362">
        <f>IF(HeartData[[#This Row],[fbs]]="TRUE",1,0)</f>
        <v>0</v>
      </c>
      <c r="L362">
        <f>IF(HeartData[[#This Row],[ca]]&gt;0,1,0)</f>
        <v>0</v>
      </c>
      <c r="M362">
        <f t="shared" si="16"/>
        <v>2</v>
      </c>
      <c r="N362">
        <f t="shared" si="17"/>
        <v>0</v>
      </c>
    </row>
    <row r="363" spans="1:14" x14ac:dyDescent="0.3">
      <c r="A363">
        <f>HeartData[[#This Row],[id]]</f>
        <v>362</v>
      </c>
      <c r="B363" s="4">
        <f>HeartData[[#This Row],[age]]</f>
        <v>42</v>
      </c>
      <c r="C363" t="str">
        <f>HeartData[[#This Row],[sex]]</f>
        <v>Male</v>
      </c>
      <c r="D363" t="str">
        <f t="shared" si="15"/>
        <v>Under 45</v>
      </c>
      <c r="E363" t="str">
        <f>HeartData[[#This Row],[cp]]</f>
        <v>asymptomatic</v>
      </c>
      <c r="F363" t="str">
        <f>IF(HeartData[[#This Row],[num]]&gt;0, "Diseased", "Healthy")</f>
        <v>Healthy</v>
      </c>
      <c r="G363">
        <f>IF(HeartData[[#This Row],[chol]]&gt;$P$3, 1, 0)</f>
        <v>1</v>
      </c>
      <c r="H363">
        <f>IF(HeartData[[#This Row],[trestbps]]&gt;$P$4, 1, 0)</f>
        <v>1</v>
      </c>
      <c r="I363">
        <f>IF(HeartData[[#This Row],[oldpeak]]&gt;$P$5,1,0)</f>
        <v>0</v>
      </c>
      <c r="J363">
        <f>IF(HeartData[[#This Row],[exang]]="TRUE",1,0)</f>
        <v>0</v>
      </c>
      <c r="K363">
        <f>IF(HeartData[[#This Row],[fbs]]="TRUE",1,0)</f>
        <v>0</v>
      </c>
      <c r="L363">
        <f>IF(HeartData[[#This Row],[ca]]&gt;0,1,0)</f>
        <v>0</v>
      </c>
      <c r="M363">
        <f t="shared" si="16"/>
        <v>2</v>
      </c>
      <c r="N363">
        <f t="shared" si="17"/>
        <v>0</v>
      </c>
    </row>
    <row r="364" spans="1:14" x14ac:dyDescent="0.3">
      <c r="A364">
        <f>HeartData[[#This Row],[id]]</f>
        <v>363</v>
      </c>
      <c r="B364" s="4">
        <f>HeartData[[#This Row],[age]]</f>
        <v>43</v>
      </c>
      <c r="C364" t="str">
        <f>HeartData[[#This Row],[sex]]</f>
        <v>Female</v>
      </c>
      <c r="D364" t="str">
        <f t="shared" si="15"/>
        <v>Under 45</v>
      </c>
      <c r="E364" t="str">
        <f>HeartData[[#This Row],[cp]]</f>
        <v>typical angina</v>
      </c>
      <c r="F364" t="str">
        <f>IF(HeartData[[#This Row],[num]]&gt;0, "Diseased", "Healthy")</f>
        <v>Healthy</v>
      </c>
      <c r="G364">
        <f>IF(HeartData[[#This Row],[chol]]&gt;$P$3, 1, 0)</f>
        <v>1</v>
      </c>
      <c r="H364">
        <f>IF(HeartData[[#This Row],[trestbps]]&gt;$P$4, 1, 0)</f>
        <v>1</v>
      </c>
      <c r="I364">
        <f>IF(HeartData[[#This Row],[oldpeak]]&gt;$P$5,1,0)</f>
        <v>0</v>
      </c>
      <c r="J364">
        <f>IF(HeartData[[#This Row],[exang]]="TRUE",1,0)</f>
        <v>0</v>
      </c>
      <c r="K364">
        <f>IF(HeartData[[#This Row],[fbs]]="TRUE",1,0)</f>
        <v>0</v>
      </c>
      <c r="L364">
        <f>IF(HeartData[[#This Row],[ca]]&gt;0,1,0)</f>
        <v>0</v>
      </c>
      <c r="M364">
        <f t="shared" si="16"/>
        <v>2</v>
      </c>
      <c r="N364">
        <f t="shared" si="17"/>
        <v>0</v>
      </c>
    </row>
    <row r="365" spans="1:14" x14ac:dyDescent="0.3">
      <c r="A365">
        <f>HeartData[[#This Row],[id]]</f>
        <v>364</v>
      </c>
      <c r="B365" s="4">
        <f>HeartData[[#This Row],[age]]</f>
        <v>43</v>
      </c>
      <c r="C365" t="str">
        <f>HeartData[[#This Row],[sex]]</f>
        <v>Female</v>
      </c>
      <c r="D365" t="str">
        <f t="shared" si="15"/>
        <v>Under 45</v>
      </c>
      <c r="E365" t="str">
        <f>HeartData[[#This Row],[cp]]</f>
        <v>atypical angina</v>
      </c>
      <c r="F365" t="str">
        <f>IF(HeartData[[#This Row],[num]]&gt;0, "Diseased", "Healthy")</f>
        <v>Healthy</v>
      </c>
      <c r="G365">
        <f>IF(HeartData[[#This Row],[chol]]&gt;$P$3, 1, 0)</f>
        <v>1</v>
      </c>
      <c r="H365">
        <f>IF(HeartData[[#This Row],[trestbps]]&gt;$P$4, 1, 0)</f>
        <v>1</v>
      </c>
      <c r="I365">
        <f>IF(HeartData[[#This Row],[oldpeak]]&gt;$P$5,1,0)</f>
        <v>0</v>
      </c>
      <c r="J365">
        <f>IF(HeartData[[#This Row],[exang]]="TRUE",1,0)</f>
        <v>0</v>
      </c>
      <c r="K365">
        <f>IF(HeartData[[#This Row],[fbs]]="TRUE",1,0)</f>
        <v>0</v>
      </c>
      <c r="L365">
        <f>IF(HeartData[[#This Row],[ca]]&gt;0,1,0)</f>
        <v>0</v>
      </c>
      <c r="M365">
        <f t="shared" si="16"/>
        <v>2</v>
      </c>
      <c r="N365">
        <f t="shared" si="17"/>
        <v>0</v>
      </c>
    </row>
    <row r="366" spans="1:14" x14ac:dyDescent="0.3">
      <c r="A366">
        <f>HeartData[[#This Row],[id]]</f>
        <v>365</v>
      </c>
      <c r="B366" s="4">
        <f>HeartData[[#This Row],[age]]</f>
        <v>43</v>
      </c>
      <c r="C366" t="str">
        <f>HeartData[[#This Row],[sex]]</f>
        <v>Female</v>
      </c>
      <c r="D366" t="str">
        <f t="shared" si="15"/>
        <v>Under 45</v>
      </c>
      <c r="E366" t="str">
        <f>HeartData[[#This Row],[cp]]</f>
        <v>atypical angina</v>
      </c>
      <c r="F366" t="str">
        <f>IF(HeartData[[#This Row],[num]]&gt;0, "Diseased", "Healthy")</f>
        <v>Healthy</v>
      </c>
      <c r="G366">
        <f>IF(HeartData[[#This Row],[chol]]&gt;$P$3, 1, 0)</f>
        <v>1</v>
      </c>
      <c r="H366">
        <f>IF(HeartData[[#This Row],[trestbps]]&gt;$P$4, 1, 0)</f>
        <v>1</v>
      </c>
      <c r="I366">
        <f>IF(HeartData[[#This Row],[oldpeak]]&gt;$P$5,1,0)</f>
        <v>0</v>
      </c>
      <c r="J366">
        <f>IF(HeartData[[#This Row],[exang]]="TRUE",1,0)</f>
        <v>0</v>
      </c>
      <c r="K366">
        <f>IF(HeartData[[#This Row],[fbs]]="TRUE",1,0)</f>
        <v>0</v>
      </c>
      <c r="L366">
        <f>IF(HeartData[[#This Row],[ca]]&gt;0,1,0)</f>
        <v>0</v>
      </c>
      <c r="M366">
        <f t="shared" si="16"/>
        <v>2</v>
      </c>
      <c r="N366">
        <f t="shared" si="17"/>
        <v>0</v>
      </c>
    </row>
    <row r="367" spans="1:14" x14ac:dyDescent="0.3">
      <c r="A367">
        <f>HeartData[[#This Row],[id]]</f>
        <v>366</v>
      </c>
      <c r="B367" s="4">
        <f>HeartData[[#This Row],[age]]</f>
        <v>43</v>
      </c>
      <c r="C367" t="str">
        <f>HeartData[[#This Row],[sex]]</f>
        <v>Female</v>
      </c>
      <c r="D367" t="str">
        <f t="shared" si="15"/>
        <v>Under 45</v>
      </c>
      <c r="E367" t="str">
        <f>HeartData[[#This Row],[cp]]</f>
        <v>atypical angina</v>
      </c>
      <c r="F367" t="str">
        <f>IF(HeartData[[#This Row],[num]]&gt;0, "Diseased", "Healthy")</f>
        <v>Healthy</v>
      </c>
      <c r="G367">
        <f>IF(HeartData[[#This Row],[chol]]&gt;$P$3, 1, 0)</f>
        <v>1</v>
      </c>
      <c r="H367">
        <f>IF(HeartData[[#This Row],[trestbps]]&gt;$P$4, 1, 0)</f>
        <v>1</v>
      </c>
      <c r="I367">
        <f>IF(HeartData[[#This Row],[oldpeak]]&gt;$P$5,1,0)</f>
        <v>0</v>
      </c>
      <c r="J367">
        <f>IF(HeartData[[#This Row],[exang]]="TRUE",1,0)</f>
        <v>0</v>
      </c>
      <c r="K367">
        <f>IF(HeartData[[#This Row],[fbs]]="TRUE",1,0)</f>
        <v>0</v>
      </c>
      <c r="L367">
        <f>IF(HeartData[[#This Row],[ca]]&gt;0,1,0)</f>
        <v>0</v>
      </c>
      <c r="M367">
        <f t="shared" si="16"/>
        <v>2</v>
      </c>
      <c r="N367">
        <f t="shared" si="17"/>
        <v>0</v>
      </c>
    </row>
    <row r="368" spans="1:14" x14ac:dyDescent="0.3">
      <c r="A368">
        <f>HeartData[[#This Row],[id]]</f>
        <v>367</v>
      </c>
      <c r="B368" s="4">
        <f>HeartData[[#This Row],[age]]</f>
        <v>43</v>
      </c>
      <c r="C368" t="str">
        <f>HeartData[[#This Row],[sex]]</f>
        <v>Female</v>
      </c>
      <c r="D368" t="str">
        <f t="shared" si="15"/>
        <v>Under 45</v>
      </c>
      <c r="E368" t="str">
        <f>HeartData[[#This Row],[cp]]</f>
        <v>atypical angina</v>
      </c>
      <c r="F368" t="str">
        <f>IF(HeartData[[#This Row],[num]]&gt;0, "Diseased", "Healthy")</f>
        <v>Healthy</v>
      </c>
      <c r="G368">
        <f>IF(HeartData[[#This Row],[chol]]&gt;$P$3, 1, 0)</f>
        <v>1</v>
      </c>
      <c r="H368">
        <f>IF(HeartData[[#This Row],[trestbps]]&gt;$P$4, 1, 0)</f>
        <v>1</v>
      </c>
      <c r="I368">
        <f>IF(HeartData[[#This Row],[oldpeak]]&gt;$P$5,1,0)</f>
        <v>0</v>
      </c>
      <c r="J368">
        <f>IF(HeartData[[#This Row],[exang]]="TRUE",1,0)</f>
        <v>0</v>
      </c>
      <c r="K368">
        <f>IF(HeartData[[#This Row],[fbs]]="TRUE",1,0)</f>
        <v>0</v>
      </c>
      <c r="L368">
        <f>IF(HeartData[[#This Row],[ca]]&gt;0,1,0)</f>
        <v>0</v>
      </c>
      <c r="M368">
        <f t="shared" si="16"/>
        <v>2</v>
      </c>
      <c r="N368">
        <f t="shared" si="17"/>
        <v>0</v>
      </c>
    </row>
    <row r="369" spans="1:14" x14ac:dyDescent="0.3">
      <c r="A369">
        <f>HeartData[[#This Row],[id]]</f>
        <v>368</v>
      </c>
      <c r="B369" s="4">
        <f>HeartData[[#This Row],[age]]</f>
        <v>43</v>
      </c>
      <c r="C369" t="str">
        <f>HeartData[[#This Row],[sex]]</f>
        <v>Female</v>
      </c>
      <c r="D369" t="str">
        <f t="shared" si="15"/>
        <v>Under 45</v>
      </c>
      <c r="E369" t="str">
        <f>HeartData[[#This Row],[cp]]</f>
        <v>atypical angina</v>
      </c>
      <c r="F369" t="str">
        <f>IF(HeartData[[#This Row],[num]]&gt;0, "Diseased", "Healthy")</f>
        <v>Healthy</v>
      </c>
      <c r="G369">
        <f>IF(HeartData[[#This Row],[chol]]&gt;$P$3, 1, 0)</f>
        <v>1</v>
      </c>
      <c r="H369">
        <f>IF(HeartData[[#This Row],[trestbps]]&gt;$P$4, 1, 0)</f>
        <v>1</v>
      </c>
      <c r="I369">
        <f>IF(HeartData[[#This Row],[oldpeak]]&gt;$P$5,1,0)</f>
        <v>0</v>
      </c>
      <c r="J369">
        <f>IF(HeartData[[#This Row],[exang]]="TRUE",1,0)</f>
        <v>0</v>
      </c>
      <c r="K369">
        <f>IF(HeartData[[#This Row],[fbs]]="TRUE",1,0)</f>
        <v>0</v>
      </c>
      <c r="L369">
        <f>IF(HeartData[[#This Row],[ca]]&gt;0,1,0)</f>
        <v>0</v>
      </c>
      <c r="M369">
        <f t="shared" si="16"/>
        <v>2</v>
      </c>
      <c r="N369">
        <f t="shared" si="17"/>
        <v>0</v>
      </c>
    </row>
    <row r="370" spans="1:14" x14ac:dyDescent="0.3">
      <c r="A370">
        <f>HeartData[[#This Row],[id]]</f>
        <v>369</v>
      </c>
      <c r="B370" s="4">
        <f>HeartData[[#This Row],[age]]</f>
        <v>43</v>
      </c>
      <c r="C370" t="str">
        <f>HeartData[[#This Row],[sex]]</f>
        <v>Female</v>
      </c>
      <c r="D370" t="str">
        <f t="shared" si="15"/>
        <v>Under 45</v>
      </c>
      <c r="E370" t="str">
        <f>HeartData[[#This Row],[cp]]</f>
        <v>non-anginal</v>
      </c>
      <c r="F370" t="str">
        <f>IF(HeartData[[#This Row],[num]]&gt;0, "Diseased", "Healthy")</f>
        <v>Healthy</v>
      </c>
      <c r="G370">
        <f>IF(HeartData[[#This Row],[chol]]&gt;$P$3, 1, 0)</f>
        <v>0</v>
      </c>
      <c r="H370">
        <f>IF(HeartData[[#This Row],[trestbps]]&gt;$P$4, 1, 0)</f>
        <v>1</v>
      </c>
      <c r="I370">
        <f>IF(HeartData[[#This Row],[oldpeak]]&gt;$P$5,1,0)</f>
        <v>0</v>
      </c>
      <c r="J370">
        <f>IF(HeartData[[#This Row],[exang]]="TRUE",1,0)</f>
        <v>0</v>
      </c>
      <c r="K370">
        <f>IF(HeartData[[#This Row],[fbs]]="TRUE",1,0)</f>
        <v>0</v>
      </c>
      <c r="L370">
        <f>IF(HeartData[[#This Row],[ca]]&gt;0,1,0)</f>
        <v>0</v>
      </c>
      <c r="M370">
        <f t="shared" si="16"/>
        <v>1</v>
      </c>
      <c r="N370">
        <f t="shared" si="17"/>
        <v>0</v>
      </c>
    </row>
    <row r="371" spans="1:14" x14ac:dyDescent="0.3">
      <c r="A371">
        <f>HeartData[[#This Row],[id]]</f>
        <v>370</v>
      </c>
      <c r="B371" s="4">
        <f>HeartData[[#This Row],[age]]</f>
        <v>43</v>
      </c>
      <c r="C371" t="str">
        <f>HeartData[[#This Row],[sex]]</f>
        <v>Male</v>
      </c>
      <c r="D371" t="str">
        <f t="shared" si="15"/>
        <v>Under 45</v>
      </c>
      <c r="E371" t="str">
        <f>HeartData[[#This Row],[cp]]</f>
        <v>atypical angina</v>
      </c>
      <c r="F371" t="str">
        <f>IF(HeartData[[#This Row],[num]]&gt;0, "Diseased", "Healthy")</f>
        <v>Healthy</v>
      </c>
      <c r="G371">
        <f>IF(HeartData[[#This Row],[chol]]&gt;$P$3, 1, 0)</f>
        <v>1</v>
      </c>
      <c r="H371">
        <f>IF(HeartData[[#This Row],[trestbps]]&gt;$P$4, 1, 0)</f>
        <v>1</v>
      </c>
      <c r="I371">
        <f>IF(HeartData[[#This Row],[oldpeak]]&gt;$P$5,1,0)</f>
        <v>0</v>
      </c>
      <c r="J371">
        <f>IF(HeartData[[#This Row],[exang]]="TRUE",1,0)</f>
        <v>0</v>
      </c>
      <c r="K371">
        <f>IF(HeartData[[#This Row],[fbs]]="TRUE",1,0)</f>
        <v>0</v>
      </c>
      <c r="L371">
        <f>IF(HeartData[[#This Row],[ca]]&gt;0,1,0)</f>
        <v>0</v>
      </c>
      <c r="M371">
        <f t="shared" si="16"/>
        <v>2</v>
      </c>
      <c r="N371">
        <f t="shared" si="17"/>
        <v>0</v>
      </c>
    </row>
    <row r="372" spans="1:14" x14ac:dyDescent="0.3">
      <c r="A372">
        <f>HeartData[[#This Row],[id]]</f>
        <v>371</v>
      </c>
      <c r="B372" s="4">
        <f>HeartData[[#This Row],[age]]</f>
        <v>44</v>
      </c>
      <c r="C372" t="str">
        <f>HeartData[[#This Row],[sex]]</f>
        <v>Female</v>
      </c>
      <c r="D372" t="str">
        <f t="shared" si="15"/>
        <v>Under 45</v>
      </c>
      <c r="E372" t="str">
        <f>HeartData[[#This Row],[cp]]</f>
        <v>asymptomatic</v>
      </c>
      <c r="F372" t="str">
        <f>IF(HeartData[[#This Row],[num]]&gt;0, "Diseased", "Healthy")</f>
        <v>Healthy</v>
      </c>
      <c r="G372">
        <f>IF(HeartData[[#This Row],[chol]]&gt;$P$3, 1, 0)</f>
        <v>1</v>
      </c>
      <c r="H372">
        <f>IF(HeartData[[#This Row],[trestbps]]&gt;$P$4, 1, 0)</f>
        <v>1</v>
      </c>
      <c r="I372">
        <f>IF(HeartData[[#This Row],[oldpeak]]&gt;$P$5,1,0)</f>
        <v>0</v>
      </c>
      <c r="J372">
        <f>IF(HeartData[[#This Row],[exang]]="TRUE",1,0)</f>
        <v>0</v>
      </c>
      <c r="K372">
        <f>IF(HeartData[[#This Row],[fbs]]="TRUE",1,0)</f>
        <v>0</v>
      </c>
      <c r="L372">
        <f>IF(HeartData[[#This Row],[ca]]&gt;0,1,0)</f>
        <v>0</v>
      </c>
      <c r="M372">
        <f t="shared" si="16"/>
        <v>2</v>
      </c>
      <c r="N372">
        <f t="shared" si="17"/>
        <v>0</v>
      </c>
    </row>
    <row r="373" spans="1:14" x14ac:dyDescent="0.3">
      <c r="A373">
        <f>HeartData[[#This Row],[id]]</f>
        <v>372</v>
      </c>
      <c r="B373" s="4">
        <f>HeartData[[#This Row],[age]]</f>
        <v>44</v>
      </c>
      <c r="C373" t="str">
        <f>HeartData[[#This Row],[sex]]</f>
        <v>Male</v>
      </c>
      <c r="D373" t="str">
        <f t="shared" si="15"/>
        <v>Under 45</v>
      </c>
      <c r="E373" t="str">
        <f>HeartData[[#This Row],[cp]]</f>
        <v>atypical angina</v>
      </c>
      <c r="F373" t="str">
        <f>IF(HeartData[[#This Row],[num]]&gt;0, "Diseased", "Healthy")</f>
        <v>Healthy</v>
      </c>
      <c r="G373">
        <f>IF(HeartData[[#This Row],[chol]]&gt;$P$3, 1, 0)</f>
        <v>1</v>
      </c>
      <c r="H373">
        <f>IF(HeartData[[#This Row],[trestbps]]&gt;$P$4, 1, 0)</f>
        <v>1</v>
      </c>
      <c r="I373">
        <f>IF(HeartData[[#This Row],[oldpeak]]&gt;$P$5,1,0)</f>
        <v>1</v>
      </c>
      <c r="J373">
        <f>IF(HeartData[[#This Row],[exang]]="TRUE",1,0)</f>
        <v>0</v>
      </c>
      <c r="K373">
        <f>IF(HeartData[[#This Row],[fbs]]="TRUE",1,0)</f>
        <v>0</v>
      </c>
      <c r="L373">
        <f>IF(HeartData[[#This Row],[ca]]&gt;0,1,0)</f>
        <v>0</v>
      </c>
      <c r="M373">
        <f t="shared" si="16"/>
        <v>3</v>
      </c>
      <c r="N373">
        <f t="shared" si="17"/>
        <v>0</v>
      </c>
    </row>
    <row r="374" spans="1:14" x14ac:dyDescent="0.3">
      <c r="A374">
        <f>HeartData[[#This Row],[id]]</f>
        <v>373</v>
      </c>
      <c r="B374" s="4">
        <f>HeartData[[#This Row],[age]]</f>
        <v>44</v>
      </c>
      <c r="C374" t="str">
        <f>HeartData[[#This Row],[sex]]</f>
        <v>Male</v>
      </c>
      <c r="D374" t="str">
        <f t="shared" si="15"/>
        <v>Under 45</v>
      </c>
      <c r="E374" t="str">
        <f>HeartData[[#This Row],[cp]]</f>
        <v>atypical angina</v>
      </c>
      <c r="F374" t="str">
        <f>IF(HeartData[[#This Row],[num]]&gt;0, "Diseased", "Healthy")</f>
        <v>Healthy</v>
      </c>
      <c r="G374">
        <f>IF(HeartData[[#This Row],[chol]]&gt;$P$3, 1, 0)</f>
        <v>1</v>
      </c>
      <c r="H374">
        <f>IF(HeartData[[#This Row],[trestbps]]&gt;$P$4, 1, 0)</f>
        <v>1</v>
      </c>
      <c r="I374">
        <f>IF(HeartData[[#This Row],[oldpeak]]&gt;$P$5,1,0)</f>
        <v>0</v>
      </c>
      <c r="J374">
        <f>IF(HeartData[[#This Row],[exang]]="TRUE",1,0)</f>
        <v>0</v>
      </c>
      <c r="K374">
        <f>IF(HeartData[[#This Row],[fbs]]="TRUE",1,0)</f>
        <v>0</v>
      </c>
      <c r="L374">
        <f>IF(HeartData[[#This Row],[ca]]&gt;0,1,0)</f>
        <v>0</v>
      </c>
      <c r="M374">
        <f t="shared" si="16"/>
        <v>2</v>
      </c>
      <c r="N374">
        <f t="shared" si="17"/>
        <v>0</v>
      </c>
    </row>
    <row r="375" spans="1:14" x14ac:dyDescent="0.3">
      <c r="A375">
        <f>HeartData[[#This Row],[id]]</f>
        <v>374</v>
      </c>
      <c r="B375" s="4">
        <f>HeartData[[#This Row],[age]]</f>
        <v>44</v>
      </c>
      <c r="C375" t="str">
        <f>HeartData[[#This Row],[sex]]</f>
        <v>Male</v>
      </c>
      <c r="D375" t="str">
        <f t="shared" si="15"/>
        <v>Under 45</v>
      </c>
      <c r="E375" t="str">
        <f>HeartData[[#This Row],[cp]]</f>
        <v>asymptomatic</v>
      </c>
      <c r="F375" t="str">
        <f>IF(HeartData[[#This Row],[num]]&gt;0, "Diseased", "Healthy")</f>
        <v>Healthy</v>
      </c>
      <c r="G375">
        <f>IF(HeartData[[#This Row],[chol]]&gt;$P$3, 1, 0)</f>
        <v>1</v>
      </c>
      <c r="H375">
        <f>IF(HeartData[[#This Row],[trestbps]]&gt;$P$4, 1, 0)</f>
        <v>1</v>
      </c>
      <c r="I375">
        <f>IF(HeartData[[#This Row],[oldpeak]]&gt;$P$5,1,0)</f>
        <v>0</v>
      </c>
      <c r="J375">
        <f>IF(HeartData[[#This Row],[exang]]="TRUE",1,0)</f>
        <v>0</v>
      </c>
      <c r="K375">
        <f>IF(HeartData[[#This Row],[fbs]]="TRUE",1,0)</f>
        <v>0</v>
      </c>
      <c r="L375">
        <f>IF(HeartData[[#This Row],[ca]]&gt;0,1,0)</f>
        <v>0</v>
      </c>
      <c r="M375">
        <f t="shared" si="16"/>
        <v>2</v>
      </c>
      <c r="N375">
        <f t="shared" si="17"/>
        <v>0</v>
      </c>
    </row>
    <row r="376" spans="1:14" x14ac:dyDescent="0.3">
      <c r="A376">
        <f>HeartData[[#This Row],[id]]</f>
        <v>375</v>
      </c>
      <c r="B376" s="4">
        <f>HeartData[[#This Row],[age]]</f>
        <v>45</v>
      </c>
      <c r="C376" t="str">
        <f>HeartData[[#This Row],[sex]]</f>
        <v>Female</v>
      </c>
      <c r="D376" t="str">
        <f t="shared" si="15"/>
        <v>45-54</v>
      </c>
      <c r="E376" t="str">
        <f>HeartData[[#This Row],[cp]]</f>
        <v>atypical angina</v>
      </c>
      <c r="F376" t="str">
        <f>IF(HeartData[[#This Row],[num]]&gt;0, "Diseased", "Healthy")</f>
        <v>Healthy</v>
      </c>
      <c r="G376">
        <f>IF(HeartData[[#This Row],[chol]]&gt;$P$3, 1, 0)</f>
        <v>1</v>
      </c>
      <c r="H376">
        <f>IF(HeartData[[#This Row],[trestbps]]&gt;$P$4, 1, 0)</f>
        <v>1</v>
      </c>
      <c r="I376">
        <f>IF(HeartData[[#This Row],[oldpeak]]&gt;$P$5,1,0)</f>
        <v>0</v>
      </c>
      <c r="J376">
        <f>IF(HeartData[[#This Row],[exang]]="TRUE",1,0)</f>
        <v>0</v>
      </c>
      <c r="K376">
        <f>IF(HeartData[[#This Row],[fbs]]="TRUE",1,0)</f>
        <v>0</v>
      </c>
      <c r="L376">
        <f>IF(HeartData[[#This Row],[ca]]&gt;0,1,0)</f>
        <v>0</v>
      </c>
      <c r="M376">
        <f t="shared" si="16"/>
        <v>2</v>
      </c>
      <c r="N376">
        <f t="shared" si="17"/>
        <v>0</v>
      </c>
    </row>
    <row r="377" spans="1:14" x14ac:dyDescent="0.3">
      <c r="A377">
        <f>HeartData[[#This Row],[id]]</f>
        <v>376</v>
      </c>
      <c r="B377" s="4">
        <f>HeartData[[#This Row],[age]]</f>
        <v>45</v>
      </c>
      <c r="C377" t="str">
        <f>HeartData[[#This Row],[sex]]</f>
        <v>Female</v>
      </c>
      <c r="D377" t="str">
        <f t="shared" si="15"/>
        <v>45-54</v>
      </c>
      <c r="E377" t="str">
        <f>HeartData[[#This Row],[cp]]</f>
        <v>atypical angina</v>
      </c>
      <c r="F377" t="str">
        <f>IF(HeartData[[#This Row],[num]]&gt;0, "Diseased", "Healthy")</f>
        <v>Healthy</v>
      </c>
      <c r="G377">
        <f>IF(HeartData[[#This Row],[chol]]&gt;$P$3, 1, 0)</f>
        <v>0</v>
      </c>
      <c r="H377">
        <f>IF(HeartData[[#This Row],[trestbps]]&gt;$P$4, 1, 0)</f>
        <v>1</v>
      </c>
      <c r="I377">
        <f>IF(HeartData[[#This Row],[oldpeak]]&gt;$P$5,1,0)</f>
        <v>0</v>
      </c>
      <c r="J377">
        <f>IF(HeartData[[#This Row],[exang]]="TRUE",1,0)</f>
        <v>0</v>
      </c>
      <c r="K377">
        <f>IF(HeartData[[#This Row],[fbs]]="TRUE",1,0)</f>
        <v>0</v>
      </c>
      <c r="L377">
        <f>IF(HeartData[[#This Row],[ca]]&gt;0,1,0)</f>
        <v>0</v>
      </c>
      <c r="M377">
        <f t="shared" si="16"/>
        <v>1</v>
      </c>
      <c r="N377">
        <f t="shared" si="17"/>
        <v>0</v>
      </c>
    </row>
    <row r="378" spans="1:14" x14ac:dyDescent="0.3">
      <c r="A378">
        <f>HeartData[[#This Row],[id]]</f>
        <v>377</v>
      </c>
      <c r="B378" s="4">
        <f>HeartData[[#This Row],[age]]</f>
        <v>45</v>
      </c>
      <c r="C378" t="str">
        <f>HeartData[[#This Row],[sex]]</f>
        <v>Female</v>
      </c>
      <c r="D378" t="str">
        <f t="shared" si="15"/>
        <v>45-54</v>
      </c>
      <c r="E378" t="str">
        <f>HeartData[[#This Row],[cp]]</f>
        <v>asymptomatic</v>
      </c>
      <c r="F378" t="str">
        <f>IF(HeartData[[#This Row],[num]]&gt;0, "Diseased", "Healthy")</f>
        <v>Healthy</v>
      </c>
      <c r="G378">
        <f>IF(HeartData[[#This Row],[chol]]&gt;$P$3, 1, 0)</f>
        <v>1</v>
      </c>
      <c r="H378">
        <f>IF(HeartData[[#This Row],[trestbps]]&gt;$P$4, 1, 0)</f>
        <v>1</v>
      </c>
      <c r="I378">
        <f>IF(HeartData[[#This Row],[oldpeak]]&gt;$P$5,1,0)</f>
        <v>0</v>
      </c>
      <c r="J378">
        <f>IF(HeartData[[#This Row],[exang]]="TRUE",1,0)</f>
        <v>0</v>
      </c>
      <c r="K378">
        <f>IF(HeartData[[#This Row],[fbs]]="TRUE",1,0)</f>
        <v>0</v>
      </c>
      <c r="L378">
        <f>IF(HeartData[[#This Row],[ca]]&gt;0,1,0)</f>
        <v>0</v>
      </c>
      <c r="M378">
        <f t="shared" si="16"/>
        <v>2</v>
      </c>
      <c r="N378">
        <f t="shared" si="17"/>
        <v>0</v>
      </c>
    </row>
    <row r="379" spans="1:14" x14ac:dyDescent="0.3">
      <c r="A379">
        <f>HeartData[[#This Row],[id]]</f>
        <v>378</v>
      </c>
      <c r="B379" s="4">
        <f>HeartData[[#This Row],[age]]</f>
        <v>45</v>
      </c>
      <c r="C379" t="str">
        <f>HeartData[[#This Row],[sex]]</f>
        <v>Male</v>
      </c>
      <c r="D379" t="str">
        <f t="shared" si="15"/>
        <v>45-54</v>
      </c>
      <c r="E379" t="str">
        <f>HeartData[[#This Row],[cp]]</f>
        <v>atypical angina</v>
      </c>
      <c r="F379" t="str">
        <f>IF(HeartData[[#This Row],[num]]&gt;0, "Diseased", "Healthy")</f>
        <v>Healthy</v>
      </c>
      <c r="G379">
        <f>IF(HeartData[[#This Row],[chol]]&gt;$P$3, 1, 0)</f>
        <v>1</v>
      </c>
      <c r="H379">
        <f>IF(HeartData[[#This Row],[trestbps]]&gt;$P$4, 1, 0)</f>
        <v>1</v>
      </c>
      <c r="I379">
        <f>IF(HeartData[[#This Row],[oldpeak]]&gt;$P$5,1,0)</f>
        <v>0</v>
      </c>
      <c r="J379">
        <f>IF(HeartData[[#This Row],[exang]]="TRUE",1,0)</f>
        <v>0</v>
      </c>
      <c r="K379">
        <f>IF(HeartData[[#This Row],[fbs]]="TRUE",1,0)</f>
        <v>1</v>
      </c>
      <c r="L379">
        <f>IF(HeartData[[#This Row],[ca]]&gt;0,1,0)</f>
        <v>0</v>
      </c>
      <c r="M379">
        <f t="shared" si="16"/>
        <v>3</v>
      </c>
      <c r="N379">
        <f t="shared" si="17"/>
        <v>0</v>
      </c>
    </row>
    <row r="380" spans="1:14" x14ac:dyDescent="0.3">
      <c r="A380">
        <f>HeartData[[#This Row],[id]]</f>
        <v>379</v>
      </c>
      <c r="B380" s="4">
        <f>HeartData[[#This Row],[age]]</f>
        <v>45</v>
      </c>
      <c r="C380" t="str">
        <f>HeartData[[#This Row],[sex]]</f>
        <v>Male</v>
      </c>
      <c r="D380" t="str">
        <f t="shared" si="15"/>
        <v>45-54</v>
      </c>
      <c r="E380" t="str">
        <f>HeartData[[#This Row],[cp]]</f>
        <v>non-anginal</v>
      </c>
      <c r="F380" t="str">
        <f>IF(HeartData[[#This Row],[num]]&gt;0, "Diseased", "Healthy")</f>
        <v>Healthy</v>
      </c>
      <c r="G380">
        <f>IF(HeartData[[#This Row],[chol]]&gt;$P$3, 1, 0)</f>
        <v>0</v>
      </c>
      <c r="H380">
        <f>IF(HeartData[[#This Row],[trestbps]]&gt;$P$4, 1, 0)</f>
        <v>1</v>
      </c>
      <c r="I380">
        <f>IF(HeartData[[#This Row],[oldpeak]]&gt;$P$5,1,0)</f>
        <v>0</v>
      </c>
      <c r="J380">
        <f>IF(HeartData[[#This Row],[exang]]="TRUE",1,0)</f>
        <v>0</v>
      </c>
      <c r="K380">
        <f>IF(HeartData[[#This Row],[fbs]]="TRUE",1,0)</f>
        <v>0</v>
      </c>
      <c r="L380">
        <f>IF(HeartData[[#This Row],[ca]]&gt;0,1,0)</f>
        <v>0</v>
      </c>
      <c r="M380">
        <f t="shared" si="16"/>
        <v>1</v>
      </c>
      <c r="N380">
        <f t="shared" si="17"/>
        <v>0</v>
      </c>
    </row>
    <row r="381" spans="1:14" x14ac:dyDescent="0.3">
      <c r="A381">
        <f>HeartData[[#This Row],[id]]</f>
        <v>380</v>
      </c>
      <c r="B381" s="4">
        <f>HeartData[[#This Row],[age]]</f>
        <v>45</v>
      </c>
      <c r="C381" t="str">
        <f>HeartData[[#This Row],[sex]]</f>
        <v>Male</v>
      </c>
      <c r="D381" t="str">
        <f t="shared" si="15"/>
        <v>45-54</v>
      </c>
      <c r="E381" t="str">
        <f>HeartData[[#This Row],[cp]]</f>
        <v>asymptomatic</v>
      </c>
      <c r="F381" t="str">
        <f>IF(HeartData[[#This Row],[num]]&gt;0, "Diseased", "Healthy")</f>
        <v>Healthy</v>
      </c>
      <c r="G381">
        <f>IF(HeartData[[#This Row],[chol]]&gt;$P$3, 1, 0)</f>
        <v>1</v>
      </c>
      <c r="H381">
        <f>IF(HeartData[[#This Row],[trestbps]]&gt;$P$4, 1, 0)</f>
        <v>1</v>
      </c>
      <c r="I381">
        <f>IF(HeartData[[#This Row],[oldpeak]]&gt;$P$5,1,0)</f>
        <v>0</v>
      </c>
      <c r="J381">
        <f>IF(HeartData[[#This Row],[exang]]="TRUE",1,0)</f>
        <v>0</v>
      </c>
      <c r="K381">
        <f>IF(HeartData[[#This Row],[fbs]]="TRUE",1,0)</f>
        <v>0</v>
      </c>
      <c r="L381">
        <f>IF(HeartData[[#This Row],[ca]]&gt;0,1,0)</f>
        <v>0</v>
      </c>
      <c r="M381">
        <f t="shared" si="16"/>
        <v>2</v>
      </c>
      <c r="N381">
        <f t="shared" si="17"/>
        <v>0</v>
      </c>
    </row>
    <row r="382" spans="1:14" x14ac:dyDescent="0.3">
      <c r="A382">
        <f>HeartData[[#This Row],[id]]</f>
        <v>381</v>
      </c>
      <c r="B382" s="4">
        <f>HeartData[[#This Row],[age]]</f>
        <v>45</v>
      </c>
      <c r="C382" t="str">
        <f>HeartData[[#This Row],[sex]]</f>
        <v>Male</v>
      </c>
      <c r="D382" t="str">
        <f t="shared" si="15"/>
        <v>45-54</v>
      </c>
      <c r="E382" t="str">
        <f>HeartData[[#This Row],[cp]]</f>
        <v>asymptomatic</v>
      </c>
      <c r="F382" t="str">
        <f>IF(HeartData[[#This Row],[num]]&gt;0, "Diseased", "Healthy")</f>
        <v>Healthy</v>
      </c>
      <c r="G382">
        <f>IF(HeartData[[#This Row],[chol]]&gt;$P$3, 1, 0)</f>
        <v>1</v>
      </c>
      <c r="H382">
        <f>IF(HeartData[[#This Row],[trestbps]]&gt;$P$4, 1, 0)</f>
        <v>1</v>
      </c>
      <c r="I382">
        <f>IF(HeartData[[#This Row],[oldpeak]]&gt;$P$5,1,0)</f>
        <v>0</v>
      </c>
      <c r="J382">
        <f>IF(HeartData[[#This Row],[exang]]="TRUE",1,0)</f>
        <v>0</v>
      </c>
      <c r="K382">
        <f>IF(HeartData[[#This Row],[fbs]]="TRUE",1,0)</f>
        <v>0</v>
      </c>
      <c r="L382">
        <f>IF(HeartData[[#This Row],[ca]]&gt;0,1,0)</f>
        <v>0</v>
      </c>
      <c r="M382">
        <f t="shared" si="16"/>
        <v>2</v>
      </c>
      <c r="N382">
        <f t="shared" si="17"/>
        <v>0</v>
      </c>
    </row>
    <row r="383" spans="1:14" x14ac:dyDescent="0.3">
      <c r="A383">
        <f>HeartData[[#This Row],[id]]</f>
        <v>382</v>
      </c>
      <c r="B383" s="4">
        <f>HeartData[[#This Row],[age]]</f>
        <v>46</v>
      </c>
      <c r="C383" t="str">
        <f>HeartData[[#This Row],[sex]]</f>
        <v>Female</v>
      </c>
      <c r="D383" t="str">
        <f t="shared" si="15"/>
        <v>45-54</v>
      </c>
      <c r="E383" t="str">
        <f>HeartData[[#This Row],[cp]]</f>
        <v>asymptomatic</v>
      </c>
      <c r="F383" t="str">
        <f>IF(HeartData[[#This Row],[num]]&gt;0, "Diseased", "Healthy")</f>
        <v>Healthy</v>
      </c>
      <c r="G383">
        <f>IF(HeartData[[#This Row],[chol]]&gt;$P$3, 1, 0)</f>
        <v>1</v>
      </c>
      <c r="H383">
        <f>IF(HeartData[[#This Row],[trestbps]]&gt;$P$4, 1, 0)</f>
        <v>1</v>
      </c>
      <c r="I383">
        <f>IF(HeartData[[#This Row],[oldpeak]]&gt;$P$5,1,0)</f>
        <v>0</v>
      </c>
      <c r="J383">
        <f>IF(HeartData[[#This Row],[exang]]="TRUE",1,0)</f>
        <v>0</v>
      </c>
      <c r="K383">
        <f>IF(HeartData[[#This Row],[fbs]]="TRUE",1,0)</f>
        <v>0</v>
      </c>
      <c r="L383">
        <f>IF(HeartData[[#This Row],[ca]]&gt;0,1,0)</f>
        <v>0</v>
      </c>
      <c r="M383">
        <f t="shared" si="16"/>
        <v>2</v>
      </c>
      <c r="N383">
        <f t="shared" si="17"/>
        <v>0</v>
      </c>
    </row>
    <row r="384" spans="1:14" x14ac:dyDescent="0.3">
      <c r="A384">
        <f>HeartData[[#This Row],[id]]</f>
        <v>383</v>
      </c>
      <c r="B384" s="4">
        <f>HeartData[[#This Row],[age]]</f>
        <v>46</v>
      </c>
      <c r="C384" t="str">
        <f>HeartData[[#This Row],[sex]]</f>
        <v>Male</v>
      </c>
      <c r="D384" t="str">
        <f t="shared" si="15"/>
        <v>45-54</v>
      </c>
      <c r="E384" t="str">
        <f>HeartData[[#This Row],[cp]]</f>
        <v>atypical angina</v>
      </c>
      <c r="F384" t="str">
        <f>IF(HeartData[[#This Row],[num]]&gt;0, "Diseased", "Healthy")</f>
        <v>Healthy</v>
      </c>
      <c r="G384">
        <f>IF(HeartData[[#This Row],[chol]]&gt;$P$3, 1, 0)</f>
        <v>1</v>
      </c>
      <c r="H384">
        <f>IF(HeartData[[#This Row],[trestbps]]&gt;$P$4, 1, 0)</f>
        <v>1</v>
      </c>
      <c r="I384">
        <f>IF(HeartData[[#This Row],[oldpeak]]&gt;$P$5,1,0)</f>
        <v>0</v>
      </c>
      <c r="J384">
        <f>IF(HeartData[[#This Row],[exang]]="TRUE",1,0)</f>
        <v>1</v>
      </c>
      <c r="K384">
        <f>IF(HeartData[[#This Row],[fbs]]="TRUE",1,0)</f>
        <v>0</v>
      </c>
      <c r="L384">
        <f>IF(HeartData[[#This Row],[ca]]&gt;0,1,0)</f>
        <v>0</v>
      </c>
      <c r="M384">
        <f t="shared" si="16"/>
        <v>3</v>
      </c>
      <c r="N384">
        <f t="shared" si="17"/>
        <v>0</v>
      </c>
    </row>
    <row r="385" spans="1:14" x14ac:dyDescent="0.3">
      <c r="A385">
        <f>HeartData[[#This Row],[id]]</f>
        <v>384</v>
      </c>
      <c r="B385" s="4">
        <f>HeartData[[#This Row],[age]]</f>
        <v>46</v>
      </c>
      <c r="C385" t="str">
        <f>HeartData[[#This Row],[sex]]</f>
        <v>Male</v>
      </c>
      <c r="D385" t="str">
        <f t="shared" si="15"/>
        <v>45-54</v>
      </c>
      <c r="E385" t="str">
        <f>HeartData[[#This Row],[cp]]</f>
        <v>non-anginal</v>
      </c>
      <c r="F385" t="str">
        <f>IF(HeartData[[#This Row],[num]]&gt;0, "Diseased", "Healthy")</f>
        <v>Healthy</v>
      </c>
      <c r="G385">
        <f>IF(HeartData[[#This Row],[chol]]&gt;$P$3, 1, 0)</f>
        <v>1</v>
      </c>
      <c r="H385">
        <f>IF(HeartData[[#This Row],[trestbps]]&gt;$P$4, 1, 0)</f>
        <v>1</v>
      </c>
      <c r="I385">
        <f>IF(HeartData[[#This Row],[oldpeak]]&gt;$P$5,1,0)</f>
        <v>0</v>
      </c>
      <c r="J385">
        <f>IF(HeartData[[#This Row],[exang]]="TRUE",1,0)</f>
        <v>0</v>
      </c>
      <c r="K385">
        <f>IF(HeartData[[#This Row],[fbs]]="TRUE",1,0)</f>
        <v>0</v>
      </c>
      <c r="L385">
        <f>IF(HeartData[[#This Row],[ca]]&gt;0,1,0)</f>
        <v>0</v>
      </c>
      <c r="M385">
        <f t="shared" si="16"/>
        <v>2</v>
      </c>
      <c r="N385">
        <f t="shared" si="17"/>
        <v>0</v>
      </c>
    </row>
    <row r="386" spans="1:14" x14ac:dyDescent="0.3">
      <c r="A386">
        <f>HeartData[[#This Row],[id]]</f>
        <v>385</v>
      </c>
      <c r="B386" s="4">
        <f>HeartData[[#This Row],[age]]</f>
        <v>46</v>
      </c>
      <c r="C386" t="str">
        <f>HeartData[[#This Row],[sex]]</f>
        <v>Male</v>
      </c>
      <c r="D386" t="str">
        <f t="shared" ref="D386:D449" si="18">IF(B386&lt;45,"Under 45",IF(B386&lt;=54,"45-54",IF(B386&lt;=64,"55-64","65+")))</f>
        <v>45-54</v>
      </c>
      <c r="E386" t="str">
        <f>HeartData[[#This Row],[cp]]</f>
        <v>non-anginal</v>
      </c>
      <c r="F386" t="str">
        <f>IF(HeartData[[#This Row],[num]]&gt;0, "Diseased", "Healthy")</f>
        <v>Healthy</v>
      </c>
      <c r="G386">
        <f>IF(HeartData[[#This Row],[chol]]&gt;$P$3, 1, 0)</f>
        <v>1</v>
      </c>
      <c r="H386">
        <f>IF(HeartData[[#This Row],[trestbps]]&gt;$P$4, 1, 0)</f>
        <v>1</v>
      </c>
      <c r="I386">
        <f>IF(HeartData[[#This Row],[oldpeak]]&gt;$P$5,1,0)</f>
        <v>0</v>
      </c>
      <c r="J386">
        <f>IF(HeartData[[#This Row],[exang]]="TRUE",1,0)</f>
        <v>0</v>
      </c>
      <c r="K386">
        <f>IF(HeartData[[#This Row],[fbs]]="TRUE",1,0)</f>
        <v>0</v>
      </c>
      <c r="L386">
        <f>IF(HeartData[[#This Row],[ca]]&gt;0,1,0)</f>
        <v>0</v>
      </c>
      <c r="M386">
        <f t="shared" si="16"/>
        <v>2</v>
      </c>
      <c r="N386">
        <f t="shared" si="17"/>
        <v>0</v>
      </c>
    </row>
    <row r="387" spans="1:14" x14ac:dyDescent="0.3">
      <c r="A387">
        <f>HeartData[[#This Row],[id]]</f>
        <v>386</v>
      </c>
      <c r="B387" s="4">
        <f>HeartData[[#This Row],[age]]</f>
        <v>46</v>
      </c>
      <c r="C387" t="str">
        <f>HeartData[[#This Row],[sex]]</f>
        <v>Male</v>
      </c>
      <c r="D387" t="str">
        <f t="shared" si="18"/>
        <v>45-54</v>
      </c>
      <c r="E387" t="str">
        <f>HeartData[[#This Row],[cp]]</f>
        <v>asymptomatic</v>
      </c>
      <c r="F387" t="str">
        <f>IF(HeartData[[#This Row],[num]]&gt;0, "Diseased", "Healthy")</f>
        <v>Healthy</v>
      </c>
      <c r="G387">
        <f>IF(HeartData[[#This Row],[chol]]&gt;$P$3, 1, 0)</f>
        <v>1</v>
      </c>
      <c r="H387">
        <f>IF(HeartData[[#This Row],[trestbps]]&gt;$P$4, 1, 0)</f>
        <v>1</v>
      </c>
      <c r="I387">
        <f>IF(HeartData[[#This Row],[oldpeak]]&gt;$P$5,1,0)</f>
        <v>1</v>
      </c>
      <c r="J387">
        <f>IF(HeartData[[#This Row],[exang]]="TRUE",1,0)</f>
        <v>1</v>
      </c>
      <c r="K387">
        <f>IF(HeartData[[#This Row],[fbs]]="TRUE",1,0)</f>
        <v>0</v>
      </c>
      <c r="L387">
        <f>IF(HeartData[[#This Row],[ca]]&gt;0,1,0)</f>
        <v>0</v>
      </c>
      <c r="M387">
        <f t="shared" ref="M387:M450" si="19">G387+H387+I387+J387+K387+L387</f>
        <v>4</v>
      </c>
      <c r="N387">
        <f t="shared" ref="N387:N450" si="20">IF(F387="Diseased",1,0)</f>
        <v>0</v>
      </c>
    </row>
    <row r="388" spans="1:14" x14ac:dyDescent="0.3">
      <c r="A388">
        <f>HeartData[[#This Row],[id]]</f>
        <v>387</v>
      </c>
      <c r="B388" s="4">
        <f>HeartData[[#This Row],[age]]</f>
        <v>46</v>
      </c>
      <c r="C388" t="str">
        <f>HeartData[[#This Row],[sex]]</f>
        <v>Male</v>
      </c>
      <c r="D388" t="str">
        <f t="shared" si="18"/>
        <v>45-54</v>
      </c>
      <c r="E388" t="str">
        <f>HeartData[[#This Row],[cp]]</f>
        <v>asymptomatic</v>
      </c>
      <c r="F388" t="str">
        <f>IF(HeartData[[#This Row],[num]]&gt;0, "Diseased", "Healthy")</f>
        <v>Healthy</v>
      </c>
      <c r="G388">
        <f>IF(HeartData[[#This Row],[chol]]&gt;$P$3, 1, 0)</f>
        <v>1</v>
      </c>
      <c r="H388">
        <f>IF(HeartData[[#This Row],[trestbps]]&gt;$P$4, 1, 0)</f>
        <v>1</v>
      </c>
      <c r="I388">
        <f>IF(HeartData[[#This Row],[oldpeak]]&gt;$P$5,1,0)</f>
        <v>0</v>
      </c>
      <c r="J388">
        <f>IF(HeartData[[#This Row],[exang]]="TRUE",1,0)</f>
        <v>0</v>
      </c>
      <c r="K388">
        <f>IF(HeartData[[#This Row],[fbs]]="TRUE",1,0)</f>
        <v>0</v>
      </c>
      <c r="L388">
        <f>IF(HeartData[[#This Row],[ca]]&gt;0,1,0)</f>
        <v>0</v>
      </c>
      <c r="M388">
        <f t="shared" si="19"/>
        <v>2</v>
      </c>
      <c r="N388">
        <f t="shared" si="20"/>
        <v>0</v>
      </c>
    </row>
    <row r="389" spans="1:14" x14ac:dyDescent="0.3">
      <c r="A389">
        <f>HeartData[[#This Row],[id]]</f>
        <v>388</v>
      </c>
      <c r="B389" s="4">
        <f>HeartData[[#This Row],[age]]</f>
        <v>46</v>
      </c>
      <c r="C389" t="str">
        <f>HeartData[[#This Row],[sex]]</f>
        <v>Male</v>
      </c>
      <c r="D389" t="str">
        <f t="shared" si="18"/>
        <v>45-54</v>
      </c>
      <c r="E389" t="str">
        <f>HeartData[[#This Row],[cp]]</f>
        <v>asymptomatic</v>
      </c>
      <c r="F389" t="str">
        <f>IF(HeartData[[#This Row],[num]]&gt;0, "Diseased", "Healthy")</f>
        <v>Healthy</v>
      </c>
      <c r="G389">
        <f>IF(HeartData[[#This Row],[chol]]&gt;$P$3, 1, 0)</f>
        <v>1</v>
      </c>
      <c r="H389">
        <f>IF(HeartData[[#This Row],[trestbps]]&gt;$P$4, 1, 0)</f>
        <v>1</v>
      </c>
      <c r="I389">
        <f>IF(HeartData[[#This Row],[oldpeak]]&gt;$P$5,1,0)</f>
        <v>0</v>
      </c>
      <c r="J389">
        <f>IF(HeartData[[#This Row],[exang]]="TRUE",1,0)</f>
        <v>0</v>
      </c>
      <c r="K389">
        <f>IF(HeartData[[#This Row],[fbs]]="TRUE",1,0)</f>
        <v>0</v>
      </c>
      <c r="L389">
        <f>IF(HeartData[[#This Row],[ca]]&gt;0,1,0)</f>
        <v>0</v>
      </c>
      <c r="M389">
        <f t="shared" si="19"/>
        <v>2</v>
      </c>
      <c r="N389">
        <f t="shared" si="20"/>
        <v>0</v>
      </c>
    </row>
    <row r="390" spans="1:14" x14ac:dyDescent="0.3">
      <c r="A390">
        <f>HeartData[[#This Row],[id]]</f>
        <v>389</v>
      </c>
      <c r="B390" s="4">
        <f>HeartData[[#This Row],[age]]</f>
        <v>47</v>
      </c>
      <c r="C390" t="str">
        <f>HeartData[[#This Row],[sex]]</f>
        <v>Female</v>
      </c>
      <c r="D390" t="str">
        <f t="shared" si="18"/>
        <v>45-54</v>
      </c>
      <c r="E390" t="str">
        <f>HeartData[[#This Row],[cp]]</f>
        <v>atypical angina</v>
      </c>
      <c r="F390" t="str">
        <f>IF(HeartData[[#This Row],[num]]&gt;0, "Diseased", "Healthy")</f>
        <v>Healthy</v>
      </c>
      <c r="G390">
        <f>IF(HeartData[[#This Row],[chol]]&gt;$P$3, 1, 0)</f>
        <v>1</v>
      </c>
      <c r="H390">
        <f>IF(HeartData[[#This Row],[trestbps]]&gt;$P$4, 1, 0)</f>
        <v>1</v>
      </c>
      <c r="I390">
        <f>IF(HeartData[[#This Row],[oldpeak]]&gt;$P$5,1,0)</f>
        <v>1</v>
      </c>
      <c r="J390">
        <f>IF(HeartData[[#This Row],[exang]]="TRUE",1,0)</f>
        <v>0</v>
      </c>
      <c r="K390">
        <f>IF(HeartData[[#This Row],[fbs]]="TRUE",1,0)</f>
        <v>0</v>
      </c>
      <c r="L390">
        <f>IF(HeartData[[#This Row],[ca]]&gt;0,1,0)</f>
        <v>0</v>
      </c>
      <c r="M390">
        <f t="shared" si="19"/>
        <v>3</v>
      </c>
      <c r="N390">
        <f t="shared" si="20"/>
        <v>0</v>
      </c>
    </row>
    <row r="391" spans="1:14" x14ac:dyDescent="0.3">
      <c r="A391">
        <f>HeartData[[#This Row],[id]]</f>
        <v>390</v>
      </c>
      <c r="B391" s="4">
        <f>HeartData[[#This Row],[age]]</f>
        <v>47</v>
      </c>
      <c r="C391" t="str">
        <f>HeartData[[#This Row],[sex]]</f>
        <v>Female</v>
      </c>
      <c r="D391" t="str">
        <f t="shared" si="18"/>
        <v>45-54</v>
      </c>
      <c r="E391" t="str">
        <f>HeartData[[#This Row],[cp]]</f>
        <v>non-anginal</v>
      </c>
      <c r="F391" t="str">
        <f>IF(HeartData[[#This Row],[num]]&gt;0, "Diseased", "Healthy")</f>
        <v>Healthy</v>
      </c>
      <c r="G391">
        <f>IF(HeartData[[#This Row],[chol]]&gt;$P$3, 1, 0)</f>
        <v>0</v>
      </c>
      <c r="H391">
        <f>IF(HeartData[[#This Row],[trestbps]]&gt;$P$4, 1, 0)</f>
        <v>1</v>
      </c>
      <c r="I391">
        <f>IF(HeartData[[#This Row],[oldpeak]]&gt;$P$5,1,0)</f>
        <v>1</v>
      </c>
      <c r="J391">
        <f>IF(HeartData[[#This Row],[exang]]="TRUE",1,0)</f>
        <v>0</v>
      </c>
      <c r="K391">
        <f>IF(HeartData[[#This Row],[fbs]]="TRUE",1,0)</f>
        <v>0</v>
      </c>
      <c r="L391">
        <f>IF(HeartData[[#This Row],[ca]]&gt;0,1,0)</f>
        <v>0</v>
      </c>
      <c r="M391">
        <f t="shared" si="19"/>
        <v>2</v>
      </c>
      <c r="N391">
        <f t="shared" si="20"/>
        <v>0</v>
      </c>
    </row>
    <row r="392" spans="1:14" x14ac:dyDescent="0.3">
      <c r="A392">
        <f>HeartData[[#This Row],[id]]</f>
        <v>391</v>
      </c>
      <c r="B392" s="4">
        <f>HeartData[[#This Row],[age]]</f>
        <v>47</v>
      </c>
      <c r="C392" t="str">
        <f>HeartData[[#This Row],[sex]]</f>
        <v>Male</v>
      </c>
      <c r="D392" t="str">
        <f t="shared" si="18"/>
        <v>45-54</v>
      </c>
      <c r="E392" t="str">
        <f>HeartData[[#This Row],[cp]]</f>
        <v>typical angina</v>
      </c>
      <c r="F392" t="str">
        <f>IF(HeartData[[#This Row],[num]]&gt;0, "Diseased", "Healthy")</f>
        <v>Healthy</v>
      </c>
      <c r="G392">
        <f>IF(HeartData[[#This Row],[chol]]&gt;$P$3, 1, 0)</f>
        <v>1</v>
      </c>
      <c r="H392">
        <f>IF(HeartData[[#This Row],[trestbps]]&gt;$P$4, 1, 0)</f>
        <v>1</v>
      </c>
      <c r="I392">
        <f>IF(HeartData[[#This Row],[oldpeak]]&gt;$P$5,1,0)</f>
        <v>0</v>
      </c>
      <c r="J392">
        <f>IF(HeartData[[#This Row],[exang]]="TRUE",1,0)</f>
        <v>0</v>
      </c>
      <c r="K392">
        <f>IF(HeartData[[#This Row],[fbs]]="TRUE",1,0)</f>
        <v>0</v>
      </c>
      <c r="L392">
        <f>IF(HeartData[[#This Row],[ca]]&gt;0,1,0)</f>
        <v>0</v>
      </c>
      <c r="M392">
        <f t="shared" si="19"/>
        <v>2</v>
      </c>
      <c r="N392">
        <f t="shared" si="20"/>
        <v>0</v>
      </c>
    </row>
    <row r="393" spans="1:14" x14ac:dyDescent="0.3">
      <c r="A393">
        <f>HeartData[[#This Row],[id]]</f>
        <v>392</v>
      </c>
      <c r="B393" s="4">
        <f>HeartData[[#This Row],[age]]</f>
        <v>47</v>
      </c>
      <c r="C393" t="str">
        <f>HeartData[[#This Row],[sex]]</f>
        <v>Male</v>
      </c>
      <c r="D393" t="str">
        <f t="shared" si="18"/>
        <v>45-54</v>
      </c>
      <c r="E393" t="str">
        <f>HeartData[[#This Row],[cp]]</f>
        <v>atypical angina</v>
      </c>
      <c r="F393" t="str">
        <f>IF(HeartData[[#This Row],[num]]&gt;0, "Diseased", "Healthy")</f>
        <v>Healthy</v>
      </c>
      <c r="G393">
        <f>IF(HeartData[[#This Row],[chol]]&gt;$P$3, 1, 0)</f>
        <v>1</v>
      </c>
      <c r="H393">
        <f>IF(HeartData[[#This Row],[trestbps]]&gt;$P$4, 1, 0)</f>
        <v>1</v>
      </c>
      <c r="I393">
        <f>IF(HeartData[[#This Row],[oldpeak]]&gt;$P$5,1,0)</f>
        <v>0</v>
      </c>
      <c r="J393">
        <f>IF(HeartData[[#This Row],[exang]]="TRUE",1,0)</f>
        <v>0</v>
      </c>
      <c r="K393">
        <f>IF(HeartData[[#This Row],[fbs]]="TRUE",1,0)</f>
        <v>0</v>
      </c>
      <c r="L393">
        <f>IF(HeartData[[#This Row],[ca]]&gt;0,1,0)</f>
        <v>0</v>
      </c>
      <c r="M393">
        <f t="shared" si="19"/>
        <v>2</v>
      </c>
      <c r="N393">
        <f t="shared" si="20"/>
        <v>0</v>
      </c>
    </row>
    <row r="394" spans="1:14" x14ac:dyDescent="0.3">
      <c r="A394">
        <f>HeartData[[#This Row],[id]]</f>
        <v>393</v>
      </c>
      <c r="B394" s="4">
        <f>HeartData[[#This Row],[age]]</f>
        <v>47</v>
      </c>
      <c r="C394" t="str">
        <f>HeartData[[#This Row],[sex]]</f>
        <v>Male</v>
      </c>
      <c r="D394" t="str">
        <f t="shared" si="18"/>
        <v>45-54</v>
      </c>
      <c r="E394" t="str">
        <f>HeartData[[#This Row],[cp]]</f>
        <v>asymptomatic</v>
      </c>
      <c r="F394" t="str">
        <f>IF(HeartData[[#This Row],[num]]&gt;0, "Diseased", "Healthy")</f>
        <v>Healthy</v>
      </c>
      <c r="G394">
        <f>IF(HeartData[[#This Row],[chol]]&gt;$P$3, 1, 0)</f>
        <v>1</v>
      </c>
      <c r="H394">
        <f>IF(HeartData[[#This Row],[trestbps]]&gt;$P$4, 1, 0)</f>
        <v>1</v>
      </c>
      <c r="I394">
        <f>IF(HeartData[[#This Row],[oldpeak]]&gt;$P$5,1,0)</f>
        <v>0</v>
      </c>
      <c r="J394">
        <f>IF(HeartData[[#This Row],[exang]]="TRUE",1,0)</f>
        <v>1</v>
      </c>
      <c r="K394">
        <f>IF(HeartData[[#This Row],[fbs]]="TRUE",1,0)</f>
        <v>1</v>
      </c>
      <c r="L394">
        <f>IF(HeartData[[#This Row],[ca]]&gt;0,1,0)</f>
        <v>0</v>
      </c>
      <c r="M394">
        <f t="shared" si="19"/>
        <v>4</v>
      </c>
      <c r="N394">
        <f t="shared" si="20"/>
        <v>0</v>
      </c>
    </row>
    <row r="395" spans="1:14" x14ac:dyDescent="0.3">
      <c r="A395">
        <f>HeartData[[#This Row],[id]]</f>
        <v>394</v>
      </c>
      <c r="B395" s="4">
        <f>HeartData[[#This Row],[age]]</f>
        <v>48</v>
      </c>
      <c r="C395" t="str">
        <f>HeartData[[#This Row],[sex]]</f>
        <v>Female</v>
      </c>
      <c r="D395" t="str">
        <f t="shared" si="18"/>
        <v>45-54</v>
      </c>
      <c r="E395" t="str">
        <f>HeartData[[#This Row],[cp]]</f>
        <v>atypical angina</v>
      </c>
      <c r="F395" t="str">
        <f>IF(HeartData[[#This Row],[num]]&gt;0, "Diseased", "Healthy")</f>
        <v>Healthy</v>
      </c>
      <c r="G395">
        <f>IF(HeartData[[#This Row],[chol]]&gt;$P$3, 1, 0)</f>
        <v>1</v>
      </c>
      <c r="H395">
        <f>IF(HeartData[[#This Row],[trestbps]]&gt;$P$4, 1, 0)</f>
        <v>0</v>
      </c>
      <c r="I395">
        <f>IF(HeartData[[#This Row],[oldpeak]]&gt;$P$5,1,0)</f>
        <v>1</v>
      </c>
      <c r="J395">
        <f>IF(HeartData[[#This Row],[exang]]="TRUE",1,0)</f>
        <v>0</v>
      </c>
      <c r="K395">
        <f>IF(HeartData[[#This Row],[fbs]]="TRUE",1,0)</f>
        <v>0</v>
      </c>
      <c r="L395">
        <f>IF(HeartData[[#This Row],[ca]]&gt;0,1,0)</f>
        <v>0</v>
      </c>
      <c r="M395">
        <f t="shared" si="19"/>
        <v>2</v>
      </c>
      <c r="N395">
        <f t="shared" si="20"/>
        <v>0</v>
      </c>
    </row>
    <row r="396" spans="1:14" x14ac:dyDescent="0.3">
      <c r="A396">
        <f>HeartData[[#This Row],[id]]</f>
        <v>395</v>
      </c>
      <c r="B396" s="4">
        <f>HeartData[[#This Row],[age]]</f>
        <v>48</v>
      </c>
      <c r="C396" t="str">
        <f>HeartData[[#This Row],[sex]]</f>
        <v>Female</v>
      </c>
      <c r="D396" t="str">
        <f t="shared" si="18"/>
        <v>45-54</v>
      </c>
      <c r="E396" t="str">
        <f>HeartData[[#This Row],[cp]]</f>
        <v>atypical angina</v>
      </c>
      <c r="F396" t="str">
        <f>IF(HeartData[[#This Row],[num]]&gt;0, "Diseased", "Healthy")</f>
        <v>Healthy</v>
      </c>
      <c r="G396">
        <f>IF(HeartData[[#This Row],[chol]]&gt;$P$3, 1, 0)</f>
        <v>0</v>
      </c>
      <c r="H396">
        <f>IF(HeartData[[#This Row],[trestbps]]&gt;$P$4, 1, 0)</f>
        <v>1</v>
      </c>
      <c r="I396">
        <f>IF(HeartData[[#This Row],[oldpeak]]&gt;$P$5,1,0)</f>
        <v>0</v>
      </c>
      <c r="J396">
        <f>IF(HeartData[[#This Row],[exang]]="TRUE",1,0)</f>
        <v>0</v>
      </c>
      <c r="K396">
        <f>IF(HeartData[[#This Row],[fbs]]="TRUE",1,0)</f>
        <v>1</v>
      </c>
      <c r="L396">
        <f>IF(HeartData[[#This Row],[ca]]&gt;0,1,0)</f>
        <v>0</v>
      </c>
      <c r="M396">
        <f t="shared" si="19"/>
        <v>2</v>
      </c>
      <c r="N396">
        <f t="shared" si="20"/>
        <v>0</v>
      </c>
    </row>
    <row r="397" spans="1:14" x14ac:dyDescent="0.3">
      <c r="A397">
        <f>HeartData[[#This Row],[id]]</f>
        <v>396</v>
      </c>
      <c r="B397" s="4">
        <f>HeartData[[#This Row],[age]]</f>
        <v>48</v>
      </c>
      <c r="C397" t="str">
        <f>HeartData[[#This Row],[sex]]</f>
        <v>Female</v>
      </c>
      <c r="D397" t="str">
        <f t="shared" si="18"/>
        <v>45-54</v>
      </c>
      <c r="E397" t="str">
        <f>HeartData[[#This Row],[cp]]</f>
        <v>atypical angina</v>
      </c>
      <c r="F397" t="str">
        <f>IF(HeartData[[#This Row],[num]]&gt;0, "Diseased", "Healthy")</f>
        <v>Healthy</v>
      </c>
      <c r="G397">
        <f>IF(HeartData[[#This Row],[chol]]&gt;$P$3, 1, 0)</f>
        <v>1</v>
      </c>
      <c r="H397">
        <f>IF(HeartData[[#This Row],[trestbps]]&gt;$P$4, 1, 0)</f>
        <v>1</v>
      </c>
      <c r="I397">
        <f>IF(HeartData[[#This Row],[oldpeak]]&gt;$P$5,1,0)</f>
        <v>0</v>
      </c>
      <c r="J397">
        <f>IF(HeartData[[#This Row],[exang]]="TRUE",1,0)</f>
        <v>0</v>
      </c>
      <c r="K397">
        <f>IF(HeartData[[#This Row],[fbs]]="TRUE",1,0)</f>
        <v>0</v>
      </c>
      <c r="L397">
        <f>IF(HeartData[[#This Row],[ca]]&gt;0,1,0)</f>
        <v>0</v>
      </c>
      <c r="M397">
        <f t="shared" si="19"/>
        <v>2</v>
      </c>
      <c r="N397">
        <f t="shared" si="20"/>
        <v>0</v>
      </c>
    </row>
    <row r="398" spans="1:14" x14ac:dyDescent="0.3">
      <c r="A398">
        <f>HeartData[[#This Row],[id]]</f>
        <v>397</v>
      </c>
      <c r="B398" s="4">
        <f>HeartData[[#This Row],[age]]</f>
        <v>48</v>
      </c>
      <c r="C398" t="str">
        <f>HeartData[[#This Row],[sex]]</f>
        <v>Female</v>
      </c>
      <c r="D398" t="str">
        <f t="shared" si="18"/>
        <v>45-54</v>
      </c>
      <c r="E398" t="str">
        <f>HeartData[[#This Row],[cp]]</f>
        <v>non-anginal</v>
      </c>
      <c r="F398" t="str">
        <f>IF(HeartData[[#This Row],[num]]&gt;0, "Diseased", "Healthy")</f>
        <v>Healthy</v>
      </c>
      <c r="G398">
        <f>IF(HeartData[[#This Row],[chol]]&gt;$P$3, 1, 0)</f>
        <v>1</v>
      </c>
      <c r="H398">
        <f>IF(HeartData[[#This Row],[trestbps]]&gt;$P$4, 1, 0)</f>
        <v>1</v>
      </c>
      <c r="I398">
        <f>IF(HeartData[[#This Row],[oldpeak]]&gt;$P$5,1,0)</f>
        <v>0</v>
      </c>
      <c r="J398">
        <f>IF(HeartData[[#This Row],[exang]]="TRUE",1,0)</f>
        <v>0</v>
      </c>
      <c r="K398">
        <f>IF(HeartData[[#This Row],[fbs]]="TRUE",1,0)</f>
        <v>0</v>
      </c>
      <c r="L398">
        <f>IF(HeartData[[#This Row],[ca]]&gt;0,1,0)</f>
        <v>0</v>
      </c>
      <c r="M398">
        <f t="shared" si="19"/>
        <v>2</v>
      </c>
      <c r="N398">
        <f t="shared" si="20"/>
        <v>0</v>
      </c>
    </row>
    <row r="399" spans="1:14" x14ac:dyDescent="0.3">
      <c r="A399">
        <f>HeartData[[#This Row],[id]]</f>
        <v>398</v>
      </c>
      <c r="B399" s="4">
        <f>HeartData[[#This Row],[age]]</f>
        <v>48</v>
      </c>
      <c r="C399" t="str">
        <f>HeartData[[#This Row],[sex]]</f>
        <v>Female</v>
      </c>
      <c r="D399" t="str">
        <f t="shared" si="18"/>
        <v>45-54</v>
      </c>
      <c r="E399" t="str">
        <f>HeartData[[#This Row],[cp]]</f>
        <v>asymptomatic</v>
      </c>
      <c r="F399" t="str">
        <f>IF(HeartData[[#This Row],[num]]&gt;0, "Diseased", "Healthy")</f>
        <v>Healthy</v>
      </c>
      <c r="G399">
        <f>IF(HeartData[[#This Row],[chol]]&gt;$P$3, 1, 0)</f>
        <v>1</v>
      </c>
      <c r="H399">
        <f>IF(HeartData[[#This Row],[trestbps]]&gt;$P$4, 1, 0)</f>
        <v>1</v>
      </c>
      <c r="I399">
        <f>IF(HeartData[[#This Row],[oldpeak]]&gt;$P$5,1,0)</f>
        <v>1</v>
      </c>
      <c r="J399">
        <f>IF(HeartData[[#This Row],[exang]]="TRUE",1,0)</f>
        <v>0</v>
      </c>
      <c r="K399">
        <f>IF(HeartData[[#This Row],[fbs]]="TRUE",1,0)</f>
        <v>0</v>
      </c>
      <c r="L399">
        <f>IF(HeartData[[#This Row],[ca]]&gt;0,1,0)</f>
        <v>0</v>
      </c>
      <c r="M399">
        <f t="shared" si="19"/>
        <v>3</v>
      </c>
      <c r="N399">
        <f t="shared" si="20"/>
        <v>0</v>
      </c>
    </row>
    <row r="400" spans="1:14" x14ac:dyDescent="0.3">
      <c r="A400">
        <f>HeartData[[#This Row],[id]]</f>
        <v>399</v>
      </c>
      <c r="B400" s="4">
        <f>HeartData[[#This Row],[age]]</f>
        <v>48</v>
      </c>
      <c r="C400" t="str">
        <f>HeartData[[#This Row],[sex]]</f>
        <v>Female</v>
      </c>
      <c r="D400" t="str">
        <f t="shared" si="18"/>
        <v>45-54</v>
      </c>
      <c r="E400" t="str">
        <f>HeartData[[#This Row],[cp]]</f>
        <v>asymptomatic</v>
      </c>
      <c r="F400" t="str">
        <f>IF(HeartData[[#This Row],[num]]&gt;0, "Diseased", "Healthy")</f>
        <v>Healthy</v>
      </c>
      <c r="G400">
        <f>IF(HeartData[[#This Row],[chol]]&gt;$P$3, 1, 0)</f>
        <v>1</v>
      </c>
      <c r="H400">
        <f>IF(HeartData[[#This Row],[trestbps]]&gt;$P$4, 1, 0)</f>
        <v>1</v>
      </c>
      <c r="I400">
        <f>IF(HeartData[[#This Row],[oldpeak]]&gt;$P$5,1,0)</f>
        <v>0</v>
      </c>
      <c r="J400">
        <f>IF(HeartData[[#This Row],[exang]]="TRUE",1,0)</f>
        <v>0</v>
      </c>
      <c r="K400">
        <f>IF(HeartData[[#This Row],[fbs]]="TRUE",1,0)</f>
        <v>0</v>
      </c>
      <c r="L400">
        <f>IF(HeartData[[#This Row],[ca]]&gt;0,1,0)</f>
        <v>0</v>
      </c>
      <c r="M400">
        <f t="shared" si="19"/>
        <v>2</v>
      </c>
      <c r="N400">
        <f t="shared" si="20"/>
        <v>0</v>
      </c>
    </row>
    <row r="401" spans="1:14" x14ac:dyDescent="0.3">
      <c r="A401">
        <f>HeartData[[#This Row],[id]]</f>
        <v>400</v>
      </c>
      <c r="B401" s="4">
        <f>HeartData[[#This Row],[age]]</f>
        <v>48</v>
      </c>
      <c r="C401" t="str">
        <f>HeartData[[#This Row],[sex]]</f>
        <v>Female</v>
      </c>
      <c r="D401" t="str">
        <f t="shared" si="18"/>
        <v>45-54</v>
      </c>
      <c r="E401" t="str">
        <f>HeartData[[#This Row],[cp]]</f>
        <v>asymptomatic</v>
      </c>
      <c r="F401" t="str">
        <f>IF(HeartData[[#This Row],[num]]&gt;0, "Diseased", "Healthy")</f>
        <v>Healthy</v>
      </c>
      <c r="G401">
        <f>IF(HeartData[[#This Row],[chol]]&gt;$P$3, 1, 0)</f>
        <v>1</v>
      </c>
      <c r="H401">
        <f>IF(HeartData[[#This Row],[trestbps]]&gt;$P$4, 1, 0)</f>
        <v>1</v>
      </c>
      <c r="I401">
        <f>IF(HeartData[[#This Row],[oldpeak]]&gt;$P$5,1,0)</f>
        <v>1</v>
      </c>
      <c r="J401">
        <f>IF(HeartData[[#This Row],[exang]]="TRUE",1,0)</f>
        <v>1</v>
      </c>
      <c r="K401">
        <f>IF(HeartData[[#This Row],[fbs]]="TRUE",1,0)</f>
        <v>0</v>
      </c>
      <c r="L401">
        <f>IF(HeartData[[#This Row],[ca]]&gt;0,1,0)</f>
        <v>0</v>
      </c>
      <c r="M401">
        <f t="shared" si="19"/>
        <v>4</v>
      </c>
      <c r="N401">
        <f t="shared" si="20"/>
        <v>0</v>
      </c>
    </row>
    <row r="402" spans="1:14" x14ac:dyDescent="0.3">
      <c r="A402">
        <f>HeartData[[#This Row],[id]]</f>
        <v>401</v>
      </c>
      <c r="B402" s="4">
        <f>HeartData[[#This Row],[age]]</f>
        <v>48</v>
      </c>
      <c r="C402" t="str">
        <f>HeartData[[#This Row],[sex]]</f>
        <v>Male</v>
      </c>
      <c r="D402" t="str">
        <f t="shared" si="18"/>
        <v>45-54</v>
      </c>
      <c r="E402" t="str">
        <f>HeartData[[#This Row],[cp]]</f>
        <v>atypical angina</v>
      </c>
      <c r="F402" t="str">
        <f>IF(HeartData[[#This Row],[num]]&gt;0, "Diseased", "Healthy")</f>
        <v>Healthy</v>
      </c>
      <c r="G402">
        <f>IF(HeartData[[#This Row],[chol]]&gt;$P$3, 1, 0)</f>
        <v>0</v>
      </c>
      <c r="H402">
        <f>IF(HeartData[[#This Row],[trestbps]]&gt;$P$4, 1, 0)</f>
        <v>1</v>
      </c>
      <c r="I402">
        <f>IF(HeartData[[#This Row],[oldpeak]]&gt;$P$5,1,0)</f>
        <v>0</v>
      </c>
      <c r="J402">
        <f>IF(HeartData[[#This Row],[exang]]="TRUE",1,0)</f>
        <v>0</v>
      </c>
      <c r="K402">
        <f>IF(HeartData[[#This Row],[fbs]]="TRUE",1,0)</f>
        <v>0</v>
      </c>
      <c r="L402">
        <f>IF(HeartData[[#This Row],[ca]]&gt;0,1,0)</f>
        <v>0</v>
      </c>
      <c r="M402">
        <f t="shared" si="19"/>
        <v>1</v>
      </c>
      <c r="N402">
        <f t="shared" si="20"/>
        <v>0</v>
      </c>
    </row>
    <row r="403" spans="1:14" x14ac:dyDescent="0.3">
      <c r="A403">
        <f>HeartData[[#This Row],[id]]</f>
        <v>402</v>
      </c>
      <c r="B403" s="4">
        <f>HeartData[[#This Row],[age]]</f>
        <v>48</v>
      </c>
      <c r="C403" t="str">
        <f>HeartData[[#This Row],[sex]]</f>
        <v>Male</v>
      </c>
      <c r="D403" t="str">
        <f t="shared" si="18"/>
        <v>45-54</v>
      </c>
      <c r="E403" t="str">
        <f>HeartData[[#This Row],[cp]]</f>
        <v>atypical angina</v>
      </c>
      <c r="F403" t="str">
        <f>IF(HeartData[[#This Row],[num]]&gt;0, "Diseased", "Healthy")</f>
        <v>Healthy</v>
      </c>
      <c r="G403">
        <f>IF(HeartData[[#This Row],[chol]]&gt;$P$3, 1, 0)</f>
        <v>1</v>
      </c>
      <c r="H403">
        <f>IF(HeartData[[#This Row],[trestbps]]&gt;$P$4, 1, 0)</f>
        <v>1</v>
      </c>
      <c r="I403">
        <f>IF(HeartData[[#This Row],[oldpeak]]&gt;$P$5,1,0)</f>
        <v>0</v>
      </c>
      <c r="J403">
        <f>IF(HeartData[[#This Row],[exang]]="TRUE",1,0)</f>
        <v>0</v>
      </c>
      <c r="K403">
        <f>IF(HeartData[[#This Row],[fbs]]="TRUE",1,0)</f>
        <v>0</v>
      </c>
      <c r="L403">
        <f>IF(HeartData[[#This Row],[ca]]&gt;0,1,0)</f>
        <v>0</v>
      </c>
      <c r="M403">
        <f t="shared" si="19"/>
        <v>2</v>
      </c>
      <c r="N403">
        <f t="shared" si="20"/>
        <v>0</v>
      </c>
    </row>
    <row r="404" spans="1:14" x14ac:dyDescent="0.3">
      <c r="A404">
        <f>HeartData[[#This Row],[id]]</f>
        <v>403</v>
      </c>
      <c r="B404" s="4">
        <f>HeartData[[#This Row],[age]]</f>
        <v>48</v>
      </c>
      <c r="C404" t="str">
        <f>HeartData[[#This Row],[sex]]</f>
        <v>Male</v>
      </c>
      <c r="D404" t="str">
        <f t="shared" si="18"/>
        <v>45-54</v>
      </c>
      <c r="E404" t="str">
        <f>HeartData[[#This Row],[cp]]</f>
        <v>atypical angina</v>
      </c>
      <c r="F404" t="str">
        <f>IF(HeartData[[#This Row],[num]]&gt;0, "Diseased", "Healthy")</f>
        <v>Healthy</v>
      </c>
      <c r="G404">
        <f>IF(HeartData[[#This Row],[chol]]&gt;$P$3, 1, 0)</f>
        <v>1</v>
      </c>
      <c r="H404">
        <f>IF(HeartData[[#This Row],[trestbps]]&gt;$P$4, 1, 0)</f>
        <v>1</v>
      </c>
      <c r="I404">
        <f>IF(HeartData[[#This Row],[oldpeak]]&gt;$P$5,1,0)</f>
        <v>0</v>
      </c>
      <c r="J404">
        <f>IF(HeartData[[#This Row],[exang]]="TRUE",1,0)</f>
        <v>0</v>
      </c>
      <c r="K404">
        <f>IF(HeartData[[#This Row],[fbs]]="TRUE",1,0)</f>
        <v>0</v>
      </c>
      <c r="L404">
        <f>IF(HeartData[[#This Row],[ca]]&gt;0,1,0)</f>
        <v>0</v>
      </c>
      <c r="M404">
        <f t="shared" si="19"/>
        <v>2</v>
      </c>
      <c r="N404">
        <f t="shared" si="20"/>
        <v>0</v>
      </c>
    </row>
    <row r="405" spans="1:14" x14ac:dyDescent="0.3">
      <c r="A405">
        <f>HeartData[[#This Row],[id]]</f>
        <v>404</v>
      </c>
      <c r="B405" s="4">
        <f>HeartData[[#This Row],[age]]</f>
        <v>48</v>
      </c>
      <c r="C405" t="str">
        <f>HeartData[[#This Row],[sex]]</f>
        <v>Male</v>
      </c>
      <c r="D405" t="str">
        <f t="shared" si="18"/>
        <v>45-54</v>
      </c>
      <c r="E405" t="str">
        <f>HeartData[[#This Row],[cp]]</f>
        <v>non-anginal</v>
      </c>
      <c r="F405" t="str">
        <f>IF(HeartData[[#This Row],[num]]&gt;0, "Diseased", "Healthy")</f>
        <v>Healthy</v>
      </c>
      <c r="G405">
        <f>IF(HeartData[[#This Row],[chol]]&gt;$P$3, 1, 0)</f>
        <v>1</v>
      </c>
      <c r="H405">
        <f>IF(HeartData[[#This Row],[trestbps]]&gt;$P$4, 1, 0)</f>
        <v>1</v>
      </c>
      <c r="I405">
        <f>IF(HeartData[[#This Row],[oldpeak]]&gt;$P$5,1,0)</f>
        <v>0</v>
      </c>
      <c r="J405">
        <f>IF(HeartData[[#This Row],[exang]]="TRUE",1,0)</f>
        <v>0</v>
      </c>
      <c r="K405">
        <f>IF(HeartData[[#This Row],[fbs]]="TRUE",1,0)</f>
        <v>0</v>
      </c>
      <c r="L405">
        <f>IF(HeartData[[#This Row],[ca]]&gt;0,1,0)</f>
        <v>0</v>
      </c>
      <c r="M405">
        <f t="shared" si="19"/>
        <v>2</v>
      </c>
      <c r="N405">
        <f t="shared" si="20"/>
        <v>0</v>
      </c>
    </row>
    <row r="406" spans="1:14" x14ac:dyDescent="0.3">
      <c r="A406">
        <f>HeartData[[#This Row],[id]]</f>
        <v>405</v>
      </c>
      <c r="B406" s="4">
        <f>HeartData[[#This Row],[age]]</f>
        <v>49</v>
      </c>
      <c r="C406" t="str">
        <f>HeartData[[#This Row],[sex]]</f>
        <v>Female</v>
      </c>
      <c r="D406" t="str">
        <f t="shared" si="18"/>
        <v>45-54</v>
      </c>
      <c r="E406" t="str">
        <f>HeartData[[#This Row],[cp]]</f>
        <v>atypical angina</v>
      </c>
      <c r="F406" t="str">
        <f>IF(HeartData[[#This Row],[num]]&gt;0, "Diseased", "Healthy")</f>
        <v>Healthy</v>
      </c>
      <c r="G406">
        <f>IF(HeartData[[#This Row],[chol]]&gt;$P$3, 1, 0)</f>
        <v>0</v>
      </c>
      <c r="H406">
        <f>IF(HeartData[[#This Row],[trestbps]]&gt;$P$4, 1, 0)</f>
        <v>1</v>
      </c>
      <c r="I406">
        <f>IF(HeartData[[#This Row],[oldpeak]]&gt;$P$5,1,0)</f>
        <v>0</v>
      </c>
      <c r="J406">
        <f>IF(HeartData[[#This Row],[exang]]="TRUE",1,0)</f>
        <v>0</v>
      </c>
      <c r="K406">
        <f>IF(HeartData[[#This Row],[fbs]]="TRUE",1,0)</f>
        <v>0</v>
      </c>
      <c r="L406">
        <f>IF(HeartData[[#This Row],[ca]]&gt;0,1,0)</f>
        <v>0</v>
      </c>
      <c r="M406">
        <f t="shared" si="19"/>
        <v>1</v>
      </c>
      <c r="N406">
        <f t="shared" si="20"/>
        <v>0</v>
      </c>
    </row>
    <row r="407" spans="1:14" x14ac:dyDescent="0.3">
      <c r="A407">
        <f>HeartData[[#This Row],[id]]</f>
        <v>406</v>
      </c>
      <c r="B407" s="4">
        <f>HeartData[[#This Row],[age]]</f>
        <v>49</v>
      </c>
      <c r="C407" t="str">
        <f>HeartData[[#This Row],[sex]]</f>
        <v>Female</v>
      </c>
      <c r="D407" t="str">
        <f t="shared" si="18"/>
        <v>45-54</v>
      </c>
      <c r="E407" t="str">
        <f>HeartData[[#This Row],[cp]]</f>
        <v>atypical angina</v>
      </c>
      <c r="F407" t="str">
        <f>IF(HeartData[[#This Row],[num]]&gt;0, "Diseased", "Healthy")</f>
        <v>Healthy</v>
      </c>
      <c r="G407">
        <f>IF(HeartData[[#This Row],[chol]]&gt;$P$3, 1, 0)</f>
        <v>0</v>
      </c>
      <c r="H407">
        <f>IF(HeartData[[#This Row],[trestbps]]&gt;$P$4, 1, 0)</f>
        <v>1</v>
      </c>
      <c r="I407">
        <f>IF(HeartData[[#This Row],[oldpeak]]&gt;$P$5,1,0)</f>
        <v>0</v>
      </c>
      <c r="J407">
        <f>IF(HeartData[[#This Row],[exang]]="TRUE",1,0)</f>
        <v>0</v>
      </c>
      <c r="K407">
        <f>IF(HeartData[[#This Row],[fbs]]="TRUE",1,0)</f>
        <v>0</v>
      </c>
      <c r="L407">
        <f>IF(HeartData[[#This Row],[ca]]&gt;0,1,0)</f>
        <v>0</v>
      </c>
      <c r="M407">
        <f t="shared" si="19"/>
        <v>1</v>
      </c>
      <c r="N407">
        <f t="shared" si="20"/>
        <v>0</v>
      </c>
    </row>
    <row r="408" spans="1:14" x14ac:dyDescent="0.3">
      <c r="A408">
        <f>HeartData[[#This Row],[id]]</f>
        <v>407</v>
      </c>
      <c r="B408" s="4">
        <f>HeartData[[#This Row],[age]]</f>
        <v>49</v>
      </c>
      <c r="C408" t="str">
        <f>HeartData[[#This Row],[sex]]</f>
        <v>Female</v>
      </c>
      <c r="D408" t="str">
        <f t="shared" si="18"/>
        <v>45-54</v>
      </c>
      <c r="E408" t="str">
        <f>HeartData[[#This Row],[cp]]</f>
        <v>atypical angina</v>
      </c>
      <c r="F408" t="str">
        <f>IF(HeartData[[#This Row],[num]]&gt;0, "Diseased", "Healthy")</f>
        <v>Healthy</v>
      </c>
      <c r="G408">
        <f>IF(HeartData[[#This Row],[chol]]&gt;$P$3, 1, 0)</f>
        <v>1</v>
      </c>
      <c r="H408">
        <f>IF(HeartData[[#This Row],[trestbps]]&gt;$P$4, 1, 0)</f>
        <v>1</v>
      </c>
      <c r="I408">
        <f>IF(HeartData[[#This Row],[oldpeak]]&gt;$P$5,1,0)</f>
        <v>0</v>
      </c>
      <c r="J408">
        <f>IF(HeartData[[#This Row],[exang]]="TRUE",1,0)</f>
        <v>0</v>
      </c>
      <c r="K408">
        <f>IF(HeartData[[#This Row],[fbs]]="TRUE",1,0)</f>
        <v>0</v>
      </c>
      <c r="L408">
        <f>IF(HeartData[[#This Row],[ca]]&gt;0,1,0)</f>
        <v>0</v>
      </c>
      <c r="M408">
        <f t="shared" si="19"/>
        <v>2</v>
      </c>
      <c r="N408">
        <f t="shared" si="20"/>
        <v>0</v>
      </c>
    </row>
    <row r="409" spans="1:14" x14ac:dyDescent="0.3">
      <c r="A409">
        <f>HeartData[[#This Row],[id]]</f>
        <v>408</v>
      </c>
      <c r="B409" s="4">
        <f>HeartData[[#This Row],[age]]</f>
        <v>49</v>
      </c>
      <c r="C409" t="str">
        <f>HeartData[[#This Row],[sex]]</f>
        <v>Female</v>
      </c>
      <c r="D409" t="str">
        <f t="shared" si="18"/>
        <v>45-54</v>
      </c>
      <c r="E409" t="str">
        <f>HeartData[[#This Row],[cp]]</f>
        <v>non-anginal</v>
      </c>
      <c r="F409" t="str">
        <f>IF(HeartData[[#This Row],[num]]&gt;0, "Diseased", "Healthy")</f>
        <v>Healthy</v>
      </c>
      <c r="G409">
        <f>IF(HeartData[[#This Row],[chol]]&gt;$P$3, 1, 0)</f>
        <v>1</v>
      </c>
      <c r="H409">
        <f>IF(HeartData[[#This Row],[trestbps]]&gt;$P$4, 1, 0)</f>
        <v>1</v>
      </c>
      <c r="I409">
        <f>IF(HeartData[[#This Row],[oldpeak]]&gt;$P$5,1,0)</f>
        <v>0</v>
      </c>
      <c r="J409">
        <f>IF(HeartData[[#This Row],[exang]]="TRUE",1,0)</f>
        <v>0</v>
      </c>
      <c r="K409">
        <f>IF(HeartData[[#This Row],[fbs]]="TRUE",1,0)</f>
        <v>0</v>
      </c>
      <c r="L409">
        <f>IF(HeartData[[#This Row],[ca]]&gt;0,1,0)</f>
        <v>0</v>
      </c>
      <c r="M409">
        <f t="shared" si="19"/>
        <v>2</v>
      </c>
      <c r="N409">
        <f t="shared" si="20"/>
        <v>0</v>
      </c>
    </row>
    <row r="410" spans="1:14" x14ac:dyDescent="0.3">
      <c r="A410">
        <f>HeartData[[#This Row],[id]]</f>
        <v>409</v>
      </c>
      <c r="B410" s="4">
        <f>HeartData[[#This Row],[age]]</f>
        <v>49</v>
      </c>
      <c r="C410" t="str">
        <f>HeartData[[#This Row],[sex]]</f>
        <v>Male</v>
      </c>
      <c r="D410" t="str">
        <f t="shared" si="18"/>
        <v>45-54</v>
      </c>
      <c r="E410" t="str">
        <f>HeartData[[#This Row],[cp]]</f>
        <v>atypical angina</v>
      </c>
      <c r="F410" t="str">
        <f>IF(HeartData[[#This Row],[num]]&gt;0, "Diseased", "Healthy")</f>
        <v>Healthy</v>
      </c>
      <c r="G410">
        <f>IF(HeartData[[#This Row],[chol]]&gt;$P$3, 1, 0)</f>
        <v>1</v>
      </c>
      <c r="H410">
        <f>IF(HeartData[[#This Row],[trestbps]]&gt;$P$4, 1, 0)</f>
        <v>1</v>
      </c>
      <c r="I410">
        <f>IF(HeartData[[#This Row],[oldpeak]]&gt;$P$5,1,0)</f>
        <v>0</v>
      </c>
      <c r="J410">
        <f>IF(HeartData[[#This Row],[exang]]="TRUE",1,0)</f>
        <v>0</v>
      </c>
      <c r="K410">
        <f>IF(HeartData[[#This Row],[fbs]]="TRUE",1,0)</f>
        <v>0</v>
      </c>
      <c r="L410">
        <f>IF(HeartData[[#This Row],[ca]]&gt;0,1,0)</f>
        <v>0</v>
      </c>
      <c r="M410">
        <f t="shared" si="19"/>
        <v>2</v>
      </c>
      <c r="N410">
        <f t="shared" si="20"/>
        <v>0</v>
      </c>
    </row>
    <row r="411" spans="1:14" x14ac:dyDescent="0.3">
      <c r="A411">
        <f>HeartData[[#This Row],[id]]</f>
        <v>410</v>
      </c>
      <c r="B411" s="4">
        <f>HeartData[[#This Row],[age]]</f>
        <v>49</v>
      </c>
      <c r="C411" t="str">
        <f>HeartData[[#This Row],[sex]]</f>
        <v>Male</v>
      </c>
      <c r="D411" t="str">
        <f t="shared" si="18"/>
        <v>45-54</v>
      </c>
      <c r="E411" t="str">
        <f>HeartData[[#This Row],[cp]]</f>
        <v>non-anginal</v>
      </c>
      <c r="F411" t="str">
        <f>IF(HeartData[[#This Row],[num]]&gt;0, "Diseased", "Healthy")</f>
        <v>Healthy</v>
      </c>
      <c r="G411">
        <f>IF(HeartData[[#This Row],[chol]]&gt;$P$3, 1, 0)</f>
        <v>1</v>
      </c>
      <c r="H411">
        <f>IF(HeartData[[#This Row],[trestbps]]&gt;$P$4, 1, 0)</f>
        <v>1</v>
      </c>
      <c r="I411">
        <f>IF(HeartData[[#This Row],[oldpeak]]&gt;$P$5,1,0)</f>
        <v>0</v>
      </c>
      <c r="J411">
        <f>IF(HeartData[[#This Row],[exang]]="TRUE",1,0)</f>
        <v>0</v>
      </c>
      <c r="K411">
        <f>IF(HeartData[[#This Row],[fbs]]="TRUE",1,0)</f>
        <v>0</v>
      </c>
      <c r="L411">
        <f>IF(HeartData[[#This Row],[ca]]&gt;0,1,0)</f>
        <v>0</v>
      </c>
      <c r="M411">
        <f t="shared" si="19"/>
        <v>2</v>
      </c>
      <c r="N411">
        <f t="shared" si="20"/>
        <v>0</v>
      </c>
    </row>
    <row r="412" spans="1:14" x14ac:dyDescent="0.3">
      <c r="A412">
        <f>HeartData[[#This Row],[id]]</f>
        <v>411</v>
      </c>
      <c r="B412" s="4">
        <f>HeartData[[#This Row],[age]]</f>
        <v>49</v>
      </c>
      <c r="C412" t="str">
        <f>HeartData[[#This Row],[sex]]</f>
        <v>Male</v>
      </c>
      <c r="D412" t="str">
        <f t="shared" si="18"/>
        <v>45-54</v>
      </c>
      <c r="E412" t="str">
        <f>HeartData[[#This Row],[cp]]</f>
        <v>asymptomatic</v>
      </c>
      <c r="F412" t="str">
        <f>IF(HeartData[[#This Row],[num]]&gt;0, "Diseased", "Healthy")</f>
        <v>Healthy</v>
      </c>
      <c r="G412">
        <f>IF(HeartData[[#This Row],[chol]]&gt;$P$3, 1, 0)</f>
        <v>1</v>
      </c>
      <c r="H412">
        <f>IF(HeartData[[#This Row],[trestbps]]&gt;$P$4, 1, 0)</f>
        <v>1</v>
      </c>
      <c r="I412">
        <f>IF(HeartData[[#This Row],[oldpeak]]&gt;$P$5,1,0)</f>
        <v>1</v>
      </c>
      <c r="J412">
        <f>IF(HeartData[[#This Row],[exang]]="TRUE",1,0)</f>
        <v>0</v>
      </c>
      <c r="K412">
        <f>IF(HeartData[[#This Row],[fbs]]="TRUE",1,0)</f>
        <v>0</v>
      </c>
      <c r="L412">
        <f>IF(HeartData[[#This Row],[ca]]&gt;0,1,0)</f>
        <v>0</v>
      </c>
      <c r="M412">
        <f t="shared" si="19"/>
        <v>3</v>
      </c>
      <c r="N412">
        <f t="shared" si="20"/>
        <v>0</v>
      </c>
    </row>
    <row r="413" spans="1:14" x14ac:dyDescent="0.3">
      <c r="A413">
        <f>HeartData[[#This Row],[id]]</f>
        <v>412</v>
      </c>
      <c r="B413" s="4">
        <f>HeartData[[#This Row],[age]]</f>
        <v>49</v>
      </c>
      <c r="C413" t="str">
        <f>HeartData[[#This Row],[sex]]</f>
        <v>Male</v>
      </c>
      <c r="D413" t="str">
        <f t="shared" si="18"/>
        <v>45-54</v>
      </c>
      <c r="E413" t="str">
        <f>HeartData[[#This Row],[cp]]</f>
        <v>asymptomatic</v>
      </c>
      <c r="F413" t="str">
        <f>IF(HeartData[[#This Row],[num]]&gt;0, "Diseased", "Healthy")</f>
        <v>Healthy</v>
      </c>
      <c r="G413">
        <f>IF(HeartData[[#This Row],[chol]]&gt;$P$3, 1, 0)</f>
        <v>0</v>
      </c>
      <c r="H413">
        <f>IF(HeartData[[#This Row],[trestbps]]&gt;$P$4, 1, 0)</f>
        <v>1</v>
      </c>
      <c r="I413">
        <f>IF(HeartData[[#This Row],[oldpeak]]&gt;$P$5,1,0)</f>
        <v>0</v>
      </c>
      <c r="J413">
        <f>IF(HeartData[[#This Row],[exang]]="TRUE",1,0)</f>
        <v>0</v>
      </c>
      <c r="K413">
        <f>IF(HeartData[[#This Row],[fbs]]="TRUE",1,0)</f>
        <v>0</v>
      </c>
      <c r="L413">
        <f>IF(HeartData[[#This Row],[ca]]&gt;0,1,0)</f>
        <v>0</v>
      </c>
      <c r="M413">
        <f t="shared" si="19"/>
        <v>1</v>
      </c>
      <c r="N413">
        <f t="shared" si="20"/>
        <v>0</v>
      </c>
    </row>
    <row r="414" spans="1:14" x14ac:dyDescent="0.3">
      <c r="A414">
        <f>HeartData[[#This Row],[id]]</f>
        <v>413</v>
      </c>
      <c r="B414" s="4">
        <f>HeartData[[#This Row],[age]]</f>
        <v>50</v>
      </c>
      <c r="C414" t="str">
        <f>HeartData[[#This Row],[sex]]</f>
        <v>Female</v>
      </c>
      <c r="D414" t="str">
        <f t="shared" si="18"/>
        <v>45-54</v>
      </c>
      <c r="E414" t="str">
        <f>HeartData[[#This Row],[cp]]</f>
        <v>atypical angina</v>
      </c>
      <c r="F414" t="str">
        <f>IF(HeartData[[#This Row],[num]]&gt;0, "Diseased", "Healthy")</f>
        <v>Healthy</v>
      </c>
      <c r="G414">
        <f>IF(HeartData[[#This Row],[chol]]&gt;$P$3, 1, 0)</f>
        <v>1</v>
      </c>
      <c r="H414">
        <f>IF(HeartData[[#This Row],[trestbps]]&gt;$P$4, 1, 0)</f>
        <v>1</v>
      </c>
      <c r="I414">
        <f>IF(HeartData[[#This Row],[oldpeak]]&gt;$P$5,1,0)</f>
        <v>0</v>
      </c>
      <c r="J414">
        <f>IF(HeartData[[#This Row],[exang]]="TRUE",1,0)</f>
        <v>0</v>
      </c>
      <c r="K414">
        <f>IF(HeartData[[#This Row],[fbs]]="TRUE",1,0)</f>
        <v>0</v>
      </c>
      <c r="L414">
        <f>IF(HeartData[[#This Row],[ca]]&gt;0,1,0)</f>
        <v>0</v>
      </c>
      <c r="M414">
        <f t="shared" si="19"/>
        <v>2</v>
      </c>
      <c r="N414">
        <f t="shared" si="20"/>
        <v>0</v>
      </c>
    </row>
    <row r="415" spans="1:14" x14ac:dyDescent="0.3">
      <c r="A415">
        <f>HeartData[[#This Row],[id]]</f>
        <v>414</v>
      </c>
      <c r="B415" s="4">
        <f>HeartData[[#This Row],[age]]</f>
        <v>50</v>
      </c>
      <c r="C415" t="str">
        <f>HeartData[[#This Row],[sex]]</f>
        <v>Female</v>
      </c>
      <c r="D415" t="str">
        <f t="shared" si="18"/>
        <v>45-54</v>
      </c>
      <c r="E415" t="str">
        <f>HeartData[[#This Row],[cp]]</f>
        <v>asymptomatic</v>
      </c>
      <c r="F415" t="str">
        <f>IF(HeartData[[#This Row],[num]]&gt;0, "Diseased", "Healthy")</f>
        <v>Healthy</v>
      </c>
      <c r="G415">
        <f>IF(HeartData[[#This Row],[chol]]&gt;$P$3, 1, 0)</f>
        <v>1</v>
      </c>
      <c r="H415">
        <f>IF(HeartData[[#This Row],[trestbps]]&gt;$P$4, 1, 0)</f>
        <v>1</v>
      </c>
      <c r="I415">
        <f>IF(HeartData[[#This Row],[oldpeak]]&gt;$P$5,1,0)</f>
        <v>1</v>
      </c>
      <c r="J415">
        <f>IF(HeartData[[#This Row],[exang]]="TRUE",1,0)</f>
        <v>1</v>
      </c>
      <c r="K415">
        <f>IF(HeartData[[#This Row],[fbs]]="TRUE",1,0)</f>
        <v>0</v>
      </c>
      <c r="L415">
        <f>IF(HeartData[[#This Row],[ca]]&gt;0,1,0)</f>
        <v>0</v>
      </c>
      <c r="M415">
        <f t="shared" si="19"/>
        <v>4</v>
      </c>
      <c r="N415">
        <f t="shared" si="20"/>
        <v>0</v>
      </c>
    </row>
    <row r="416" spans="1:14" x14ac:dyDescent="0.3">
      <c r="A416">
        <f>HeartData[[#This Row],[id]]</f>
        <v>415</v>
      </c>
      <c r="B416" s="4">
        <f>HeartData[[#This Row],[age]]</f>
        <v>50</v>
      </c>
      <c r="C416" t="str">
        <f>HeartData[[#This Row],[sex]]</f>
        <v>Male</v>
      </c>
      <c r="D416" t="str">
        <f t="shared" si="18"/>
        <v>45-54</v>
      </c>
      <c r="E416" t="str">
        <f>HeartData[[#This Row],[cp]]</f>
        <v>atypical angina</v>
      </c>
      <c r="F416" t="str">
        <f>IF(HeartData[[#This Row],[num]]&gt;0, "Diseased", "Healthy")</f>
        <v>Healthy</v>
      </c>
      <c r="G416">
        <f>IF(HeartData[[#This Row],[chol]]&gt;$P$3, 1, 0)</f>
        <v>1</v>
      </c>
      <c r="H416">
        <f>IF(HeartData[[#This Row],[trestbps]]&gt;$P$4, 1, 0)</f>
        <v>1</v>
      </c>
      <c r="I416">
        <f>IF(HeartData[[#This Row],[oldpeak]]&gt;$P$5,1,0)</f>
        <v>0</v>
      </c>
      <c r="J416">
        <f>IF(HeartData[[#This Row],[exang]]="TRUE",1,0)</f>
        <v>0</v>
      </c>
      <c r="K416">
        <f>IF(HeartData[[#This Row],[fbs]]="TRUE",1,0)</f>
        <v>0</v>
      </c>
      <c r="L416">
        <f>IF(HeartData[[#This Row],[ca]]&gt;0,1,0)</f>
        <v>0</v>
      </c>
      <c r="M416">
        <f t="shared" si="19"/>
        <v>2</v>
      </c>
      <c r="N416">
        <f t="shared" si="20"/>
        <v>0</v>
      </c>
    </row>
    <row r="417" spans="1:14" x14ac:dyDescent="0.3">
      <c r="A417">
        <f>HeartData[[#This Row],[id]]</f>
        <v>416</v>
      </c>
      <c r="B417" s="4">
        <f>HeartData[[#This Row],[age]]</f>
        <v>50</v>
      </c>
      <c r="C417" t="str">
        <f>HeartData[[#This Row],[sex]]</f>
        <v>Male</v>
      </c>
      <c r="D417" t="str">
        <f t="shared" si="18"/>
        <v>45-54</v>
      </c>
      <c r="E417" t="str">
        <f>HeartData[[#This Row],[cp]]</f>
        <v>atypical angina</v>
      </c>
      <c r="F417" t="str">
        <f>IF(HeartData[[#This Row],[num]]&gt;0, "Diseased", "Healthy")</f>
        <v>Healthy</v>
      </c>
      <c r="G417">
        <f>IF(HeartData[[#This Row],[chol]]&gt;$P$3, 1, 0)</f>
        <v>1</v>
      </c>
      <c r="H417">
        <f>IF(HeartData[[#This Row],[trestbps]]&gt;$P$4, 1, 0)</f>
        <v>1</v>
      </c>
      <c r="I417">
        <f>IF(HeartData[[#This Row],[oldpeak]]&gt;$P$5,1,0)</f>
        <v>0</v>
      </c>
      <c r="J417">
        <f>IF(HeartData[[#This Row],[exang]]="TRUE",1,0)</f>
        <v>0</v>
      </c>
      <c r="K417">
        <f>IF(HeartData[[#This Row],[fbs]]="TRUE",1,0)</f>
        <v>0</v>
      </c>
      <c r="L417">
        <f>IF(HeartData[[#This Row],[ca]]&gt;0,1,0)</f>
        <v>0</v>
      </c>
      <c r="M417">
        <f t="shared" si="19"/>
        <v>2</v>
      </c>
      <c r="N417">
        <f t="shared" si="20"/>
        <v>0</v>
      </c>
    </row>
    <row r="418" spans="1:14" x14ac:dyDescent="0.3">
      <c r="A418">
        <f>HeartData[[#This Row],[id]]</f>
        <v>417</v>
      </c>
      <c r="B418" s="4">
        <f>HeartData[[#This Row],[age]]</f>
        <v>50</v>
      </c>
      <c r="C418" t="str">
        <f>HeartData[[#This Row],[sex]]</f>
        <v>Male</v>
      </c>
      <c r="D418" t="str">
        <f t="shared" si="18"/>
        <v>45-54</v>
      </c>
      <c r="E418" t="str">
        <f>HeartData[[#This Row],[cp]]</f>
        <v>atypical angina</v>
      </c>
      <c r="F418" t="str">
        <f>IF(HeartData[[#This Row],[num]]&gt;0, "Diseased", "Healthy")</f>
        <v>Healthy</v>
      </c>
      <c r="G418">
        <f>IF(HeartData[[#This Row],[chol]]&gt;$P$3, 1, 0)</f>
        <v>1</v>
      </c>
      <c r="H418">
        <f>IF(HeartData[[#This Row],[trestbps]]&gt;$P$4, 1, 0)</f>
        <v>1</v>
      </c>
      <c r="I418">
        <f>IF(HeartData[[#This Row],[oldpeak]]&gt;$P$5,1,0)</f>
        <v>0</v>
      </c>
      <c r="J418">
        <f>IF(HeartData[[#This Row],[exang]]="TRUE",1,0)</f>
        <v>0</v>
      </c>
      <c r="K418">
        <f>IF(HeartData[[#This Row],[fbs]]="TRUE",1,0)</f>
        <v>0</v>
      </c>
      <c r="L418">
        <f>IF(HeartData[[#This Row],[ca]]&gt;0,1,0)</f>
        <v>0</v>
      </c>
      <c r="M418">
        <f t="shared" si="19"/>
        <v>2</v>
      </c>
      <c r="N418">
        <f t="shared" si="20"/>
        <v>0</v>
      </c>
    </row>
    <row r="419" spans="1:14" x14ac:dyDescent="0.3">
      <c r="A419">
        <f>HeartData[[#This Row],[id]]</f>
        <v>418</v>
      </c>
      <c r="B419" s="4">
        <f>HeartData[[#This Row],[age]]</f>
        <v>50</v>
      </c>
      <c r="C419" t="str">
        <f>HeartData[[#This Row],[sex]]</f>
        <v>Male</v>
      </c>
      <c r="D419" t="str">
        <f t="shared" si="18"/>
        <v>45-54</v>
      </c>
      <c r="E419" t="str">
        <f>HeartData[[#This Row],[cp]]</f>
        <v>asymptomatic</v>
      </c>
      <c r="F419" t="str">
        <f>IF(HeartData[[#This Row],[num]]&gt;0, "Diseased", "Healthy")</f>
        <v>Healthy</v>
      </c>
      <c r="G419">
        <f>IF(HeartData[[#This Row],[chol]]&gt;$P$3, 1, 0)</f>
        <v>1</v>
      </c>
      <c r="H419">
        <f>IF(HeartData[[#This Row],[trestbps]]&gt;$P$4, 1, 0)</f>
        <v>1</v>
      </c>
      <c r="I419">
        <f>IF(HeartData[[#This Row],[oldpeak]]&gt;$P$5,1,0)</f>
        <v>0</v>
      </c>
      <c r="J419">
        <f>IF(HeartData[[#This Row],[exang]]="TRUE",1,0)</f>
        <v>0</v>
      </c>
      <c r="K419">
        <f>IF(HeartData[[#This Row],[fbs]]="TRUE",1,0)</f>
        <v>0</v>
      </c>
      <c r="L419">
        <f>IF(HeartData[[#This Row],[ca]]&gt;0,1,0)</f>
        <v>0</v>
      </c>
      <c r="M419">
        <f t="shared" si="19"/>
        <v>2</v>
      </c>
      <c r="N419">
        <f t="shared" si="20"/>
        <v>0</v>
      </c>
    </row>
    <row r="420" spans="1:14" x14ac:dyDescent="0.3">
      <c r="A420">
        <f>HeartData[[#This Row],[id]]</f>
        <v>419</v>
      </c>
      <c r="B420" s="4">
        <f>HeartData[[#This Row],[age]]</f>
        <v>50</v>
      </c>
      <c r="C420" t="str">
        <f>HeartData[[#This Row],[sex]]</f>
        <v>Male</v>
      </c>
      <c r="D420" t="str">
        <f t="shared" si="18"/>
        <v>45-54</v>
      </c>
      <c r="E420" t="str">
        <f>HeartData[[#This Row],[cp]]</f>
        <v>asymptomatic</v>
      </c>
      <c r="F420" t="str">
        <f>IF(HeartData[[#This Row],[num]]&gt;0, "Diseased", "Healthy")</f>
        <v>Healthy</v>
      </c>
      <c r="G420">
        <f>IF(HeartData[[#This Row],[chol]]&gt;$P$3, 1, 0)</f>
        <v>1</v>
      </c>
      <c r="H420">
        <f>IF(HeartData[[#This Row],[trestbps]]&gt;$P$4, 1, 0)</f>
        <v>1</v>
      </c>
      <c r="I420">
        <f>IF(HeartData[[#This Row],[oldpeak]]&gt;$P$5,1,0)</f>
        <v>0</v>
      </c>
      <c r="J420">
        <f>IF(HeartData[[#This Row],[exang]]="TRUE",1,0)</f>
        <v>1</v>
      </c>
      <c r="K420">
        <f>IF(HeartData[[#This Row],[fbs]]="TRUE",1,0)</f>
        <v>0</v>
      </c>
      <c r="L420">
        <f>IF(HeartData[[#This Row],[ca]]&gt;0,1,0)</f>
        <v>0</v>
      </c>
      <c r="M420">
        <f t="shared" si="19"/>
        <v>3</v>
      </c>
      <c r="N420">
        <f t="shared" si="20"/>
        <v>0</v>
      </c>
    </row>
    <row r="421" spans="1:14" x14ac:dyDescent="0.3">
      <c r="A421">
        <f>HeartData[[#This Row],[id]]</f>
        <v>420</v>
      </c>
      <c r="B421" s="4">
        <f>HeartData[[#This Row],[age]]</f>
        <v>51</v>
      </c>
      <c r="C421" t="str">
        <f>HeartData[[#This Row],[sex]]</f>
        <v>Female</v>
      </c>
      <c r="D421" t="str">
        <f t="shared" si="18"/>
        <v>45-54</v>
      </c>
      <c r="E421" t="str">
        <f>HeartData[[#This Row],[cp]]</f>
        <v>atypical angina</v>
      </c>
      <c r="F421" t="str">
        <f>IF(HeartData[[#This Row],[num]]&gt;0, "Diseased", "Healthy")</f>
        <v>Healthy</v>
      </c>
      <c r="G421">
        <f>IF(HeartData[[#This Row],[chol]]&gt;$P$3, 1, 0)</f>
        <v>1</v>
      </c>
      <c r="H421">
        <f>IF(HeartData[[#This Row],[trestbps]]&gt;$P$4, 1, 0)</f>
        <v>1</v>
      </c>
      <c r="I421">
        <f>IF(HeartData[[#This Row],[oldpeak]]&gt;$P$5,1,0)</f>
        <v>0</v>
      </c>
      <c r="J421">
        <f>IF(HeartData[[#This Row],[exang]]="TRUE",1,0)</f>
        <v>0</v>
      </c>
      <c r="K421">
        <f>IF(HeartData[[#This Row],[fbs]]="TRUE",1,0)</f>
        <v>0</v>
      </c>
      <c r="L421">
        <f>IF(HeartData[[#This Row],[ca]]&gt;0,1,0)</f>
        <v>0</v>
      </c>
      <c r="M421">
        <f t="shared" si="19"/>
        <v>2</v>
      </c>
      <c r="N421">
        <f t="shared" si="20"/>
        <v>0</v>
      </c>
    </row>
    <row r="422" spans="1:14" x14ac:dyDescent="0.3">
      <c r="A422">
        <f>HeartData[[#This Row],[id]]</f>
        <v>421</v>
      </c>
      <c r="B422" s="4">
        <f>HeartData[[#This Row],[age]]</f>
        <v>51</v>
      </c>
      <c r="C422" t="str">
        <f>HeartData[[#This Row],[sex]]</f>
        <v>Female</v>
      </c>
      <c r="D422" t="str">
        <f t="shared" si="18"/>
        <v>45-54</v>
      </c>
      <c r="E422" t="str">
        <f>HeartData[[#This Row],[cp]]</f>
        <v>non-anginal</v>
      </c>
      <c r="F422" t="str">
        <f>IF(HeartData[[#This Row],[num]]&gt;0, "Diseased", "Healthy")</f>
        <v>Healthy</v>
      </c>
      <c r="G422">
        <f>IF(HeartData[[#This Row],[chol]]&gt;$P$3, 1, 0)</f>
        <v>1</v>
      </c>
      <c r="H422">
        <f>IF(HeartData[[#This Row],[trestbps]]&gt;$P$4, 1, 0)</f>
        <v>1</v>
      </c>
      <c r="I422">
        <f>IF(HeartData[[#This Row],[oldpeak]]&gt;$P$5,1,0)</f>
        <v>0</v>
      </c>
      <c r="J422">
        <f>IF(HeartData[[#This Row],[exang]]="TRUE",1,0)</f>
        <v>0</v>
      </c>
      <c r="K422">
        <f>IF(HeartData[[#This Row],[fbs]]="TRUE",1,0)</f>
        <v>0</v>
      </c>
      <c r="L422">
        <f>IF(HeartData[[#This Row],[ca]]&gt;0,1,0)</f>
        <v>0</v>
      </c>
      <c r="M422">
        <f t="shared" si="19"/>
        <v>2</v>
      </c>
      <c r="N422">
        <f t="shared" si="20"/>
        <v>0</v>
      </c>
    </row>
    <row r="423" spans="1:14" x14ac:dyDescent="0.3">
      <c r="A423">
        <f>HeartData[[#This Row],[id]]</f>
        <v>422</v>
      </c>
      <c r="B423" s="4">
        <f>HeartData[[#This Row],[age]]</f>
        <v>51</v>
      </c>
      <c r="C423" t="str">
        <f>HeartData[[#This Row],[sex]]</f>
        <v>Female</v>
      </c>
      <c r="D423" t="str">
        <f t="shared" si="18"/>
        <v>45-54</v>
      </c>
      <c r="E423" t="str">
        <f>HeartData[[#This Row],[cp]]</f>
        <v>non-anginal</v>
      </c>
      <c r="F423" t="str">
        <f>IF(HeartData[[#This Row],[num]]&gt;0, "Diseased", "Healthy")</f>
        <v>Healthy</v>
      </c>
      <c r="G423">
        <f>IF(HeartData[[#This Row],[chol]]&gt;$P$3, 1, 0)</f>
        <v>1</v>
      </c>
      <c r="H423">
        <f>IF(HeartData[[#This Row],[trestbps]]&gt;$P$4, 1, 0)</f>
        <v>1</v>
      </c>
      <c r="I423">
        <f>IF(HeartData[[#This Row],[oldpeak]]&gt;$P$5,1,0)</f>
        <v>1</v>
      </c>
      <c r="J423">
        <f>IF(HeartData[[#This Row],[exang]]="TRUE",1,0)</f>
        <v>1</v>
      </c>
      <c r="K423">
        <f>IF(HeartData[[#This Row],[fbs]]="TRUE",1,0)</f>
        <v>0</v>
      </c>
      <c r="L423">
        <f>IF(HeartData[[#This Row],[ca]]&gt;0,1,0)</f>
        <v>0</v>
      </c>
      <c r="M423">
        <f t="shared" si="19"/>
        <v>4</v>
      </c>
      <c r="N423">
        <f t="shared" si="20"/>
        <v>0</v>
      </c>
    </row>
    <row r="424" spans="1:14" x14ac:dyDescent="0.3">
      <c r="A424">
        <f>HeartData[[#This Row],[id]]</f>
        <v>423</v>
      </c>
      <c r="B424" s="4">
        <f>HeartData[[#This Row],[age]]</f>
        <v>51</v>
      </c>
      <c r="C424" t="str">
        <f>HeartData[[#This Row],[sex]]</f>
        <v>Female</v>
      </c>
      <c r="D424" t="str">
        <f t="shared" si="18"/>
        <v>45-54</v>
      </c>
      <c r="E424" t="str">
        <f>HeartData[[#This Row],[cp]]</f>
        <v>non-anginal</v>
      </c>
      <c r="F424" t="str">
        <f>IF(HeartData[[#This Row],[num]]&gt;0, "Diseased", "Healthy")</f>
        <v>Healthy</v>
      </c>
      <c r="G424">
        <f>IF(HeartData[[#This Row],[chol]]&gt;$P$3, 1, 0)</f>
        <v>1</v>
      </c>
      <c r="H424">
        <f>IF(HeartData[[#This Row],[trestbps]]&gt;$P$4, 1, 0)</f>
        <v>1</v>
      </c>
      <c r="I424">
        <f>IF(HeartData[[#This Row],[oldpeak]]&gt;$P$5,1,0)</f>
        <v>1</v>
      </c>
      <c r="J424">
        <f>IF(HeartData[[#This Row],[exang]]="TRUE",1,0)</f>
        <v>0</v>
      </c>
      <c r="K424">
        <f>IF(HeartData[[#This Row],[fbs]]="TRUE",1,0)</f>
        <v>0</v>
      </c>
      <c r="L424">
        <f>IF(HeartData[[#This Row],[ca]]&gt;0,1,0)</f>
        <v>0</v>
      </c>
      <c r="M424">
        <f t="shared" si="19"/>
        <v>3</v>
      </c>
      <c r="N424">
        <f t="shared" si="20"/>
        <v>0</v>
      </c>
    </row>
    <row r="425" spans="1:14" x14ac:dyDescent="0.3">
      <c r="A425">
        <f>HeartData[[#This Row],[id]]</f>
        <v>424</v>
      </c>
      <c r="B425" s="4">
        <f>HeartData[[#This Row],[age]]</f>
        <v>51</v>
      </c>
      <c r="C425" t="str">
        <f>HeartData[[#This Row],[sex]]</f>
        <v>Male</v>
      </c>
      <c r="D425" t="str">
        <f t="shared" si="18"/>
        <v>45-54</v>
      </c>
      <c r="E425" t="str">
        <f>HeartData[[#This Row],[cp]]</f>
        <v>atypical angina</v>
      </c>
      <c r="F425" t="str">
        <f>IF(HeartData[[#This Row],[num]]&gt;0, "Diseased", "Healthy")</f>
        <v>Healthy</v>
      </c>
      <c r="G425">
        <f>IF(HeartData[[#This Row],[chol]]&gt;$P$3, 1, 0)</f>
        <v>1</v>
      </c>
      <c r="H425">
        <f>IF(HeartData[[#This Row],[trestbps]]&gt;$P$4, 1, 0)</f>
        <v>1</v>
      </c>
      <c r="I425">
        <f>IF(HeartData[[#This Row],[oldpeak]]&gt;$P$5,1,0)</f>
        <v>0</v>
      </c>
      <c r="J425">
        <f>IF(HeartData[[#This Row],[exang]]="TRUE",1,0)</f>
        <v>0</v>
      </c>
      <c r="K425">
        <f>IF(HeartData[[#This Row],[fbs]]="TRUE",1,0)</f>
        <v>0</v>
      </c>
      <c r="L425">
        <f>IF(HeartData[[#This Row],[ca]]&gt;0,1,0)</f>
        <v>0</v>
      </c>
      <c r="M425">
        <f t="shared" si="19"/>
        <v>2</v>
      </c>
      <c r="N425">
        <f t="shared" si="20"/>
        <v>0</v>
      </c>
    </row>
    <row r="426" spans="1:14" x14ac:dyDescent="0.3">
      <c r="A426">
        <f>HeartData[[#This Row],[id]]</f>
        <v>425</v>
      </c>
      <c r="B426" s="4">
        <f>HeartData[[#This Row],[age]]</f>
        <v>51</v>
      </c>
      <c r="C426" t="str">
        <f>HeartData[[#This Row],[sex]]</f>
        <v>Male</v>
      </c>
      <c r="D426" t="str">
        <f t="shared" si="18"/>
        <v>45-54</v>
      </c>
      <c r="E426" t="str">
        <f>HeartData[[#This Row],[cp]]</f>
        <v>atypical angina</v>
      </c>
      <c r="F426" t="str">
        <f>IF(HeartData[[#This Row],[num]]&gt;0, "Diseased", "Healthy")</f>
        <v>Healthy</v>
      </c>
      <c r="G426">
        <f>IF(HeartData[[#This Row],[chol]]&gt;$P$3, 1, 0)</f>
        <v>1</v>
      </c>
      <c r="H426">
        <f>IF(HeartData[[#This Row],[trestbps]]&gt;$P$4, 1, 0)</f>
        <v>1</v>
      </c>
      <c r="I426">
        <f>IF(HeartData[[#This Row],[oldpeak]]&gt;$P$5,1,0)</f>
        <v>0</v>
      </c>
      <c r="J426">
        <f>IF(HeartData[[#This Row],[exang]]="TRUE",1,0)</f>
        <v>0</v>
      </c>
      <c r="K426">
        <f>IF(HeartData[[#This Row],[fbs]]="TRUE",1,0)</f>
        <v>0</v>
      </c>
      <c r="L426">
        <f>IF(HeartData[[#This Row],[ca]]&gt;0,1,0)</f>
        <v>0</v>
      </c>
      <c r="M426">
        <f t="shared" si="19"/>
        <v>2</v>
      </c>
      <c r="N426">
        <f t="shared" si="20"/>
        <v>0</v>
      </c>
    </row>
    <row r="427" spans="1:14" x14ac:dyDescent="0.3">
      <c r="A427">
        <f>HeartData[[#This Row],[id]]</f>
        <v>426</v>
      </c>
      <c r="B427" s="4">
        <f>HeartData[[#This Row],[age]]</f>
        <v>51</v>
      </c>
      <c r="C427" t="str">
        <f>HeartData[[#This Row],[sex]]</f>
        <v>Male</v>
      </c>
      <c r="D427" t="str">
        <f t="shared" si="18"/>
        <v>45-54</v>
      </c>
      <c r="E427" t="str">
        <f>HeartData[[#This Row],[cp]]</f>
        <v>asymptomatic</v>
      </c>
      <c r="F427" t="str">
        <f>IF(HeartData[[#This Row],[num]]&gt;0, "Diseased", "Healthy")</f>
        <v>Healthy</v>
      </c>
      <c r="G427">
        <f>IF(HeartData[[#This Row],[chol]]&gt;$P$3, 1, 0)</f>
        <v>1</v>
      </c>
      <c r="H427">
        <f>IF(HeartData[[#This Row],[trestbps]]&gt;$P$4, 1, 0)</f>
        <v>1</v>
      </c>
      <c r="I427">
        <f>IF(HeartData[[#This Row],[oldpeak]]&gt;$P$5,1,0)</f>
        <v>0</v>
      </c>
      <c r="J427">
        <f>IF(HeartData[[#This Row],[exang]]="TRUE",1,0)</f>
        <v>0</v>
      </c>
      <c r="K427">
        <f>IF(HeartData[[#This Row],[fbs]]="TRUE",1,0)</f>
        <v>0</v>
      </c>
      <c r="L427">
        <f>IF(HeartData[[#This Row],[ca]]&gt;0,1,0)</f>
        <v>0</v>
      </c>
      <c r="M427">
        <f t="shared" si="19"/>
        <v>2</v>
      </c>
      <c r="N427">
        <f t="shared" si="20"/>
        <v>0</v>
      </c>
    </row>
    <row r="428" spans="1:14" x14ac:dyDescent="0.3">
      <c r="A428">
        <f>HeartData[[#This Row],[id]]</f>
        <v>427</v>
      </c>
      <c r="B428" s="4">
        <f>HeartData[[#This Row],[age]]</f>
        <v>52</v>
      </c>
      <c r="C428" t="str">
        <f>HeartData[[#This Row],[sex]]</f>
        <v>Female</v>
      </c>
      <c r="D428" t="str">
        <f t="shared" si="18"/>
        <v>45-54</v>
      </c>
      <c r="E428" t="str">
        <f>HeartData[[#This Row],[cp]]</f>
        <v>atypical angina</v>
      </c>
      <c r="F428" t="str">
        <f>IF(HeartData[[#This Row],[num]]&gt;0, "Diseased", "Healthy")</f>
        <v>Healthy</v>
      </c>
      <c r="G428">
        <f>IF(HeartData[[#This Row],[chol]]&gt;$P$3, 1, 0)</f>
        <v>1</v>
      </c>
      <c r="H428">
        <f>IF(HeartData[[#This Row],[trestbps]]&gt;$P$4, 1, 0)</f>
        <v>1</v>
      </c>
      <c r="I428">
        <f>IF(HeartData[[#This Row],[oldpeak]]&gt;$P$5,1,0)</f>
        <v>0</v>
      </c>
      <c r="J428">
        <f>IF(HeartData[[#This Row],[exang]]="TRUE",1,0)</f>
        <v>0</v>
      </c>
      <c r="K428">
        <f>IF(HeartData[[#This Row],[fbs]]="TRUE",1,0)</f>
        <v>0</v>
      </c>
      <c r="L428">
        <f>IF(HeartData[[#This Row],[ca]]&gt;0,1,0)</f>
        <v>0</v>
      </c>
      <c r="M428">
        <f t="shared" si="19"/>
        <v>2</v>
      </c>
      <c r="N428">
        <f t="shared" si="20"/>
        <v>0</v>
      </c>
    </row>
    <row r="429" spans="1:14" x14ac:dyDescent="0.3">
      <c r="A429">
        <f>HeartData[[#This Row],[id]]</f>
        <v>428</v>
      </c>
      <c r="B429" s="4">
        <f>HeartData[[#This Row],[age]]</f>
        <v>52</v>
      </c>
      <c r="C429" t="str">
        <f>HeartData[[#This Row],[sex]]</f>
        <v>Female</v>
      </c>
      <c r="D429" t="str">
        <f t="shared" si="18"/>
        <v>45-54</v>
      </c>
      <c r="E429" t="str">
        <f>HeartData[[#This Row],[cp]]</f>
        <v>atypical angina</v>
      </c>
      <c r="F429" t="str">
        <f>IF(HeartData[[#This Row],[num]]&gt;0, "Diseased", "Healthy")</f>
        <v>Healthy</v>
      </c>
      <c r="G429">
        <f>IF(HeartData[[#This Row],[chol]]&gt;$P$3, 1, 0)</f>
        <v>0</v>
      </c>
      <c r="H429">
        <f>IF(HeartData[[#This Row],[trestbps]]&gt;$P$4, 1, 0)</f>
        <v>1</v>
      </c>
      <c r="I429">
        <f>IF(HeartData[[#This Row],[oldpeak]]&gt;$P$5,1,0)</f>
        <v>0</v>
      </c>
      <c r="J429">
        <f>IF(HeartData[[#This Row],[exang]]="TRUE",1,0)</f>
        <v>0</v>
      </c>
      <c r="K429">
        <f>IF(HeartData[[#This Row],[fbs]]="TRUE",1,0)</f>
        <v>0</v>
      </c>
      <c r="L429">
        <f>IF(HeartData[[#This Row],[ca]]&gt;0,1,0)</f>
        <v>0</v>
      </c>
      <c r="M429">
        <f t="shared" si="19"/>
        <v>1</v>
      </c>
      <c r="N429">
        <f t="shared" si="20"/>
        <v>0</v>
      </c>
    </row>
    <row r="430" spans="1:14" x14ac:dyDescent="0.3">
      <c r="A430">
        <f>HeartData[[#This Row],[id]]</f>
        <v>429</v>
      </c>
      <c r="B430" s="4">
        <f>HeartData[[#This Row],[age]]</f>
        <v>52</v>
      </c>
      <c r="C430" t="str">
        <f>HeartData[[#This Row],[sex]]</f>
        <v>Female</v>
      </c>
      <c r="D430" t="str">
        <f t="shared" si="18"/>
        <v>45-54</v>
      </c>
      <c r="E430" t="str">
        <f>HeartData[[#This Row],[cp]]</f>
        <v>non-anginal</v>
      </c>
      <c r="F430" t="str">
        <f>IF(HeartData[[#This Row],[num]]&gt;0, "Diseased", "Healthy")</f>
        <v>Healthy</v>
      </c>
      <c r="G430">
        <f>IF(HeartData[[#This Row],[chol]]&gt;$P$3, 1, 0)</f>
        <v>1</v>
      </c>
      <c r="H430">
        <f>IF(HeartData[[#This Row],[trestbps]]&gt;$P$4, 1, 0)</f>
        <v>1</v>
      </c>
      <c r="I430">
        <f>IF(HeartData[[#This Row],[oldpeak]]&gt;$P$5,1,0)</f>
        <v>0</v>
      </c>
      <c r="J430">
        <f>IF(HeartData[[#This Row],[exang]]="TRUE",1,0)</f>
        <v>0</v>
      </c>
      <c r="K430">
        <f>IF(HeartData[[#This Row],[fbs]]="TRUE",1,0)</f>
        <v>0</v>
      </c>
      <c r="L430">
        <f>IF(HeartData[[#This Row],[ca]]&gt;0,1,0)</f>
        <v>0</v>
      </c>
      <c r="M430">
        <f t="shared" si="19"/>
        <v>2</v>
      </c>
      <c r="N430">
        <f t="shared" si="20"/>
        <v>0</v>
      </c>
    </row>
    <row r="431" spans="1:14" x14ac:dyDescent="0.3">
      <c r="A431">
        <f>HeartData[[#This Row],[id]]</f>
        <v>430</v>
      </c>
      <c r="B431" s="4">
        <f>HeartData[[#This Row],[age]]</f>
        <v>52</v>
      </c>
      <c r="C431" t="str">
        <f>HeartData[[#This Row],[sex]]</f>
        <v>Female</v>
      </c>
      <c r="D431" t="str">
        <f t="shared" si="18"/>
        <v>45-54</v>
      </c>
      <c r="E431" t="str">
        <f>HeartData[[#This Row],[cp]]</f>
        <v>asymptomatic</v>
      </c>
      <c r="F431" t="str">
        <f>IF(HeartData[[#This Row],[num]]&gt;0, "Diseased", "Healthy")</f>
        <v>Healthy</v>
      </c>
      <c r="G431">
        <f>IF(HeartData[[#This Row],[chol]]&gt;$P$3, 1, 0)</f>
        <v>1</v>
      </c>
      <c r="H431">
        <f>IF(HeartData[[#This Row],[trestbps]]&gt;$P$4, 1, 0)</f>
        <v>1</v>
      </c>
      <c r="I431">
        <f>IF(HeartData[[#This Row],[oldpeak]]&gt;$P$5,1,0)</f>
        <v>1</v>
      </c>
      <c r="J431">
        <f>IF(HeartData[[#This Row],[exang]]="TRUE",1,0)</f>
        <v>1</v>
      </c>
      <c r="K431">
        <f>IF(HeartData[[#This Row],[fbs]]="TRUE",1,0)</f>
        <v>0</v>
      </c>
      <c r="L431">
        <f>IF(HeartData[[#This Row],[ca]]&gt;0,1,0)</f>
        <v>0</v>
      </c>
      <c r="M431">
        <f t="shared" si="19"/>
        <v>4</v>
      </c>
      <c r="N431">
        <f t="shared" si="20"/>
        <v>0</v>
      </c>
    </row>
    <row r="432" spans="1:14" x14ac:dyDescent="0.3">
      <c r="A432">
        <f>HeartData[[#This Row],[id]]</f>
        <v>431</v>
      </c>
      <c r="B432" s="4">
        <f>HeartData[[#This Row],[age]]</f>
        <v>52</v>
      </c>
      <c r="C432" t="str">
        <f>HeartData[[#This Row],[sex]]</f>
        <v>Male</v>
      </c>
      <c r="D432" t="str">
        <f t="shared" si="18"/>
        <v>45-54</v>
      </c>
      <c r="E432" t="str">
        <f>HeartData[[#This Row],[cp]]</f>
        <v>atypical angina</v>
      </c>
      <c r="F432" t="str">
        <f>IF(HeartData[[#This Row],[num]]&gt;0, "Diseased", "Healthy")</f>
        <v>Healthy</v>
      </c>
      <c r="G432">
        <f>IF(HeartData[[#This Row],[chol]]&gt;$P$3, 1, 0)</f>
        <v>1</v>
      </c>
      <c r="H432">
        <f>IF(HeartData[[#This Row],[trestbps]]&gt;$P$4, 1, 0)</f>
        <v>1</v>
      </c>
      <c r="I432">
        <f>IF(HeartData[[#This Row],[oldpeak]]&gt;$P$5,1,0)</f>
        <v>0</v>
      </c>
      <c r="J432">
        <f>IF(HeartData[[#This Row],[exang]]="TRUE",1,0)</f>
        <v>0</v>
      </c>
      <c r="K432">
        <f>IF(HeartData[[#This Row],[fbs]]="TRUE",1,0)</f>
        <v>0</v>
      </c>
      <c r="L432">
        <f>IF(HeartData[[#This Row],[ca]]&gt;0,1,0)</f>
        <v>0</v>
      </c>
      <c r="M432">
        <f t="shared" si="19"/>
        <v>2</v>
      </c>
      <c r="N432">
        <f t="shared" si="20"/>
        <v>0</v>
      </c>
    </row>
    <row r="433" spans="1:14" x14ac:dyDescent="0.3">
      <c r="A433">
        <f>HeartData[[#This Row],[id]]</f>
        <v>432</v>
      </c>
      <c r="B433" s="4">
        <f>HeartData[[#This Row],[age]]</f>
        <v>52</v>
      </c>
      <c r="C433" t="str">
        <f>HeartData[[#This Row],[sex]]</f>
        <v>Male</v>
      </c>
      <c r="D433" t="str">
        <f t="shared" si="18"/>
        <v>45-54</v>
      </c>
      <c r="E433" t="str">
        <f>HeartData[[#This Row],[cp]]</f>
        <v>atypical angina</v>
      </c>
      <c r="F433" t="str">
        <f>IF(HeartData[[#This Row],[num]]&gt;0, "Diseased", "Healthy")</f>
        <v>Healthy</v>
      </c>
      <c r="G433">
        <f>IF(HeartData[[#This Row],[chol]]&gt;$P$3, 1, 0)</f>
        <v>1</v>
      </c>
      <c r="H433">
        <f>IF(HeartData[[#This Row],[trestbps]]&gt;$P$4, 1, 0)</f>
        <v>1</v>
      </c>
      <c r="I433">
        <f>IF(HeartData[[#This Row],[oldpeak]]&gt;$P$5,1,0)</f>
        <v>0</v>
      </c>
      <c r="J433">
        <f>IF(HeartData[[#This Row],[exang]]="TRUE",1,0)</f>
        <v>1</v>
      </c>
      <c r="K433">
        <f>IF(HeartData[[#This Row],[fbs]]="TRUE",1,0)</f>
        <v>0</v>
      </c>
      <c r="L433">
        <f>IF(HeartData[[#This Row],[ca]]&gt;0,1,0)</f>
        <v>0</v>
      </c>
      <c r="M433">
        <f t="shared" si="19"/>
        <v>3</v>
      </c>
      <c r="N433">
        <f t="shared" si="20"/>
        <v>0</v>
      </c>
    </row>
    <row r="434" spans="1:14" x14ac:dyDescent="0.3">
      <c r="A434">
        <f>HeartData[[#This Row],[id]]</f>
        <v>433</v>
      </c>
      <c r="B434" s="4">
        <f>HeartData[[#This Row],[age]]</f>
        <v>52</v>
      </c>
      <c r="C434" t="str">
        <f>HeartData[[#This Row],[sex]]</f>
        <v>Male</v>
      </c>
      <c r="D434" t="str">
        <f t="shared" si="18"/>
        <v>45-54</v>
      </c>
      <c r="E434" t="str">
        <f>HeartData[[#This Row],[cp]]</f>
        <v>atypical angina</v>
      </c>
      <c r="F434" t="str">
        <f>IF(HeartData[[#This Row],[num]]&gt;0, "Diseased", "Healthy")</f>
        <v>Healthy</v>
      </c>
      <c r="G434">
        <f>IF(HeartData[[#This Row],[chol]]&gt;$P$3, 1, 0)</f>
        <v>1</v>
      </c>
      <c r="H434">
        <f>IF(HeartData[[#This Row],[trestbps]]&gt;$P$4, 1, 0)</f>
        <v>1</v>
      </c>
      <c r="I434">
        <f>IF(HeartData[[#This Row],[oldpeak]]&gt;$P$5,1,0)</f>
        <v>0</v>
      </c>
      <c r="J434">
        <f>IF(HeartData[[#This Row],[exang]]="TRUE",1,0)</f>
        <v>0</v>
      </c>
      <c r="K434">
        <f>IF(HeartData[[#This Row],[fbs]]="TRUE",1,0)</f>
        <v>0</v>
      </c>
      <c r="L434">
        <f>IF(HeartData[[#This Row],[ca]]&gt;0,1,0)</f>
        <v>0</v>
      </c>
      <c r="M434">
        <f t="shared" si="19"/>
        <v>2</v>
      </c>
      <c r="N434">
        <f t="shared" si="20"/>
        <v>0</v>
      </c>
    </row>
    <row r="435" spans="1:14" x14ac:dyDescent="0.3">
      <c r="A435">
        <f>HeartData[[#This Row],[id]]</f>
        <v>434</v>
      </c>
      <c r="B435" s="4">
        <f>HeartData[[#This Row],[age]]</f>
        <v>52</v>
      </c>
      <c r="C435" t="str">
        <f>HeartData[[#This Row],[sex]]</f>
        <v>Male</v>
      </c>
      <c r="D435" t="str">
        <f t="shared" si="18"/>
        <v>45-54</v>
      </c>
      <c r="E435" t="str">
        <f>HeartData[[#This Row],[cp]]</f>
        <v>non-anginal</v>
      </c>
      <c r="F435" t="str">
        <f>IF(HeartData[[#This Row],[num]]&gt;0, "Diseased", "Healthy")</f>
        <v>Healthy</v>
      </c>
      <c r="G435">
        <f>IF(HeartData[[#This Row],[chol]]&gt;$P$3, 1, 0)</f>
        <v>1</v>
      </c>
      <c r="H435">
        <f>IF(HeartData[[#This Row],[trestbps]]&gt;$P$4, 1, 0)</f>
        <v>1</v>
      </c>
      <c r="I435">
        <f>IF(HeartData[[#This Row],[oldpeak]]&gt;$P$5,1,0)</f>
        <v>0</v>
      </c>
      <c r="J435">
        <f>IF(HeartData[[#This Row],[exang]]="TRUE",1,0)</f>
        <v>0</v>
      </c>
      <c r="K435">
        <f>IF(HeartData[[#This Row],[fbs]]="TRUE",1,0)</f>
        <v>0</v>
      </c>
      <c r="L435">
        <f>IF(HeartData[[#This Row],[ca]]&gt;0,1,0)</f>
        <v>0</v>
      </c>
      <c r="M435">
        <f t="shared" si="19"/>
        <v>2</v>
      </c>
      <c r="N435">
        <f t="shared" si="20"/>
        <v>0</v>
      </c>
    </row>
    <row r="436" spans="1:14" x14ac:dyDescent="0.3">
      <c r="A436">
        <f>HeartData[[#This Row],[id]]</f>
        <v>435</v>
      </c>
      <c r="B436" s="4">
        <f>HeartData[[#This Row],[age]]</f>
        <v>53</v>
      </c>
      <c r="C436" t="str">
        <f>HeartData[[#This Row],[sex]]</f>
        <v>Female</v>
      </c>
      <c r="D436" t="str">
        <f t="shared" si="18"/>
        <v>45-54</v>
      </c>
      <c r="E436" t="str">
        <f>HeartData[[#This Row],[cp]]</f>
        <v>atypical angina</v>
      </c>
      <c r="F436" t="str">
        <f>IF(HeartData[[#This Row],[num]]&gt;0, "Diseased", "Healthy")</f>
        <v>Healthy</v>
      </c>
      <c r="G436">
        <f>IF(HeartData[[#This Row],[chol]]&gt;$P$3, 1, 0)</f>
        <v>1</v>
      </c>
      <c r="H436">
        <f>IF(HeartData[[#This Row],[trestbps]]&gt;$P$4, 1, 0)</f>
        <v>1</v>
      </c>
      <c r="I436">
        <f>IF(HeartData[[#This Row],[oldpeak]]&gt;$P$5,1,0)</f>
        <v>0</v>
      </c>
      <c r="J436">
        <f>IF(HeartData[[#This Row],[exang]]="TRUE",1,0)</f>
        <v>0</v>
      </c>
      <c r="K436">
        <f>IF(HeartData[[#This Row],[fbs]]="TRUE",1,0)</f>
        <v>0</v>
      </c>
      <c r="L436">
        <f>IF(HeartData[[#This Row],[ca]]&gt;0,1,0)</f>
        <v>0</v>
      </c>
      <c r="M436">
        <f t="shared" si="19"/>
        <v>2</v>
      </c>
      <c r="N436">
        <f t="shared" si="20"/>
        <v>0</v>
      </c>
    </row>
    <row r="437" spans="1:14" x14ac:dyDescent="0.3">
      <c r="A437">
        <f>HeartData[[#This Row],[id]]</f>
        <v>436</v>
      </c>
      <c r="B437" s="4">
        <f>HeartData[[#This Row],[age]]</f>
        <v>53</v>
      </c>
      <c r="C437" t="str">
        <f>HeartData[[#This Row],[sex]]</f>
        <v>Female</v>
      </c>
      <c r="D437" t="str">
        <f t="shared" si="18"/>
        <v>45-54</v>
      </c>
      <c r="E437" t="str">
        <f>HeartData[[#This Row],[cp]]</f>
        <v>atypical angina</v>
      </c>
      <c r="F437" t="str">
        <f>IF(HeartData[[#This Row],[num]]&gt;0, "Diseased", "Healthy")</f>
        <v>Healthy</v>
      </c>
      <c r="G437">
        <f>IF(HeartData[[#This Row],[chol]]&gt;$P$3, 1, 0)</f>
        <v>1</v>
      </c>
      <c r="H437">
        <f>IF(HeartData[[#This Row],[trestbps]]&gt;$P$4, 1, 0)</f>
        <v>1</v>
      </c>
      <c r="I437">
        <f>IF(HeartData[[#This Row],[oldpeak]]&gt;$P$5,1,0)</f>
        <v>1</v>
      </c>
      <c r="J437">
        <f>IF(HeartData[[#This Row],[exang]]="TRUE",1,0)</f>
        <v>1</v>
      </c>
      <c r="K437">
        <f>IF(HeartData[[#This Row],[fbs]]="TRUE",1,0)</f>
        <v>0</v>
      </c>
      <c r="L437">
        <f>IF(HeartData[[#This Row],[ca]]&gt;0,1,0)</f>
        <v>0</v>
      </c>
      <c r="M437">
        <f t="shared" si="19"/>
        <v>4</v>
      </c>
      <c r="N437">
        <f t="shared" si="20"/>
        <v>0</v>
      </c>
    </row>
    <row r="438" spans="1:14" x14ac:dyDescent="0.3">
      <c r="A438">
        <f>HeartData[[#This Row],[id]]</f>
        <v>437</v>
      </c>
      <c r="B438" s="4">
        <f>HeartData[[#This Row],[age]]</f>
        <v>53</v>
      </c>
      <c r="C438" t="str">
        <f>HeartData[[#This Row],[sex]]</f>
        <v>Female</v>
      </c>
      <c r="D438" t="str">
        <f t="shared" si="18"/>
        <v>45-54</v>
      </c>
      <c r="E438" t="str">
        <f>HeartData[[#This Row],[cp]]</f>
        <v>non-anginal</v>
      </c>
      <c r="F438" t="str">
        <f>IF(HeartData[[#This Row],[num]]&gt;0, "Diseased", "Healthy")</f>
        <v>Healthy</v>
      </c>
      <c r="G438">
        <f>IF(HeartData[[#This Row],[chol]]&gt;$P$3, 1, 0)</f>
        <v>1</v>
      </c>
      <c r="H438">
        <f>IF(HeartData[[#This Row],[trestbps]]&gt;$P$4, 1, 0)</f>
        <v>1</v>
      </c>
      <c r="I438">
        <f>IF(HeartData[[#This Row],[oldpeak]]&gt;$P$5,1,0)</f>
        <v>0</v>
      </c>
      <c r="J438">
        <f>IF(HeartData[[#This Row],[exang]]="TRUE",1,0)</f>
        <v>0</v>
      </c>
      <c r="K438">
        <f>IF(HeartData[[#This Row],[fbs]]="TRUE",1,0)</f>
        <v>0</v>
      </c>
      <c r="L438">
        <f>IF(HeartData[[#This Row],[ca]]&gt;0,1,0)</f>
        <v>0</v>
      </c>
      <c r="M438">
        <f t="shared" si="19"/>
        <v>2</v>
      </c>
      <c r="N438">
        <f t="shared" si="20"/>
        <v>0</v>
      </c>
    </row>
    <row r="439" spans="1:14" x14ac:dyDescent="0.3">
      <c r="A439">
        <f>HeartData[[#This Row],[id]]</f>
        <v>438</v>
      </c>
      <c r="B439" s="4">
        <f>HeartData[[#This Row],[age]]</f>
        <v>53</v>
      </c>
      <c r="C439" t="str">
        <f>HeartData[[#This Row],[sex]]</f>
        <v>Male</v>
      </c>
      <c r="D439" t="str">
        <f t="shared" si="18"/>
        <v>45-54</v>
      </c>
      <c r="E439" t="str">
        <f>HeartData[[#This Row],[cp]]</f>
        <v>atypical angina</v>
      </c>
      <c r="F439" t="str">
        <f>IF(HeartData[[#This Row],[num]]&gt;0, "Diseased", "Healthy")</f>
        <v>Healthy</v>
      </c>
      <c r="G439">
        <f>IF(HeartData[[#This Row],[chol]]&gt;$P$3, 1, 0)</f>
        <v>0</v>
      </c>
      <c r="H439">
        <f>IF(HeartData[[#This Row],[trestbps]]&gt;$P$4, 1, 0)</f>
        <v>1</v>
      </c>
      <c r="I439">
        <f>IF(HeartData[[#This Row],[oldpeak]]&gt;$P$5,1,0)</f>
        <v>0</v>
      </c>
      <c r="J439">
        <f>IF(HeartData[[#This Row],[exang]]="TRUE",1,0)</f>
        <v>0</v>
      </c>
      <c r="K439">
        <f>IF(HeartData[[#This Row],[fbs]]="TRUE",1,0)</f>
        <v>0</v>
      </c>
      <c r="L439">
        <f>IF(HeartData[[#This Row],[ca]]&gt;0,1,0)</f>
        <v>0</v>
      </c>
      <c r="M439">
        <f t="shared" si="19"/>
        <v>1</v>
      </c>
      <c r="N439">
        <f t="shared" si="20"/>
        <v>0</v>
      </c>
    </row>
    <row r="440" spans="1:14" x14ac:dyDescent="0.3">
      <c r="A440">
        <f>HeartData[[#This Row],[id]]</f>
        <v>439</v>
      </c>
      <c r="B440" s="4">
        <f>HeartData[[#This Row],[age]]</f>
        <v>53</v>
      </c>
      <c r="C440" t="str">
        <f>HeartData[[#This Row],[sex]]</f>
        <v>Male</v>
      </c>
      <c r="D440" t="str">
        <f t="shared" si="18"/>
        <v>45-54</v>
      </c>
      <c r="E440" t="str">
        <f>HeartData[[#This Row],[cp]]</f>
        <v>atypical angina</v>
      </c>
      <c r="F440" t="str">
        <f>IF(HeartData[[#This Row],[num]]&gt;0, "Diseased", "Healthy")</f>
        <v>Healthy</v>
      </c>
      <c r="G440">
        <f>IF(HeartData[[#This Row],[chol]]&gt;$P$3, 1, 0)</f>
        <v>1</v>
      </c>
      <c r="H440">
        <f>IF(HeartData[[#This Row],[trestbps]]&gt;$P$4, 1, 0)</f>
        <v>1</v>
      </c>
      <c r="I440">
        <f>IF(HeartData[[#This Row],[oldpeak]]&gt;$P$5,1,0)</f>
        <v>0</v>
      </c>
      <c r="J440">
        <f>IF(HeartData[[#This Row],[exang]]="TRUE",1,0)</f>
        <v>0</v>
      </c>
      <c r="K440">
        <f>IF(HeartData[[#This Row],[fbs]]="TRUE",1,0)</f>
        <v>0</v>
      </c>
      <c r="L440">
        <f>IF(HeartData[[#This Row],[ca]]&gt;0,1,0)</f>
        <v>0</v>
      </c>
      <c r="M440">
        <f t="shared" si="19"/>
        <v>2</v>
      </c>
      <c r="N440">
        <f t="shared" si="20"/>
        <v>0</v>
      </c>
    </row>
    <row r="441" spans="1:14" x14ac:dyDescent="0.3">
      <c r="A441">
        <f>HeartData[[#This Row],[id]]</f>
        <v>440</v>
      </c>
      <c r="B441" s="4">
        <f>HeartData[[#This Row],[age]]</f>
        <v>53</v>
      </c>
      <c r="C441" t="str">
        <f>HeartData[[#This Row],[sex]]</f>
        <v>Male</v>
      </c>
      <c r="D441" t="str">
        <f t="shared" si="18"/>
        <v>45-54</v>
      </c>
      <c r="E441" t="str">
        <f>HeartData[[#This Row],[cp]]</f>
        <v>non-anginal</v>
      </c>
      <c r="F441" t="str">
        <f>IF(HeartData[[#This Row],[num]]&gt;0, "Diseased", "Healthy")</f>
        <v>Healthy</v>
      </c>
      <c r="G441">
        <f>IF(HeartData[[#This Row],[chol]]&gt;$P$3, 1, 0)</f>
        <v>1</v>
      </c>
      <c r="H441">
        <f>IF(HeartData[[#This Row],[trestbps]]&gt;$P$4, 1, 0)</f>
        <v>1</v>
      </c>
      <c r="I441">
        <f>IF(HeartData[[#This Row],[oldpeak]]&gt;$P$5,1,0)</f>
        <v>0</v>
      </c>
      <c r="J441">
        <f>IF(HeartData[[#This Row],[exang]]="TRUE",1,0)</f>
        <v>0</v>
      </c>
      <c r="K441">
        <f>IF(HeartData[[#This Row],[fbs]]="TRUE",1,0)</f>
        <v>0</v>
      </c>
      <c r="L441">
        <f>IF(HeartData[[#This Row],[ca]]&gt;0,1,0)</f>
        <v>0</v>
      </c>
      <c r="M441">
        <f t="shared" si="19"/>
        <v>2</v>
      </c>
      <c r="N441">
        <f t="shared" si="20"/>
        <v>0</v>
      </c>
    </row>
    <row r="442" spans="1:14" x14ac:dyDescent="0.3">
      <c r="A442">
        <f>HeartData[[#This Row],[id]]</f>
        <v>441</v>
      </c>
      <c r="B442" s="4">
        <f>HeartData[[#This Row],[age]]</f>
        <v>53</v>
      </c>
      <c r="C442" t="str">
        <f>HeartData[[#This Row],[sex]]</f>
        <v>Male</v>
      </c>
      <c r="D442" t="str">
        <f t="shared" si="18"/>
        <v>45-54</v>
      </c>
      <c r="E442" t="str">
        <f>HeartData[[#This Row],[cp]]</f>
        <v>asymptomatic</v>
      </c>
      <c r="F442" t="str">
        <f>IF(HeartData[[#This Row],[num]]&gt;0, "Diseased", "Healthy")</f>
        <v>Healthy</v>
      </c>
      <c r="G442">
        <f>IF(HeartData[[#This Row],[chol]]&gt;$P$3, 1, 0)</f>
        <v>1</v>
      </c>
      <c r="H442">
        <f>IF(HeartData[[#This Row],[trestbps]]&gt;$P$4, 1, 0)</f>
        <v>1</v>
      </c>
      <c r="I442">
        <f>IF(HeartData[[#This Row],[oldpeak]]&gt;$P$5,1,0)</f>
        <v>1</v>
      </c>
      <c r="J442">
        <f>IF(HeartData[[#This Row],[exang]]="TRUE",1,0)</f>
        <v>1</v>
      </c>
      <c r="K442">
        <f>IF(HeartData[[#This Row],[fbs]]="TRUE",1,0)</f>
        <v>0</v>
      </c>
      <c r="L442">
        <f>IF(HeartData[[#This Row],[ca]]&gt;0,1,0)</f>
        <v>0</v>
      </c>
      <c r="M442">
        <f t="shared" si="19"/>
        <v>4</v>
      </c>
      <c r="N442">
        <f t="shared" si="20"/>
        <v>0</v>
      </c>
    </row>
    <row r="443" spans="1:14" x14ac:dyDescent="0.3">
      <c r="A443">
        <f>HeartData[[#This Row],[id]]</f>
        <v>442</v>
      </c>
      <c r="B443" s="4">
        <f>HeartData[[#This Row],[age]]</f>
        <v>53</v>
      </c>
      <c r="C443" t="str">
        <f>HeartData[[#This Row],[sex]]</f>
        <v>Male</v>
      </c>
      <c r="D443" t="str">
        <f t="shared" si="18"/>
        <v>45-54</v>
      </c>
      <c r="E443" t="str">
        <f>HeartData[[#This Row],[cp]]</f>
        <v>asymptomatic</v>
      </c>
      <c r="F443" t="str">
        <f>IF(HeartData[[#This Row],[num]]&gt;0, "Diseased", "Healthy")</f>
        <v>Healthy</v>
      </c>
      <c r="G443">
        <f>IF(HeartData[[#This Row],[chol]]&gt;$P$3, 1, 0)</f>
        <v>1</v>
      </c>
      <c r="H443">
        <f>IF(HeartData[[#This Row],[trestbps]]&gt;$P$4, 1, 0)</f>
        <v>1</v>
      </c>
      <c r="I443">
        <f>IF(HeartData[[#This Row],[oldpeak]]&gt;$P$5,1,0)</f>
        <v>0</v>
      </c>
      <c r="J443">
        <f>IF(HeartData[[#This Row],[exang]]="TRUE",1,0)</f>
        <v>0</v>
      </c>
      <c r="K443">
        <f>IF(HeartData[[#This Row],[fbs]]="TRUE",1,0)</f>
        <v>0</v>
      </c>
      <c r="L443">
        <f>IF(HeartData[[#This Row],[ca]]&gt;0,1,0)</f>
        <v>0</v>
      </c>
      <c r="M443">
        <f t="shared" si="19"/>
        <v>2</v>
      </c>
      <c r="N443">
        <f t="shared" si="20"/>
        <v>0</v>
      </c>
    </row>
    <row r="444" spans="1:14" x14ac:dyDescent="0.3">
      <c r="A444">
        <f>HeartData[[#This Row],[id]]</f>
        <v>443</v>
      </c>
      <c r="B444" s="4">
        <f>HeartData[[#This Row],[age]]</f>
        <v>53</v>
      </c>
      <c r="C444" t="str">
        <f>HeartData[[#This Row],[sex]]</f>
        <v>Male</v>
      </c>
      <c r="D444" t="str">
        <f t="shared" si="18"/>
        <v>45-54</v>
      </c>
      <c r="E444" t="str">
        <f>HeartData[[#This Row],[cp]]</f>
        <v>asymptomatic</v>
      </c>
      <c r="F444" t="str">
        <f>IF(HeartData[[#This Row],[num]]&gt;0, "Diseased", "Healthy")</f>
        <v>Healthy</v>
      </c>
      <c r="G444">
        <f>IF(HeartData[[#This Row],[chol]]&gt;$P$3, 1, 0)</f>
        <v>1</v>
      </c>
      <c r="H444">
        <f>IF(HeartData[[#This Row],[trestbps]]&gt;$P$4, 1, 0)</f>
        <v>1</v>
      </c>
      <c r="I444">
        <f>IF(HeartData[[#This Row],[oldpeak]]&gt;$P$5,1,0)</f>
        <v>0</v>
      </c>
      <c r="J444">
        <f>IF(HeartData[[#This Row],[exang]]="TRUE",1,0)</f>
        <v>0</v>
      </c>
      <c r="K444">
        <f>IF(HeartData[[#This Row],[fbs]]="TRUE",1,0)</f>
        <v>0</v>
      </c>
      <c r="L444">
        <f>IF(HeartData[[#This Row],[ca]]&gt;0,1,0)</f>
        <v>0</v>
      </c>
      <c r="M444">
        <f t="shared" si="19"/>
        <v>2</v>
      </c>
      <c r="N444">
        <f t="shared" si="20"/>
        <v>0</v>
      </c>
    </row>
    <row r="445" spans="1:14" x14ac:dyDescent="0.3">
      <c r="A445">
        <f>HeartData[[#This Row],[id]]</f>
        <v>444</v>
      </c>
      <c r="B445" s="4">
        <f>HeartData[[#This Row],[age]]</f>
        <v>54</v>
      </c>
      <c r="C445" t="str">
        <f>HeartData[[#This Row],[sex]]</f>
        <v>Female</v>
      </c>
      <c r="D445" t="str">
        <f t="shared" si="18"/>
        <v>45-54</v>
      </c>
      <c r="E445" t="str">
        <f>HeartData[[#This Row],[cp]]</f>
        <v>atypical angina</v>
      </c>
      <c r="F445" t="str">
        <f>IF(HeartData[[#This Row],[num]]&gt;0, "Diseased", "Healthy")</f>
        <v>Healthy</v>
      </c>
      <c r="G445">
        <f>IF(HeartData[[#This Row],[chol]]&gt;$P$3, 1, 0)</f>
        <v>1</v>
      </c>
      <c r="H445">
        <f>IF(HeartData[[#This Row],[trestbps]]&gt;$P$4, 1, 0)</f>
        <v>1</v>
      </c>
      <c r="I445">
        <f>IF(HeartData[[#This Row],[oldpeak]]&gt;$P$5,1,0)</f>
        <v>1</v>
      </c>
      <c r="J445">
        <f>IF(HeartData[[#This Row],[exang]]="TRUE",1,0)</f>
        <v>0</v>
      </c>
      <c r="K445">
        <f>IF(HeartData[[#This Row],[fbs]]="TRUE",1,0)</f>
        <v>0</v>
      </c>
      <c r="L445">
        <f>IF(HeartData[[#This Row],[ca]]&gt;0,1,0)</f>
        <v>0</v>
      </c>
      <c r="M445">
        <f t="shared" si="19"/>
        <v>3</v>
      </c>
      <c r="N445">
        <f t="shared" si="20"/>
        <v>0</v>
      </c>
    </row>
    <row r="446" spans="1:14" x14ac:dyDescent="0.3">
      <c r="A446">
        <f>HeartData[[#This Row],[id]]</f>
        <v>445</v>
      </c>
      <c r="B446" s="4">
        <f>HeartData[[#This Row],[age]]</f>
        <v>54</v>
      </c>
      <c r="C446" t="str">
        <f>HeartData[[#This Row],[sex]]</f>
        <v>Female</v>
      </c>
      <c r="D446" t="str">
        <f t="shared" si="18"/>
        <v>45-54</v>
      </c>
      <c r="E446" t="str">
        <f>HeartData[[#This Row],[cp]]</f>
        <v>atypical angina</v>
      </c>
      <c r="F446" t="str">
        <f>IF(HeartData[[#This Row],[num]]&gt;0, "Diseased", "Healthy")</f>
        <v>Healthy</v>
      </c>
      <c r="G446">
        <f>IF(HeartData[[#This Row],[chol]]&gt;$P$3, 1, 0)</f>
        <v>1</v>
      </c>
      <c r="H446">
        <f>IF(HeartData[[#This Row],[trestbps]]&gt;$P$4, 1, 0)</f>
        <v>1</v>
      </c>
      <c r="I446">
        <f>IF(HeartData[[#This Row],[oldpeak]]&gt;$P$5,1,0)</f>
        <v>0</v>
      </c>
      <c r="J446">
        <f>IF(HeartData[[#This Row],[exang]]="TRUE",1,0)</f>
        <v>0</v>
      </c>
      <c r="K446">
        <f>IF(HeartData[[#This Row],[fbs]]="TRUE",1,0)</f>
        <v>1</v>
      </c>
      <c r="L446">
        <f>IF(HeartData[[#This Row],[ca]]&gt;0,1,0)</f>
        <v>0</v>
      </c>
      <c r="M446">
        <f t="shared" si="19"/>
        <v>3</v>
      </c>
      <c r="N446">
        <f t="shared" si="20"/>
        <v>0</v>
      </c>
    </row>
    <row r="447" spans="1:14" x14ac:dyDescent="0.3">
      <c r="A447">
        <f>HeartData[[#This Row],[id]]</f>
        <v>446</v>
      </c>
      <c r="B447" s="4">
        <f>HeartData[[#This Row],[age]]</f>
        <v>54</v>
      </c>
      <c r="C447" t="str">
        <f>HeartData[[#This Row],[sex]]</f>
        <v>Female</v>
      </c>
      <c r="D447" t="str">
        <f t="shared" si="18"/>
        <v>45-54</v>
      </c>
      <c r="E447" t="str">
        <f>HeartData[[#This Row],[cp]]</f>
        <v>atypical angina</v>
      </c>
      <c r="F447" t="str">
        <f>IF(HeartData[[#This Row],[num]]&gt;0, "Diseased", "Healthy")</f>
        <v>Healthy</v>
      </c>
      <c r="G447">
        <f>IF(HeartData[[#This Row],[chol]]&gt;$P$3, 1, 0)</f>
        <v>1</v>
      </c>
      <c r="H447">
        <f>IF(HeartData[[#This Row],[trestbps]]&gt;$P$4, 1, 0)</f>
        <v>1</v>
      </c>
      <c r="I447">
        <f>IF(HeartData[[#This Row],[oldpeak]]&gt;$P$5,1,0)</f>
        <v>1</v>
      </c>
      <c r="J447">
        <f>IF(HeartData[[#This Row],[exang]]="TRUE",1,0)</f>
        <v>0</v>
      </c>
      <c r="K447">
        <f>IF(HeartData[[#This Row],[fbs]]="TRUE",1,0)</f>
        <v>0</v>
      </c>
      <c r="L447">
        <f>IF(HeartData[[#This Row],[ca]]&gt;0,1,0)</f>
        <v>0</v>
      </c>
      <c r="M447">
        <f t="shared" si="19"/>
        <v>3</v>
      </c>
      <c r="N447">
        <f t="shared" si="20"/>
        <v>0</v>
      </c>
    </row>
    <row r="448" spans="1:14" x14ac:dyDescent="0.3">
      <c r="A448">
        <f>HeartData[[#This Row],[id]]</f>
        <v>447</v>
      </c>
      <c r="B448" s="4">
        <f>HeartData[[#This Row],[age]]</f>
        <v>54</v>
      </c>
      <c r="C448" t="str">
        <f>HeartData[[#This Row],[sex]]</f>
        <v>Female</v>
      </c>
      <c r="D448" t="str">
        <f t="shared" si="18"/>
        <v>45-54</v>
      </c>
      <c r="E448" t="str">
        <f>HeartData[[#This Row],[cp]]</f>
        <v>atypical angina</v>
      </c>
      <c r="F448" t="str">
        <f>IF(HeartData[[#This Row],[num]]&gt;0, "Diseased", "Healthy")</f>
        <v>Healthy</v>
      </c>
      <c r="G448">
        <f>IF(HeartData[[#This Row],[chol]]&gt;$P$3, 1, 0)</f>
        <v>1</v>
      </c>
      <c r="H448">
        <f>IF(HeartData[[#This Row],[trestbps]]&gt;$P$4, 1, 0)</f>
        <v>1</v>
      </c>
      <c r="I448">
        <f>IF(HeartData[[#This Row],[oldpeak]]&gt;$P$5,1,0)</f>
        <v>0</v>
      </c>
      <c r="J448">
        <f>IF(HeartData[[#This Row],[exang]]="TRUE",1,0)</f>
        <v>0</v>
      </c>
      <c r="K448">
        <f>IF(HeartData[[#This Row],[fbs]]="TRUE",1,0)</f>
        <v>0</v>
      </c>
      <c r="L448">
        <f>IF(HeartData[[#This Row],[ca]]&gt;0,1,0)</f>
        <v>0</v>
      </c>
      <c r="M448">
        <f t="shared" si="19"/>
        <v>2</v>
      </c>
      <c r="N448">
        <f t="shared" si="20"/>
        <v>0</v>
      </c>
    </row>
    <row r="449" spans="1:14" x14ac:dyDescent="0.3">
      <c r="A449">
        <f>HeartData[[#This Row],[id]]</f>
        <v>448</v>
      </c>
      <c r="B449" s="4">
        <f>HeartData[[#This Row],[age]]</f>
        <v>54</v>
      </c>
      <c r="C449" t="str">
        <f>HeartData[[#This Row],[sex]]</f>
        <v>Female</v>
      </c>
      <c r="D449" t="str">
        <f t="shared" si="18"/>
        <v>45-54</v>
      </c>
      <c r="E449" t="str">
        <f>HeartData[[#This Row],[cp]]</f>
        <v>atypical angina</v>
      </c>
      <c r="F449" t="str">
        <f>IF(HeartData[[#This Row],[num]]&gt;0, "Diseased", "Healthy")</f>
        <v>Healthy</v>
      </c>
      <c r="G449">
        <f>IF(HeartData[[#This Row],[chol]]&gt;$P$3, 1, 0)</f>
        <v>1</v>
      </c>
      <c r="H449">
        <f>IF(HeartData[[#This Row],[trestbps]]&gt;$P$4, 1, 0)</f>
        <v>1</v>
      </c>
      <c r="I449">
        <f>IF(HeartData[[#This Row],[oldpeak]]&gt;$P$5,1,0)</f>
        <v>0</v>
      </c>
      <c r="J449">
        <f>IF(HeartData[[#This Row],[exang]]="TRUE",1,0)</f>
        <v>0</v>
      </c>
      <c r="K449">
        <f>IF(HeartData[[#This Row],[fbs]]="TRUE",1,0)</f>
        <v>0</v>
      </c>
      <c r="L449">
        <f>IF(HeartData[[#This Row],[ca]]&gt;0,1,0)</f>
        <v>0</v>
      </c>
      <c r="M449">
        <f t="shared" si="19"/>
        <v>2</v>
      </c>
      <c r="N449">
        <f t="shared" si="20"/>
        <v>0</v>
      </c>
    </row>
    <row r="450" spans="1:14" x14ac:dyDescent="0.3">
      <c r="A450">
        <f>HeartData[[#This Row],[id]]</f>
        <v>449</v>
      </c>
      <c r="B450" s="4">
        <f>HeartData[[#This Row],[age]]</f>
        <v>54</v>
      </c>
      <c r="C450" t="str">
        <f>HeartData[[#This Row],[sex]]</f>
        <v>Female</v>
      </c>
      <c r="D450" t="str">
        <f t="shared" ref="D450:D513" si="21">IF(B450&lt;45,"Under 45",IF(B450&lt;=54,"45-54",IF(B450&lt;=64,"55-64","65+")))</f>
        <v>45-54</v>
      </c>
      <c r="E450" t="str">
        <f>HeartData[[#This Row],[cp]]</f>
        <v>atypical angina</v>
      </c>
      <c r="F450" t="str">
        <f>IF(HeartData[[#This Row],[num]]&gt;0, "Diseased", "Healthy")</f>
        <v>Healthy</v>
      </c>
      <c r="G450">
        <f>IF(HeartData[[#This Row],[chol]]&gt;$P$3, 1, 0)</f>
        <v>1</v>
      </c>
      <c r="H450">
        <f>IF(HeartData[[#This Row],[trestbps]]&gt;$P$4, 1, 0)</f>
        <v>1</v>
      </c>
      <c r="I450">
        <f>IF(HeartData[[#This Row],[oldpeak]]&gt;$P$5,1,0)</f>
        <v>0</v>
      </c>
      <c r="J450">
        <f>IF(HeartData[[#This Row],[exang]]="TRUE",1,0)</f>
        <v>0</v>
      </c>
      <c r="K450">
        <f>IF(HeartData[[#This Row],[fbs]]="TRUE",1,0)</f>
        <v>0</v>
      </c>
      <c r="L450">
        <f>IF(HeartData[[#This Row],[ca]]&gt;0,1,0)</f>
        <v>0</v>
      </c>
      <c r="M450">
        <f t="shared" si="19"/>
        <v>2</v>
      </c>
      <c r="N450">
        <f t="shared" si="20"/>
        <v>0</v>
      </c>
    </row>
    <row r="451" spans="1:14" x14ac:dyDescent="0.3">
      <c r="A451">
        <f>HeartData[[#This Row],[id]]</f>
        <v>450</v>
      </c>
      <c r="B451" s="4">
        <f>HeartData[[#This Row],[age]]</f>
        <v>54</v>
      </c>
      <c r="C451" t="str">
        <f>HeartData[[#This Row],[sex]]</f>
        <v>Female</v>
      </c>
      <c r="D451" t="str">
        <f t="shared" si="21"/>
        <v>45-54</v>
      </c>
      <c r="E451" t="str">
        <f>HeartData[[#This Row],[cp]]</f>
        <v>atypical angina</v>
      </c>
      <c r="F451" t="str">
        <f>IF(HeartData[[#This Row],[num]]&gt;0, "Diseased", "Healthy")</f>
        <v>Healthy</v>
      </c>
      <c r="G451">
        <f>IF(HeartData[[#This Row],[chol]]&gt;$P$3, 1, 0)</f>
        <v>1</v>
      </c>
      <c r="H451">
        <f>IF(HeartData[[#This Row],[trestbps]]&gt;$P$4, 1, 0)</f>
        <v>1</v>
      </c>
      <c r="I451">
        <f>IF(HeartData[[#This Row],[oldpeak]]&gt;$P$5,1,0)</f>
        <v>0</v>
      </c>
      <c r="J451">
        <f>IF(HeartData[[#This Row],[exang]]="TRUE",1,0)</f>
        <v>0</v>
      </c>
      <c r="K451">
        <f>IF(HeartData[[#This Row],[fbs]]="TRUE",1,0)</f>
        <v>0</v>
      </c>
      <c r="L451">
        <f>IF(HeartData[[#This Row],[ca]]&gt;0,1,0)</f>
        <v>0</v>
      </c>
      <c r="M451">
        <f t="shared" ref="M451:M514" si="22">G451+H451+I451+J451+K451+L451</f>
        <v>2</v>
      </c>
      <c r="N451">
        <f t="shared" ref="N451:N514" si="23">IF(F451="Diseased",1,0)</f>
        <v>0</v>
      </c>
    </row>
    <row r="452" spans="1:14" x14ac:dyDescent="0.3">
      <c r="A452">
        <f>HeartData[[#This Row],[id]]</f>
        <v>451</v>
      </c>
      <c r="B452" s="4">
        <f>HeartData[[#This Row],[age]]</f>
        <v>54</v>
      </c>
      <c r="C452" t="str">
        <f>HeartData[[#This Row],[sex]]</f>
        <v>Male</v>
      </c>
      <c r="D452" t="str">
        <f t="shared" si="21"/>
        <v>45-54</v>
      </c>
      <c r="E452" t="str">
        <f>HeartData[[#This Row],[cp]]</f>
        <v>typical angina</v>
      </c>
      <c r="F452" t="str">
        <f>IF(HeartData[[#This Row],[num]]&gt;0, "Diseased", "Healthy")</f>
        <v>Healthy</v>
      </c>
      <c r="G452">
        <f>IF(HeartData[[#This Row],[chol]]&gt;$P$3, 1, 0)</f>
        <v>1</v>
      </c>
      <c r="H452">
        <f>IF(HeartData[[#This Row],[trestbps]]&gt;$P$4, 1, 0)</f>
        <v>1</v>
      </c>
      <c r="I452">
        <f>IF(HeartData[[#This Row],[oldpeak]]&gt;$P$5,1,0)</f>
        <v>1</v>
      </c>
      <c r="J452">
        <f>IF(HeartData[[#This Row],[exang]]="TRUE",1,0)</f>
        <v>0</v>
      </c>
      <c r="K452">
        <f>IF(HeartData[[#This Row],[fbs]]="TRUE",1,0)</f>
        <v>0</v>
      </c>
      <c r="L452">
        <f>IF(HeartData[[#This Row],[ca]]&gt;0,1,0)</f>
        <v>0</v>
      </c>
      <c r="M452">
        <f t="shared" si="22"/>
        <v>3</v>
      </c>
      <c r="N452">
        <f t="shared" si="23"/>
        <v>0</v>
      </c>
    </row>
    <row r="453" spans="1:14" x14ac:dyDescent="0.3">
      <c r="A453">
        <f>HeartData[[#This Row],[id]]</f>
        <v>452</v>
      </c>
      <c r="B453" s="4">
        <f>HeartData[[#This Row],[age]]</f>
        <v>54</v>
      </c>
      <c r="C453" t="str">
        <f>HeartData[[#This Row],[sex]]</f>
        <v>Male</v>
      </c>
      <c r="D453" t="str">
        <f t="shared" si="21"/>
        <v>45-54</v>
      </c>
      <c r="E453" t="str">
        <f>HeartData[[#This Row],[cp]]</f>
        <v>atypical angina</v>
      </c>
      <c r="F453" t="str">
        <f>IF(HeartData[[#This Row],[num]]&gt;0, "Diseased", "Healthy")</f>
        <v>Healthy</v>
      </c>
      <c r="G453">
        <f>IF(HeartData[[#This Row],[chol]]&gt;$P$3, 1, 0)</f>
        <v>1</v>
      </c>
      <c r="H453">
        <f>IF(HeartData[[#This Row],[trestbps]]&gt;$P$4, 1, 0)</f>
        <v>1</v>
      </c>
      <c r="I453">
        <f>IF(HeartData[[#This Row],[oldpeak]]&gt;$P$5,1,0)</f>
        <v>0</v>
      </c>
      <c r="J453">
        <f>IF(HeartData[[#This Row],[exang]]="TRUE",1,0)</f>
        <v>0</v>
      </c>
      <c r="K453">
        <f>IF(HeartData[[#This Row],[fbs]]="TRUE",1,0)</f>
        <v>0</v>
      </c>
      <c r="L453">
        <f>IF(HeartData[[#This Row],[ca]]&gt;0,1,0)</f>
        <v>0</v>
      </c>
      <c r="M453">
        <f t="shared" si="22"/>
        <v>2</v>
      </c>
      <c r="N453">
        <f t="shared" si="23"/>
        <v>0</v>
      </c>
    </row>
    <row r="454" spans="1:14" x14ac:dyDescent="0.3">
      <c r="A454">
        <f>HeartData[[#This Row],[id]]</f>
        <v>453</v>
      </c>
      <c r="B454" s="4">
        <f>HeartData[[#This Row],[age]]</f>
        <v>54</v>
      </c>
      <c r="C454" t="str">
        <f>HeartData[[#This Row],[sex]]</f>
        <v>Male</v>
      </c>
      <c r="D454" t="str">
        <f t="shared" si="21"/>
        <v>45-54</v>
      </c>
      <c r="E454" t="str">
        <f>HeartData[[#This Row],[cp]]</f>
        <v>atypical angina</v>
      </c>
      <c r="F454" t="str">
        <f>IF(HeartData[[#This Row],[num]]&gt;0, "Diseased", "Healthy")</f>
        <v>Healthy</v>
      </c>
      <c r="G454">
        <f>IF(HeartData[[#This Row],[chol]]&gt;$P$3, 1, 0)</f>
        <v>1</v>
      </c>
      <c r="H454">
        <f>IF(HeartData[[#This Row],[trestbps]]&gt;$P$4, 1, 0)</f>
        <v>1</v>
      </c>
      <c r="I454">
        <f>IF(HeartData[[#This Row],[oldpeak]]&gt;$P$5,1,0)</f>
        <v>0</v>
      </c>
      <c r="J454">
        <f>IF(HeartData[[#This Row],[exang]]="TRUE",1,0)</f>
        <v>0</v>
      </c>
      <c r="K454">
        <f>IF(HeartData[[#This Row],[fbs]]="TRUE",1,0)</f>
        <v>0</v>
      </c>
      <c r="L454">
        <f>IF(HeartData[[#This Row],[ca]]&gt;0,1,0)</f>
        <v>0</v>
      </c>
      <c r="M454">
        <f t="shared" si="22"/>
        <v>2</v>
      </c>
      <c r="N454">
        <f t="shared" si="23"/>
        <v>0</v>
      </c>
    </row>
    <row r="455" spans="1:14" x14ac:dyDescent="0.3">
      <c r="A455">
        <f>HeartData[[#This Row],[id]]</f>
        <v>454</v>
      </c>
      <c r="B455" s="4">
        <f>HeartData[[#This Row],[age]]</f>
        <v>54</v>
      </c>
      <c r="C455" t="str">
        <f>HeartData[[#This Row],[sex]]</f>
        <v>Male</v>
      </c>
      <c r="D455" t="str">
        <f t="shared" si="21"/>
        <v>45-54</v>
      </c>
      <c r="E455" t="str">
        <f>HeartData[[#This Row],[cp]]</f>
        <v>atypical angina</v>
      </c>
      <c r="F455" t="str">
        <f>IF(HeartData[[#This Row],[num]]&gt;0, "Diseased", "Healthy")</f>
        <v>Healthy</v>
      </c>
      <c r="G455">
        <f>IF(HeartData[[#This Row],[chol]]&gt;$P$3, 1, 0)</f>
        <v>1</v>
      </c>
      <c r="H455">
        <f>IF(HeartData[[#This Row],[trestbps]]&gt;$P$4, 1, 0)</f>
        <v>1</v>
      </c>
      <c r="I455">
        <f>IF(HeartData[[#This Row],[oldpeak]]&gt;$P$5,1,0)</f>
        <v>0</v>
      </c>
      <c r="J455">
        <f>IF(HeartData[[#This Row],[exang]]="TRUE",1,0)</f>
        <v>0</v>
      </c>
      <c r="K455">
        <f>IF(HeartData[[#This Row],[fbs]]="TRUE",1,0)</f>
        <v>0</v>
      </c>
      <c r="L455">
        <f>IF(HeartData[[#This Row],[ca]]&gt;0,1,0)</f>
        <v>0</v>
      </c>
      <c r="M455">
        <f t="shared" si="22"/>
        <v>2</v>
      </c>
      <c r="N455">
        <f t="shared" si="23"/>
        <v>0</v>
      </c>
    </row>
    <row r="456" spans="1:14" x14ac:dyDescent="0.3">
      <c r="A456">
        <f>HeartData[[#This Row],[id]]</f>
        <v>455</v>
      </c>
      <c r="B456" s="4">
        <f>HeartData[[#This Row],[age]]</f>
        <v>54</v>
      </c>
      <c r="C456" t="str">
        <f>HeartData[[#This Row],[sex]]</f>
        <v>Male</v>
      </c>
      <c r="D456" t="str">
        <f t="shared" si="21"/>
        <v>45-54</v>
      </c>
      <c r="E456" t="str">
        <f>HeartData[[#This Row],[cp]]</f>
        <v>atypical angina</v>
      </c>
      <c r="F456" t="str">
        <f>IF(HeartData[[#This Row],[num]]&gt;0, "Diseased", "Healthy")</f>
        <v>Healthy</v>
      </c>
      <c r="G456">
        <f>IF(HeartData[[#This Row],[chol]]&gt;$P$3, 1, 0)</f>
        <v>1</v>
      </c>
      <c r="H456">
        <f>IF(HeartData[[#This Row],[trestbps]]&gt;$P$4, 1, 0)</f>
        <v>1</v>
      </c>
      <c r="I456">
        <f>IF(HeartData[[#This Row],[oldpeak]]&gt;$P$5,1,0)</f>
        <v>1</v>
      </c>
      <c r="J456">
        <f>IF(HeartData[[#This Row],[exang]]="TRUE",1,0)</f>
        <v>0</v>
      </c>
      <c r="K456">
        <f>IF(HeartData[[#This Row],[fbs]]="TRUE",1,0)</f>
        <v>0</v>
      </c>
      <c r="L456">
        <f>IF(HeartData[[#This Row],[ca]]&gt;0,1,0)</f>
        <v>0</v>
      </c>
      <c r="M456">
        <f t="shared" si="22"/>
        <v>3</v>
      </c>
      <c r="N456">
        <f t="shared" si="23"/>
        <v>0</v>
      </c>
    </row>
    <row r="457" spans="1:14" x14ac:dyDescent="0.3">
      <c r="A457">
        <f>HeartData[[#This Row],[id]]</f>
        <v>456</v>
      </c>
      <c r="B457" s="4">
        <f>HeartData[[#This Row],[age]]</f>
        <v>54</v>
      </c>
      <c r="C457" t="str">
        <f>HeartData[[#This Row],[sex]]</f>
        <v>Male</v>
      </c>
      <c r="D457" t="str">
        <f t="shared" si="21"/>
        <v>45-54</v>
      </c>
      <c r="E457" t="str">
        <f>HeartData[[#This Row],[cp]]</f>
        <v>atypical angina</v>
      </c>
      <c r="F457" t="str">
        <f>IF(HeartData[[#This Row],[num]]&gt;0, "Diseased", "Healthy")</f>
        <v>Healthy</v>
      </c>
      <c r="G457">
        <f>IF(HeartData[[#This Row],[chol]]&gt;$P$3, 1, 0)</f>
        <v>1</v>
      </c>
      <c r="H457">
        <f>IF(HeartData[[#This Row],[trestbps]]&gt;$P$4, 1, 0)</f>
        <v>1</v>
      </c>
      <c r="I457">
        <f>IF(HeartData[[#This Row],[oldpeak]]&gt;$P$5,1,0)</f>
        <v>0</v>
      </c>
      <c r="J457">
        <f>IF(HeartData[[#This Row],[exang]]="TRUE",1,0)</f>
        <v>0</v>
      </c>
      <c r="K457">
        <f>IF(HeartData[[#This Row],[fbs]]="TRUE",1,0)</f>
        <v>0</v>
      </c>
      <c r="L457">
        <f>IF(HeartData[[#This Row],[ca]]&gt;0,1,0)</f>
        <v>0</v>
      </c>
      <c r="M457">
        <f t="shared" si="22"/>
        <v>2</v>
      </c>
      <c r="N457">
        <f t="shared" si="23"/>
        <v>0</v>
      </c>
    </row>
    <row r="458" spans="1:14" x14ac:dyDescent="0.3">
      <c r="A458">
        <f>HeartData[[#This Row],[id]]</f>
        <v>457</v>
      </c>
      <c r="B458" s="4">
        <f>HeartData[[#This Row],[age]]</f>
        <v>54</v>
      </c>
      <c r="C458" t="str">
        <f>HeartData[[#This Row],[sex]]</f>
        <v>Male</v>
      </c>
      <c r="D458" t="str">
        <f t="shared" si="21"/>
        <v>45-54</v>
      </c>
      <c r="E458" t="str">
        <f>HeartData[[#This Row],[cp]]</f>
        <v>non-anginal</v>
      </c>
      <c r="F458" t="str">
        <f>IF(HeartData[[#This Row],[num]]&gt;0, "Diseased", "Healthy")</f>
        <v>Healthy</v>
      </c>
      <c r="G458">
        <f>IF(HeartData[[#This Row],[chol]]&gt;$P$3, 1, 0)</f>
        <v>1</v>
      </c>
      <c r="H458">
        <f>IF(HeartData[[#This Row],[trestbps]]&gt;$P$4, 1, 0)</f>
        <v>1</v>
      </c>
      <c r="I458">
        <f>IF(HeartData[[#This Row],[oldpeak]]&gt;$P$5,1,0)</f>
        <v>0</v>
      </c>
      <c r="J458">
        <f>IF(HeartData[[#This Row],[exang]]="TRUE",1,0)</f>
        <v>0</v>
      </c>
      <c r="K458">
        <f>IF(HeartData[[#This Row],[fbs]]="TRUE",1,0)</f>
        <v>0</v>
      </c>
      <c r="L458">
        <f>IF(HeartData[[#This Row],[ca]]&gt;0,1,0)</f>
        <v>0</v>
      </c>
      <c r="M458">
        <f t="shared" si="22"/>
        <v>2</v>
      </c>
      <c r="N458">
        <f t="shared" si="23"/>
        <v>0</v>
      </c>
    </row>
    <row r="459" spans="1:14" x14ac:dyDescent="0.3">
      <c r="A459">
        <f>HeartData[[#This Row],[id]]</f>
        <v>458</v>
      </c>
      <c r="B459" s="4">
        <f>HeartData[[#This Row],[age]]</f>
        <v>54</v>
      </c>
      <c r="C459" t="str">
        <f>HeartData[[#This Row],[sex]]</f>
        <v>Male</v>
      </c>
      <c r="D459" t="str">
        <f t="shared" si="21"/>
        <v>45-54</v>
      </c>
      <c r="E459" t="str">
        <f>HeartData[[#This Row],[cp]]</f>
        <v>non-anginal</v>
      </c>
      <c r="F459" t="str">
        <f>IF(HeartData[[#This Row],[num]]&gt;0, "Diseased", "Healthy")</f>
        <v>Healthy</v>
      </c>
      <c r="G459">
        <f>IF(HeartData[[#This Row],[chol]]&gt;$P$3, 1, 0)</f>
        <v>0</v>
      </c>
      <c r="H459">
        <f>IF(HeartData[[#This Row],[trestbps]]&gt;$P$4, 1, 0)</f>
        <v>1</v>
      </c>
      <c r="I459">
        <f>IF(HeartData[[#This Row],[oldpeak]]&gt;$P$5,1,0)</f>
        <v>0</v>
      </c>
      <c r="J459">
        <f>IF(HeartData[[#This Row],[exang]]="TRUE",1,0)</f>
        <v>0</v>
      </c>
      <c r="K459">
        <f>IF(HeartData[[#This Row],[fbs]]="TRUE",1,0)</f>
        <v>0</v>
      </c>
      <c r="L459">
        <f>IF(HeartData[[#This Row],[ca]]&gt;0,1,0)</f>
        <v>0</v>
      </c>
      <c r="M459">
        <f t="shared" si="22"/>
        <v>1</v>
      </c>
      <c r="N459">
        <f t="shared" si="23"/>
        <v>0</v>
      </c>
    </row>
    <row r="460" spans="1:14" x14ac:dyDescent="0.3">
      <c r="A460">
        <f>HeartData[[#This Row],[id]]</f>
        <v>459</v>
      </c>
      <c r="B460" s="4">
        <f>HeartData[[#This Row],[age]]</f>
        <v>54</v>
      </c>
      <c r="C460" t="str">
        <f>HeartData[[#This Row],[sex]]</f>
        <v>Male</v>
      </c>
      <c r="D460" t="str">
        <f t="shared" si="21"/>
        <v>45-54</v>
      </c>
      <c r="E460" t="str">
        <f>HeartData[[#This Row],[cp]]</f>
        <v>asymptomatic</v>
      </c>
      <c r="F460" t="str">
        <f>IF(HeartData[[#This Row],[num]]&gt;0, "Diseased", "Healthy")</f>
        <v>Healthy</v>
      </c>
      <c r="G460">
        <f>IF(HeartData[[#This Row],[chol]]&gt;$P$3, 1, 0)</f>
        <v>1</v>
      </c>
      <c r="H460">
        <f>IF(HeartData[[#This Row],[trestbps]]&gt;$P$4, 1, 0)</f>
        <v>1</v>
      </c>
      <c r="I460">
        <f>IF(HeartData[[#This Row],[oldpeak]]&gt;$P$5,1,0)</f>
        <v>1</v>
      </c>
      <c r="J460">
        <f>IF(HeartData[[#This Row],[exang]]="TRUE",1,0)</f>
        <v>0</v>
      </c>
      <c r="K460">
        <f>IF(HeartData[[#This Row],[fbs]]="TRUE",1,0)</f>
        <v>0</v>
      </c>
      <c r="L460">
        <f>IF(HeartData[[#This Row],[ca]]&gt;0,1,0)</f>
        <v>0</v>
      </c>
      <c r="M460">
        <f t="shared" si="22"/>
        <v>3</v>
      </c>
      <c r="N460">
        <f t="shared" si="23"/>
        <v>0</v>
      </c>
    </row>
    <row r="461" spans="1:14" x14ac:dyDescent="0.3">
      <c r="A461">
        <f>HeartData[[#This Row],[id]]</f>
        <v>460</v>
      </c>
      <c r="B461" s="4">
        <f>HeartData[[#This Row],[age]]</f>
        <v>55</v>
      </c>
      <c r="C461" t="str">
        <f>HeartData[[#This Row],[sex]]</f>
        <v>Female</v>
      </c>
      <c r="D461" t="str">
        <f t="shared" si="21"/>
        <v>55-64</v>
      </c>
      <c r="E461" t="str">
        <f>HeartData[[#This Row],[cp]]</f>
        <v>atypical angina</v>
      </c>
      <c r="F461" t="str">
        <f>IF(HeartData[[#This Row],[num]]&gt;0, "Diseased", "Healthy")</f>
        <v>Healthy</v>
      </c>
      <c r="G461">
        <f>IF(HeartData[[#This Row],[chol]]&gt;$P$3, 1, 0)</f>
        <v>1</v>
      </c>
      <c r="H461">
        <f>IF(HeartData[[#This Row],[trestbps]]&gt;$P$4, 1, 0)</f>
        <v>1</v>
      </c>
      <c r="I461">
        <f>IF(HeartData[[#This Row],[oldpeak]]&gt;$P$5,1,0)</f>
        <v>0</v>
      </c>
      <c r="J461">
        <f>IF(HeartData[[#This Row],[exang]]="TRUE",1,0)</f>
        <v>0</v>
      </c>
      <c r="K461">
        <f>IF(HeartData[[#This Row],[fbs]]="TRUE",1,0)</f>
        <v>0</v>
      </c>
      <c r="L461">
        <f>IF(HeartData[[#This Row],[ca]]&gt;0,1,0)</f>
        <v>0</v>
      </c>
      <c r="M461">
        <f t="shared" si="22"/>
        <v>2</v>
      </c>
      <c r="N461">
        <f t="shared" si="23"/>
        <v>0</v>
      </c>
    </row>
    <row r="462" spans="1:14" x14ac:dyDescent="0.3">
      <c r="A462">
        <f>HeartData[[#This Row],[id]]</f>
        <v>461</v>
      </c>
      <c r="B462" s="4">
        <f>HeartData[[#This Row],[age]]</f>
        <v>55</v>
      </c>
      <c r="C462" t="str">
        <f>HeartData[[#This Row],[sex]]</f>
        <v>Female</v>
      </c>
      <c r="D462" t="str">
        <f t="shared" si="21"/>
        <v>55-64</v>
      </c>
      <c r="E462" t="str">
        <f>HeartData[[#This Row],[cp]]</f>
        <v>atypical angina</v>
      </c>
      <c r="F462" t="str">
        <f>IF(HeartData[[#This Row],[num]]&gt;0, "Diseased", "Healthy")</f>
        <v>Healthy</v>
      </c>
      <c r="G462">
        <f>IF(HeartData[[#This Row],[chol]]&gt;$P$3, 1, 0)</f>
        <v>1</v>
      </c>
      <c r="H462">
        <f>IF(HeartData[[#This Row],[trestbps]]&gt;$P$4, 1, 0)</f>
        <v>1</v>
      </c>
      <c r="I462">
        <f>IF(HeartData[[#This Row],[oldpeak]]&gt;$P$5,1,0)</f>
        <v>0</v>
      </c>
      <c r="J462">
        <f>IF(HeartData[[#This Row],[exang]]="TRUE",1,0)</f>
        <v>0</v>
      </c>
      <c r="K462">
        <f>IF(HeartData[[#This Row],[fbs]]="TRUE",1,0)</f>
        <v>0</v>
      </c>
      <c r="L462">
        <f>IF(HeartData[[#This Row],[ca]]&gt;0,1,0)</f>
        <v>0</v>
      </c>
      <c r="M462">
        <f t="shared" si="22"/>
        <v>2</v>
      </c>
      <c r="N462">
        <f t="shared" si="23"/>
        <v>0</v>
      </c>
    </row>
    <row r="463" spans="1:14" x14ac:dyDescent="0.3">
      <c r="A463">
        <f>HeartData[[#This Row],[id]]</f>
        <v>462</v>
      </c>
      <c r="B463" s="4">
        <f>HeartData[[#This Row],[age]]</f>
        <v>55</v>
      </c>
      <c r="C463" t="str">
        <f>HeartData[[#This Row],[sex]]</f>
        <v>Female</v>
      </c>
      <c r="D463" t="str">
        <f t="shared" si="21"/>
        <v>55-64</v>
      </c>
      <c r="E463" t="str">
        <f>HeartData[[#This Row],[cp]]</f>
        <v>atypical angina</v>
      </c>
      <c r="F463" t="str">
        <f>IF(HeartData[[#This Row],[num]]&gt;0, "Diseased", "Healthy")</f>
        <v>Healthy</v>
      </c>
      <c r="G463">
        <f>IF(HeartData[[#This Row],[chol]]&gt;$P$3, 1, 0)</f>
        <v>1</v>
      </c>
      <c r="H463">
        <f>IF(HeartData[[#This Row],[trestbps]]&gt;$P$4, 1, 0)</f>
        <v>1</v>
      </c>
      <c r="I463">
        <f>IF(HeartData[[#This Row],[oldpeak]]&gt;$P$5,1,0)</f>
        <v>0</v>
      </c>
      <c r="J463">
        <f>IF(HeartData[[#This Row],[exang]]="TRUE",1,0)</f>
        <v>0</v>
      </c>
      <c r="K463">
        <f>IF(HeartData[[#This Row],[fbs]]="TRUE",1,0)</f>
        <v>0</v>
      </c>
      <c r="L463">
        <f>IF(HeartData[[#This Row],[ca]]&gt;0,1,0)</f>
        <v>0</v>
      </c>
      <c r="M463">
        <f t="shared" si="22"/>
        <v>2</v>
      </c>
      <c r="N463">
        <f t="shared" si="23"/>
        <v>0</v>
      </c>
    </row>
    <row r="464" spans="1:14" x14ac:dyDescent="0.3">
      <c r="A464">
        <f>HeartData[[#This Row],[id]]</f>
        <v>463</v>
      </c>
      <c r="B464" s="4">
        <f>HeartData[[#This Row],[age]]</f>
        <v>55</v>
      </c>
      <c r="C464" t="str">
        <f>HeartData[[#This Row],[sex]]</f>
        <v>Male</v>
      </c>
      <c r="D464" t="str">
        <f t="shared" si="21"/>
        <v>55-64</v>
      </c>
      <c r="E464" t="str">
        <f>HeartData[[#This Row],[cp]]</f>
        <v>atypical angina</v>
      </c>
      <c r="F464" t="str">
        <f>IF(HeartData[[#This Row],[num]]&gt;0, "Diseased", "Healthy")</f>
        <v>Healthy</v>
      </c>
      <c r="G464">
        <f>IF(HeartData[[#This Row],[chol]]&gt;$P$3, 1, 0)</f>
        <v>1</v>
      </c>
      <c r="H464">
        <f>IF(HeartData[[#This Row],[trestbps]]&gt;$P$4, 1, 0)</f>
        <v>1</v>
      </c>
      <c r="I464">
        <f>IF(HeartData[[#This Row],[oldpeak]]&gt;$P$5,1,0)</f>
        <v>0</v>
      </c>
      <c r="J464">
        <f>IF(HeartData[[#This Row],[exang]]="TRUE",1,0)</f>
        <v>0</v>
      </c>
      <c r="K464">
        <f>IF(HeartData[[#This Row],[fbs]]="TRUE",1,0)</f>
        <v>1</v>
      </c>
      <c r="L464">
        <f>IF(HeartData[[#This Row],[ca]]&gt;0,1,0)</f>
        <v>0</v>
      </c>
      <c r="M464">
        <f t="shared" si="22"/>
        <v>3</v>
      </c>
      <c r="N464">
        <f t="shared" si="23"/>
        <v>0</v>
      </c>
    </row>
    <row r="465" spans="1:14" x14ac:dyDescent="0.3">
      <c r="A465">
        <f>HeartData[[#This Row],[id]]</f>
        <v>464</v>
      </c>
      <c r="B465" s="4">
        <f>HeartData[[#This Row],[age]]</f>
        <v>55</v>
      </c>
      <c r="C465" t="str">
        <f>HeartData[[#This Row],[sex]]</f>
        <v>Male</v>
      </c>
      <c r="D465" t="str">
        <f t="shared" si="21"/>
        <v>55-64</v>
      </c>
      <c r="E465" t="str">
        <f>HeartData[[#This Row],[cp]]</f>
        <v>atypical angina</v>
      </c>
      <c r="F465" t="str">
        <f>IF(HeartData[[#This Row],[num]]&gt;0, "Diseased", "Healthy")</f>
        <v>Healthy</v>
      </c>
      <c r="G465">
        <f>IF(HeartData[[#This Row],[chol]]&gt;$P$3, 1, 0)</f>
        <v>1</v>
      </c>
      <c r="H465">
        <f>IF(HeartData[[#This Row],[trestbps]]&gt;$P$4, 1, 0)</f>
        <v>1</v>
      </c>
      <c r="I465">
        <f>IF(HeartData[[#This Row],[oldpeak]]&gt;$P$5,1,0)</f>
        <v>0</v>
      </c>
      <c r="J465">
        <f>IF(HeartData[[#This Row],[exang]]="TRUE",1,0)</f>
        <v>0</v>
      </c>
      <c r="K465">
        <f>IF(HeartData[[#This Row],[fbs]]="TRUE",1,0)</f>
        <v>0</v>
      </c>
      <c r="L465">
        <f>IF(HeartData[[#This Row],[ca]]&gt;0,1,0)</f>
        <v>0</v>
      </c>
      <c r="M465">
        <f t="shared" si="22"/>
        <v>2</v>
      </c>
      <c r="N465">
        <f t="shared" si="23"/>
        <v>0</v>
      </c>
    </row>
    <row r="466" spans="1:14" x14ac:dyDescent="0.3">
      <c r="A466">
        <f>HeartData[[#This Row],[id]]</f>
        <v>465</v>
      </c>
      <c r="B466" s="4">
        <f>HeartData[[#This Row],[age]]</f>
        <v>55</v>
      </c>
      <c r="C466" t="str">
        <f>HeartData[[#This Row],[sex]]</f>
        <v>Male</v>
      </c>
      <c r="D466" t="str">
        <f t="shared" si="21"/>
        <v>55-64</v>
      </c>
      <c r="E466" t="str">
        <f>HeartData[[#This Row],[cp]]</f>
        <v>atypical angina</v>
      </c>
      <c r="F466" t="str">
        <f>IF(HeartData[[#This Row],[num]]&gt;0, "Diseased", "Healthy")</f>
        <v>Healthy</v>
      </c>
      <c r="G466">
        <f>IF(HeartData[[#This Row],[chol]]&gt;$P$3, 1, 0)</f>
        <v>1</v>
      </c>
      <c r="H466">
        <f>IF(HeartData[[#This Row],[trestbps]]&gt;$P$4, 1, 0)</f>
        <v>1</v>
      </c>
      <c r="I466">
        <f>IF(HeartData[[#This Row],[oldpeak]]&gt;$P$5,1,0)</f>
        <v>0</v>
      </c>
      <c r="J466">
        <f>IF(HeartData[[#This Row],[exang]]="TRUE",1,0)</f>
        <v>0</v>
      </c>
      <c r="K466">
        <f>IF(HeartData[[#This Row],[fbs]]="TRUE",1,0)</f>
        <v>0</v>
      </c>
      <c r="L466">
        <f>IF(HeartData[[#This Row],[ca]]&gt;0,1,0)</f>
        <v>0</v>
      </c>
      <c r="M466">
        <f t="shared" si="22"/>
        <v>2</v>
      </c>
      <c r="N466">
        <f t="shared" si="23"/>
        <v>0</v>
      </c>
    </row>
    <row r="467" spans="1:14" x14ac:dyDescent="0.3">
      <c r="A467">
        <f>HeartData[[#This Row],[id]]</f>
        <v>466</v>
      </c>
      <c r="B467" s="4">
        <f>HeartData[[#This Row],[age]]</f>
        <v>55</v>
      </c>
      <c r="C467" t="str">
        <f>HeartData[[#This Row],[sex]]</f>
        <v>Male</v>
      </c>
      <c r="D467" t="str">
        <f t="shared" si="21"/>
        <v>55-64</v>
      </c>
      <c r="E467" t="str">
        <f>HeartData[[#This Row],[cp]]</f>
        <v>non-anginal</v>
      </c>
      <c r="F467" t="str">
        <f>IF(HeartData[[#This Row],[num]]&gt;0, "Diseased", "Healthy")</f>
        <v>Healthy</v>
      </c>
      <c r="G467">
        <f>IF(HeartData[[#This Row],[chol]]&gt;$P$3, 1, 0)</f>
        <v>1</v>
      </c>
      <c r="H467">
        <f>IF(HeartData[[#This Row],[trestbps]]&gt;$P$4, 1, 0)</f>
        <v>1</v>
      </c>
      <c r="I467">
        <f>IF(HeartData[[#This Row],[oldpeak]]&gt;$P$5,1,0)</f>
        <v>0</v>
      </c>
      <c r="J467">
        <f>IF(HeartData[[#This Row],[exang]]="TRUE",1,0)</f>
        <v>0</v>
      </c>
      <c r="K467">
        <f>IF(HeartData[[#This Row],[fbs]]="TRUE",1,0)</f>
        <v>0</v>
      </c>
      <c r="L467">
        <f>IF(HeartData[[#This Row],[ca]]&gt;0,1,0)</f>
        <v>0</v>
      </c>
      <c r="M467">
        <f t="shared" si="22"/>
        <v>2</v>
      </c>
      <c r="N467">
        <f t="shared" si="23"/>
        <v>0</v>
      </c>
    </row>
    <row r="468" spans="1:14" x14ac:dyDescent="0.3">
      <c r="A468">
        <f>HeartData[[#This Row],[id]]</f>
        <v>467</v>
      </c>
      <c r="B468" s="4">
        <f>HeartData[[#This Row],[age]]</f>
        <v>55</v>
      </c>
      <c r="C468" t="str">
        <f>HeartData[[#This Row],[sex]]</f>
        <v>Male</v>
      </c>
      <c r="D468" t="str">
        <f t="shared" si="21"/>
        <v>55-64</v>
      </c>
      <c r="E468" t="str">
        <f>HeartData[[#This Row],[cp]]</f>
        <v>non-anginal</v>
      </c>
      <c r="F468" t="str">
        <f>IF(HeartData[[#This Row],[num]]&gt;0, "Diseased", "Healthy")</f>
        <v>Healthy</v>
      </c>
      <c r="G468">
        <f>IF(HeartData[[#This Row],[chol]]&gt;$P$3, 1, 0)</f>
        <v>1</v>
      </c>
      <c r="H468">
        <f>IF(HeartData[[#This Row],[trestbps]]&gt;$P$4, 1, 0)</f>
        <v>1</v>
      </c>
      <c r="I468">
        <f>IF(HeartData[[#This Row],[oldpeak]]&gt;$P$5,1,0)</f>
        <v>0</v>
      </c>
      <c r="J468">
        <f>IF(HeartData[[#This Row],[exang]]="TRUE",1,0)</f>
        <v>0</v>
      </c>
      <c r="K468">
        <f>IF(HeartData[[#This Row],[fbs]]="TRUE",1,0)</f>
        <v>0</v>
      </c>
      <c r="L468">
        <f>IF(HeartData[[#This Row],[ca]]&gt;0,1,0)</f>
        <v>0</v>
      </c>
      <c r="M468">
        <f t="shared" si="22"/>
        <v>2</v>
      </c>
      <c r="N468">
        <f t="shared" si="23"/>
        <v>0</v>
      </c>
    </row>
    <row r="469" spans="1:14" x14ac:dyDescent="0.3">
      <c r="A469">
        <f>HeartData[[#This Row],[id]]</f>
        <v>468</v>
      </c>
      <c r="B469" s="4">
        <f>HeartData[[#This Row],[age]]</f>
        <v>55</v>
      </c>
      <c r="C469" t="str">
        <f>HeartData[[#This Row],[sex]]</f>
        <v>Male</v>
      </c>
      <c r="D469" t="str">
        <f t="shared" si="21"/>
        <v>55-64</v>
      </c>
      <c r="E469" t="str">
        <f>HeartData[[#This Row],[cp]]</f>
        <v>asymptomatic</v>
      </c>
      <c r="F469" t="str">
        <f>IF(HeartData[[#This Row],[num]]&gt;0, "Diseased", "Healthy")</f>
        <v>Healthy</v>
      </c>
      <c r="G469">
        <f>IF(HeartData[[#This Row],[chol]]&gt;$P$3, 1, 0)</f>
        <v>1</v>
      </c>
      <c r="H469">
        <f>IF(HeartData[[#This Row],[trestbps]]&gt;$P$4, 1, 0)</f>
        <v>1</v>
      </c>
      <c r="I469">
        <f>IF(HeartData[[#This Row],[oldpeak]]&gt;$P$5,1,0)</f>
        <v>0</v>
      </c>
      <c r="J469">
        <f>IF(HeartData[[#This Row],[exang]]="TRUE",1,0)</f>
        <v>0</v>
      </c>
      <c r="K469">
        <f>IF(HeartData[[#This Row],[fbs]]="TRUE",1,0)</f>
        <v>0</v>
      </c>
      <c r="L469">
        <f>IF(HeartData[[#This Row],[ca]]&gt;0,1,0)</f>
        <v>0</v>
      </c>
      <c r="M469">
        <f t="shared" si="22"/>
        <v>2</v>
      </c>
      <c r="N469">
        <f t="shared" si="23"/>
        <v>0</v>
      </c>
    </row>
    <row r="470" spans="1:14" x14ac:dyDescent="0.3">
      <c r="A470">
        <f>HeartData[[#This Row],[id]]</f>
        <v>469</v>
      </c>
      <c r="B470" s="4">
        <f>HeartData[[#This Row],[age]]</f>
        <v>55</v>
      </c>
      <c r="C470" t="str">
        <f>HeartData[[#This Row],[sex]]</f>
        <v>Male</v>
      </c>
      <c r="D470" t="str">
        <f t="shared" si="21"/>
        <v>55-64</v>
      </c>
      <c r="E470" t="str">
        <f>HeartData[[#This Row],[cp]]</f>
        <v>asymptomatic</v>
      </c>
      <c r="F470" t="str">
        <f>IF(HeartData[[#This Row],[num]]&gt;0, "Diseased", "Healthy")</f>
        <v>Healthy</v>
      </c>
      <c r="G470">
        <f>IF(HeartData[[#This Row],[chol]]&gt;$P$3, 1, 0)</f>
        <v>1</v>
      </c>
      <c r="H470">
        <f>IF(HeartData[[#This Row],[trestbps]]&gt;$P$4, 1, 0)</f>
        <v>1</v>
      </c>
      <c r="I470">
        <f>IF(HeartData[[#This Row],[oldpeak]]&gt;$P$5,1,0)</f>
        <v>1</v>
      </c>
      <c r="J470">
        <f>IF(HeartData[[#This Row],[exang]]="TRUE",1,0)</f>
        <v>1</v>
      </c>
      <c r="K470">
        <f>IF(HeartData[[#This Row],[fbs]]="TRUE",1,0)</f>
        <v>0</v>
      </c>
      <c r="L470">
        <f>IF(HeartData[[#This Row],[ca]]&gt;0,1,0)</f>
        <v>0</v>
      </c>
      <c r="M470">
        <f t="shared" si="22"/>
        <v>4</v>
      </c>
      <c r="N470">
        <f t="shared" si="23"/>
        <v>0</v>
      </c>
    </row>
    <row r="471" spans="1:14" x14ac:dyDescent="0.3">
      <c r="A471">
        <f>HeartData[[#This Row],[id]]</f>
        <v>470</v>
      </c>
      <c r="B471" s="4">
        <f>HeartData[[#This Row],[age]]</f>
        <v>56</v>
      </c>
      <c r="C471" t="str">
        <f>HeartData[[#This Row],[sex]]</f>
        <v>Female</v>
      </c>
      <c r="D471" t="str">
        <f t="shared" si="21"/>
        <v>55-64</v>
      </c>
      <c r="E471" t="str">
        <f>HeartData[[#This Row],[cp]]</f>
        <v>non-anginal</v>
      </c>
      <c r="F471" t="str">
        <f>IF(HeartData[[#This Row],[num]]&gt;0, "Diseased", "Healthy")</f>
        <v>Healthy</v>
      </c>
      <c r="G471">
        <f>IF(HeartData[[#This Row],[chol]]&gt;$P$3, 1, 0)</f>
        <v>1</v>
      </c>
      <c r="H471">
        <f>IF(HeartData[[#This Row],[trestbps]]&gt;$P$4, 1, 0)</f>
        <v>1</v>
      </c>
      <c r="I471">
        <f>IF(HeartData[[#This Row],[oldpeak]]&gt;$P$5,1,0)</f>
        <v>0</v>
      </c>
      <c r="J471">
        <f>IF(HeartData[[#This Row],[exang]]="TRUE",1,0)</f>
        <v>0</v>
      </c>
      <c r="K471">
        <f>IF(HeartData[[#This Row],[fbs]]="TRUE",1,0)</f>
        <v>0</v>
      </c>
      <c r="L471">
        <f>IF(HeartData[[#This Row],[ca]]&gt;0,1,0)</f>
        <v>0</v>
      </c>
      <c r="M471">
        <f t="shared" si="22"/>
        <v>2</v>
      </c>
      <c r="N471">
        <f t="shared" si="23"/>
        <v>0</v>
      </c>
    </row>
    <row r="472" spans="1:14" x14ac:dyDescent="0.3">
      <c r="A472">
        <f>HeartData[[#This Row],[id]]</f>
        <v>471</v>
      </c>
      <c r="B472" s="4">
        <f>HeartData[[#This Row],[age]]</f>
        <v>56</v>
      </c>
      <c r="C472" t="str">
        <f>HeartData[[#This Row],[sex]]</f>
        <v>Male</v>
      </c>
      <c r="D472" t="str">
        <f t="shared" si="21"/>
        <v>55-64</v>
      </c>
      <c r="E472" t="str">
        <f>HeartData[[#This Row],[cp]]</f>
        <v>atypical angina</v>
      </c>
      <c r="F472" t="str">
        <f>IF(HeartData[[#This Row],[num]]&gt;0, "Diseased", "Healthy")</f>
        <v>Healthy</v>
      </c>
      <c r="G472">
        <f>IF(HeartData[[#This Row],[chol]]&gt;$P$3, 1, 0)</f>
        <v>1</v>
      </c>
      <c r="H472">
        <f>IF(HeartData[[#This Row],[trestbps]]&gt;$P$4, 1, 0)</f>
        <v>1</v>
      </c>
      <c r="I472">
        <f>IF(HeartData[[#This Row],[oldpeak]]&gt;$P$5,1,0)</f>
        <v>0</v>
      </c>
      <c r="J472">
        <f>IF(HeartData[[#This Row],[exang]]="TRUE",1,0)</f>
        <v>0</v>
      </c>
      <c r="K472">
        <f>IF(HeartData[[#This Row],[fbs]]="TRUE",1,0)</f>
        <v>0</v>
      </c>
      <c r="L472">
        <f>IF(HeartData[[#This Row],[ca]]&gt;0,1,0)</f>
        <v>0</v>
      </c>
      <c r="M472">
        <f t="shared" si="22"/>
        <v>2</v>
      </c>
      <c r="N472">
        <f t="shared" si="23"/>
        <v>0</v>
      </c>
    </row>
    <row r="473" spans="1:14" x14ac:dyDescent="0.3">
      <c r="A473">
        <f>HeartData[[#This Row],[id]]</f>
        <v>472</v>
      </c>
      <c r="B473" s="4">
        <f>HeartData[[#This Row],[age]]</f>
        <v>56</v>
      </c>
      <c r="C473" t="str">
        <f>HeartData[[#This Row],[sex]]</f>
        <v>Male</v>
      </c>
      <c r="D473" t="str">
        <f t="shared" si="21"/>
        <v>55-64</v>
      </c>
      <c r="E473" t="str">
        <f>HeartData[[#This Row],[cp]]</f>
        <v>non-anginal</v>
      </c>
      <c r="F473" t="str">
        <f>IF(HeartData[[#This Row],[num]]&gt;0, "Diseased", "Healthy")</f>
        <v>Healthy</v>
      </c>
      <c r="G473">
        <f>IF(HeartData[[#This Row],[chol]]&gt;$P$3, 1, 0)</f>
        <v>0</v>
      </c>
      <c r="H473">
        <f>IF(HeartData[[#This Row],[trestbps]]&gt;$P$4, 1, 0)</f>
        <v>1</v>
      </c>
      <c r="I473">
        <f>IF(HeartData[[#This Row],[oldpeak]]&gt;$P$5,1,0)</f>
        <v>0</v>
      </c>
      <c r="J473">
        <f>IF(HeartData[[#This Row],[exang]]="TRUE",1,0)</f>
        <v>0</v>
      </c>
      <c r="K473">
        <f>IF(HeartData[[#This Row],[fbs]]="TRUE",1,0)</f>
        <v>0</v>
      </c>
      <c r="L473">
        <f>IF(HeartData[[#This Row],[ca]]&gt;0,1,0)</f>
        <v>0</v>
      </c>
      <c r="M473">
        <f t="shared" si="22"/>
        <v>1</v>
      </c>
      <c r="N473">
        <f t="shared" si="23"/>
        <v>0</v>
      </c>
    </row>
    <row r="474" spans="1:14" x14ac:dyDescent="0.3">
      <c r="A474">
        <f>HeartData[[#This Row],[id]]</f>
        <v>473</v>
      </c>
      <c r="B474" s="4">
        <f>HeartData[[#This Row],[age]]</f>
        <v>56</v>
      </c>
      <c r="C474" t="str">
        <f>HeartData[[#This Row],[sex]]</f>
        <v>Male</v>
      </c>
      <c r="D474" t="str">
        <f t="shared" si="21"/>
        <v>55-64</v>
      </c>
      <c r="E474" t="str">
        <f>HeartData[[#This Row],[cp]]</f>
        <v>non-anginal</v>
      </c>
      <c r="F474" t="str">
        <f>IF(HeartData[[#This Row],[num]]&gt;0, "Diseased", "Healthy")</f>
        <v>Healthy</v>
      </c>
      <c r="G474">
        <f>IF(HeartData[[#This Row],[chol]]&gt;$P$3, 1, 0)</f>
        <v>1</v>
      </c>
      <c r="H474">
        <f>IF(HeartData[[#This Row],[trestbps]]&gt;$P$4, 1, 0)</f>
        <v>1</v>
      </c>
      <c r="I474">
        <f>IF(HeartData[[#This Row],[oldpeak]]&gt;$P$5,1,0)</f>
        <v>1</v>
      </c>
      <c r="J474">
        <f>IF(HeartData[[#This Row],[exang]]="TRUE",1,0)</f>
        <v>1</v>
      </c>
      <c r="K474">
        <f>IF(HeartData[[#This Row],[fbs]]="TRUE",1,0)</f>
        <v>0</v>
      </c>
      <c r="L474">
        <f>IF(HeartData[[#This Row],[ca]]&gt;0,1,0)</f>
        <v>0</v>
      </c>
      <c r="M474">
        <f t="shared" si="22"/>
        <v>4</v>
      </c>
      <c r="N474">
        <f t="shared" si="23"/>
        <v>0</v>
      </c>
    </row>
    <row r="475" spans="1:14" x14ac:dyDescent="0.3">
      <c r="A475">
        <f>HeartData[[#This Row],[id]]</f>
        <v>474</v>
      </c>
      <c r="B475" s="4">
        <f>HeartData[[#This Row],[age]]</f>
        <v>56</v>
      </c>
      <c r="C475" t="str">
        <f>HeartData[[#This Row],[sex]]</f>
        <v>Male</v>
      </c>
      <c r="D475" t="str">
        <f t="shared" si="21"/>
        <v>55-64</v>
      </c>
      <c r="E475" t="str">
        <f>HeartData[[#This Row],[cp]]</f>
        <v>asymptomatic</v>
      </c>
      <c r="F475" t="str">
        <f>IF(HeartData[[#This Row],[num]]&gt;0, "Diseased", "Healthy")</f>
        <v>Healthy</v>
      </c>
      <c r="G475">
        <f>IF(HeartData[[#This Row],[chol]]&gt;$P$3, 1, 0)</f>
        <v>1</v>
      </c>
      <c r="H475">
        <f>IF(HeartData[[#This Row],[trestbps]]&gt;$P$4, 1, 0)</f>
        <v>1</v>
      </c>
      <c r="I475">
        <f>IF(HeartData[[#This Row],[oldpeak]]&gt;$P$5,1,0)</f>
        <v>0</v>
      </c>
      <c r="J475">
        <f>IF(HeartData[[#This Row],[exang]]="TRUE",1,0)</f>
        <v>0</v>
      </c>
      <c r="K475">
        <f>IF(HeartData[[#This Row],[fbs]]="TRUE",1,0)</f>
        <v>0</v>
      </c>
      <c r="L475">
        <f>IF(HeartData[[#This Row],[ca]]&gt;0,1,0)</f>
        <v>0</v>
      </c>
      <c r="M475">
        <f t="shared" si="22"/>
        <v>2</v>
      </c>
      <c r="N475">
        <f t="shared" si="23"/>
        <v>0</v>
      </c>
    </row>
    <row r="476" spans="1:14" x14ac:dyDescent="0.3">
      <c r="A476">
        <f>HeartData[[#This Row],[id]]</f>
        <v>475</v>
      </c>
      <c r="B476" s="4">
        <f>HeartData[[#This Row],[age]]</f>
        <v>57</v>
      </c>
      <c r="C476" t="str">
        <f>HeartData[[#This Row],[sex]]</f>
        <v>Female</v>
      </c>
      <c r="D476" t="str">
        <f t="shared" si="21"/>
        <v>55-64</v>
      </c>
      <c r="E476" t="str">
        <f>HeartData[[#This Row],[cp]]</f>
        <v>typical angina</v>
      </c>
      <c r="F476" t="str">
        <f>IF(HeartData[[#This Row],[num]]&gt;0, "Diseased", "Healthy")</f>
        <v>Healthy</v>
      </c>
      <c r="G476">
        <f>IF(HeartData[[#This Row],[chol]]&gt;$P$3, 1, 0)</f>
        <v>1</v>
      </c>
      <c r="H476">
        <f>IF(HeartData[[#This Row],[trestbps]]&gt;$P$4, 1, 0)</f>
        <v>1</v>
      </c>
      <c r="I476">
        <f>IF(HeartData[[#This Row],[oldpeak]]&gt;$P$5,1,0)</f>
        <v>1</v>
      </c>
      <c r="J476">
        <f>IF(HeartData[[#This Row],[exang]]="TRUE",1,0)</f>
        <v>0</v>
      </c>
      <c r="K476">
        <f>IF(HeartData[[#This Row],[fbs]]="TRUE",1,0)</f>
        <v>0</v>
      </c>
      <c r="L476">
        <f>IF(HeartData[[#This Row],[ca]]&gt;0,1,0)</f>
        <v>0</v>
      </c>
      <c r="M476">
        <f t="shared" si="22"/>
        <v>3</v>
      </c>
      <c r="N476">
        <f t="shared" si="23"/>
        <v>0</v>
      </c>
    </row>
    <row r="477" spans="1:14" x14ac:dyDescent="0.3">
      <c r="A477">
        <f>HeartData[[#This Row],[id]]</f>
        <v>476</v>
      </c>
      <c r="B477" s="4">
        <f>HeartData[[#This Row],[age]]</f>
        <v>57</v>
      </c>
      <c r="C477" t="str">
        <f>HeartData[[#This Row],[sex]]</f>
        <v>Female</v>
      </c>
      <c r="D477" t="str">
        <f t="shared" si="21"/>
        <v>55-64</v>
      </c>
      <c r="E477" t="str">
        <f>HeartData[[#This Row],[cp]]</f>
        <v>asymptomatic</v>
      </c>
      <c r="F477" t="str">
        <f>IF(HeartData[[#This Row],[num]]&gt;0, "Diseased", "Healthy")</f>
        <v>Healthy</v>
      </c>
      <c r="G477">
        <f>IF(HeartData[[#This Row],[chol]]&gt;$P$3, 1, 0)</f>
        <v>1</v>
      </c>
      <c r="H477">
        <f>IF(HeartData[[#This Row],[trestbps]]&gt;$P$4, 1, 0)</f>
        <v>1</v>
      </c>
      <c r="I477">
        <f>IF(HeartData[[#This Row],[oldpeak]]&gt;$P$5,1,0)</f>
        <v>1</v>
      </c>
      <c r="J477">
        <f>IF(HeartData[[#This Row],[exang]]="TRUE",1,0)</f>
        <v>1</v>
      </c>
      <c r="K477">
        <f>IF(HeartData[[#This Row],[fbs]]="TRUE",1,0)</f>
        <v>0</v>
      </c>
      <c r="L477">
        <f>IF(HeartData[[#This Row],[ca]]&gt;0,1,0)</f>
        <v>0</v>
      </c>
      <c r="M477">
        <f t="shared" si="22"/>
        <v>4</v>
      </c>
      <c r="N477">
        <f t="shared" si="23"/>
        <v>0</v>
      </c>
    </row>
    <row r="478" spans="1:14" x14ac:dyDescent="0.3">
      <c r="A478">
        <f>HeartData[[#This Row],[id]]</f>
        <v>477</v>
      </c>
      <c r="B478" s="4">
        <f>HeartData[[#This Row],[age]]</f>
        <v>57</v>
      </c>
      <c r="C478" t="str">
        <f>HeartData[[#This Row],[sex]]</f>
        <v>Male</v>
      </c>
      <c r="D478" t="str">
        <f t="shared" si="21"/>
        <v>55-64</v>
      </c>
      <c r="E478" t="str">
        <f>HeartData[[#This Row],[cp]]</f>
        <v>atypical angina</v>
      </c>
      <c r="F478" t="str">
        <f>IF(HeartData[[#This Row],[num]]&gt;0, "Diseased", "Healthy")</f>
        <v>Healthy</v>
      </c>
      <c r="G478">
        <f>IF(HeartData[[#This Row],[chol]]&gt;$P$3, 1, 0)</f>
        <v>1</v>
      </c>
      <c r="H478">
        <f>IF(HeartData[[#This Row],[trestbps]]&gt;$P$4, 1, 0)</f>
        <v>1</v>
      </c>
      <c r="I478">
        <f>IF(HeartData[[#This Row],[oldpeak]]&gt;$P$5,1,0)</f>
        <v>0</v>
      </c>
      <c r="J478">
        <f>IF(HeartData[[#This Row],[exang]]="TRUE",1,0)</f>
        <v>0</v>
      </c>
      <c r="K478">
        <f>IF(HeartData[[#This Row],[fbs]]="TRUE",1,0)</f>
        <v>1</v>
      </c>
      <c r="L478">
        <f>IF(HeartData[[#This Row],[ca]]&gt;0,1,0)</f>
        <v>0</v>
      </c>
      <c r="M478">
        <f t="shared" si="22"/>
        <v>3</v>
      </c>
      <c r="N478">
        <f t="shared" si="23"/>
        <v>0</v>
      </c>
    </row>
    <row r="479" spans="1:14" x14ac:dyDescent="0.3">
      <c r="A479">
        <f>HeartData[[#This Row],[id]]</f>
        <v>478</v>
      </c>
      <c r="B479" s="4">
        <f>HeartData[[#This Row],[age]]</f>
        <v>58</v>
      </c>
      <c r="C479" t="str">
        <f>HeartData[[#This Row],[sex]]</f>
        <v>Male</v>
      </c>
      <c r="D479" t="str">
        <f t="shared" si="21"/>
        <v>55-64</v>
      </c>
      <c r="E479" t="str">
        <f>HeartData[[#This Row],[cp]]</f>
        <v>atypical angina</v>
      </c>
      <c r="F479" t="str">
        <f>IF(HeartData[[#This Row],[num]]&gt;0, "Diseased", "Healthy")</f>
        <v>Healthy</v>
      </c>
      <c r="G479">
        <f>IF(HeartData[[#This Row],[chol]]&gt;$P$3, 1, 0)</f>
        <v>1</v>
      </c>
      <c r="H479">
        <f>IF(HeartData[[#This Row],[trestbps]]&gt;$P$4, 1, 0)</f>
        <v>1</v>
      </c>
      <c r="I479">
        <f>IF(HeartData[[#This Row],[oldpeak]]&gt;$P$5,1,0)</f>
        <v>0</v>
      </c>
      <c r="J479">
        <f>IF(HeartData[[#This Row],[exang]]="TRUE",1,0)</f>
        <v>0</v>
      </c>
      <c r="K479">
        <f>IF(HeartData[[#This Row],[fbs]]="TRUE",1,0)</f>
        <v>0</v>
      </c>
      <c r="L479">
        <f>IF(HeartData[[#This Row],[ca]]&gt;0,1,0)</f>
        <v>0</v>
      </c>
      <c r="M479">
        <f t="shared" si="22"/>
        <v>2</v>
      </c>
      <c r="N479">
        <f t="shared" si="23"/>
        <v>0</v>
      </c>
    </row>
    <row r="480" spans="1:14" x14ac:dyDescent="0.3">
      <c r="A480">
        <f>HeartData[[#This Row],[id]]</f>
        <v>479</v>
      </c>
      <c r="B480" s="4">
        <f>HeartData[[#This Row],[age]]</f>
        <v>58</v>
      </c>
      <c r="C480" t="str">
        <f>HeartData[[#This Row],[sex]]</f>
        <v>Male</v>
      </c>
      <c r="D480" t="str">
        <f t="shared" si="21"/>
        <v>55-64</v>
      </c>
      <c r="E480" t="str">
        <f>HeartData[[#This Row],[cp]]</f>
        <v>atypical angina</v>
      </c>
      <c r="F480" t="str">
        <f>IF(HeartData[[#This Row],[num]]&gt;0, "Diseased", "Healthy")</f>
        <v>Healthy</v>
      </c>
      <c r="G480">
        <f>IF(HeartData[[#This Row],[chol]]&gt;$P$3, 1, 0)</f>
        <v>1</v>
      </c>
      <c r="H480">
        <f>IF(HeartData[[#This Row],[trestbps]]&gt;$P$4, 1, 0)</f>
        <v>1</v>
      </c>
      <c r="I480">
        <f>IF(HeartData[[#This Row],[oldpeak]]&gt;$P$5,1,0)</f>
        <v>0</v>
      </c>
      <c r="J480">
        <f>IF(HeartData[[#This Row],[exang]]="TRUE",1,0)</f>
        <v>0</v>
      </c>
      <c r="K480">
        <f>IF(HeartData[[#This Row],[fbs]]="TRUE",1,0)</f>
        <v>0</v>
      </c>
      <c r="L480">
        <f>IF(HeartData[[#This Row],[ca]]&gt;0,1,0)</f>
        <v>0</v>
      </c>
      <c r="M480">
        <f t="shared" si="22"/>
        <v>2</v>
      </c>
      <c r="N480">
        <f t="shared" si="23"/>
        <v>0</v>
      </c>
    </row>
    <row r="481" spans="1:14" x14ac:dyDescent="0.3">
      <c r="A481">
        <f>HeartData[[#This Row],[id]]</f>
        <v>480</v>
      </c>
      <c r="B481" s="4">
        <f>HeartData[[#This Row],[age]]</f>
        <v>58</v>
      </c>
      <c r="C481" t="str">
        <f>HeartData[[#This Row],[sex]]</f>
        <v>Male</v>
      </c>
      <c r="D481" t="str">
        <f t="shared" si="21"/>
        <v>55-64</v>
      </c>
      <c r="E481" t="str">
        <f>HeartData[[#This Row],[cp]]</f>
        <v>non-anginal</v>
      </c>
      <c r="F481" t="str">
        <f>IF(HeartData[[#This Row],[num]]&gt;0, "Diseased", "Healthy")</f>
        <v>Healthy</v>
      </c>
      <c r="G481">
        <f>IF(HeartData[[#This Row],[chol]]&gt;$P$3, 1, 0)</f>
        <v>1</v>
      </c>
      <c r="H481">
        <f>IF(HeartData[[#This Row],[trestbps]]&gt;$P$4, 1, 0)</f>
        <v>1</v>
      </c>
      <c r="I481">
        <f>IF(HeartData[[#This Row],[oldpeak]]&gt;$P$5,1,0)</f>
        <v>0</v>
      </c>
      <c r="J481">
        <f>IF(HeartData[[#This Row],[exang]]="TRUE",1,0)</f>
        <v>0</v>
      </c>
      <c r="K481">
        <f>IF(HeartData[[#This Row],[fbs]]="TRUE",1,0)</f>
        <v>0</v>
      </c>
      <c r="L481">
        <f>IF(HeartData[[#This Row],[ca]]&gt;0,1,0)</f>
        <v>0</v>
      </c>
      <c r="M481">
        <f t="shared" si="22"/>
        <v>2</v>
      </c>
      <c r="N481">
        <f t="shared" si="23"/>
        <v>0</v>
      </c>
    </row>
    <row r="482" spans="1:14" x14ac:dyDescent="0.3">
      <c r="A482">
        <f>HeartData[[#This Row],[id]]</f>
        <v>481</v>
      </c>
      <c r="B482" s="4">
        <f>HeartData[[#This Row],[age]]</f>
        <v>58</v>
      </c>
      <c r="C482" t="str">
        <f>HeartData[[#This Row],[sex]]</f>
        <v>Male</v>
      </c>
      <c r="D482" t="str">
        <f t="shared" si="21"/>
        <v>55-64</v>
      </c>
      <c r="E482" t="str">
        <f>HeartData[[#This Row],[cp]]</f>
        <v>asymptomatic</v>
      </c>
      <c r="F482" t="str">
        <f>IF(HeartData[[#This Row],[num]]&gt;0, "Diseased", "Healthy")</f>
        <v>Healthy</v>
      </c>
      <c r="G482">
        <f>IF(HeartData[[#This Row],[chol]]&gt;$P$3, 1, 0)</f>
        <v>1</v>
      </c>
      <c r="H482">
        <f>IF(HeartData[[#This Row],[trestbps]]&gt;$P$4, 1, 0)</f>
        <v>1</v>
      </c>
      <c r="I482">
        <f>IF(HeartData[[#This Row],[oldpeak]]&gt;$P$5,1,0)</f>
        <v>0</v>
      </c>
      <c r="J482">
        <f>IF(HeartData[[#This Row],[exang]]="TRUE",1,0)</f>
        <v>0</v>
      </c>
      <c r="K482">
        <f>IF(HeartData[[#This Row],[fbs]]="TRUE",1,0)</f>
        <v>0</v>
      </c>
      <c r="L482">
        <f>IF(HeartData[[#This Row],[ca]]&gt;0,1,0)</f>
        <v>0</v>
      </c>
      <c r="M482">
        <f t="shared" si="22"/>
        <v>2</v>
      </c>
      <c r="N482">
        <f t="shared" si="23"/>
        <v>0</v>
      </c>
    </row>
    <row r="483" spans="1:14" x14ac:dyDescent="0.3">
      <c r="A483">
        <f>HeartData[[#This Row],[id]]</f>
        <v>482</v>
      </c>
      <c r="B483" s="4">
        <f>HeartData[[#This Row],[age]]</f>
        <v>59</v>
      </c>
      <c r="C483" t="str">
        <f>HeartData[[#This Row],[sex]]</f>
        <v>Female</v>
      </c>
      <c r="D483" t="str">
        <f t="shared" si="21"/>
        <v>55-64</v>
      </c>
      <c r="E483" t="str">
        <f>HeartData[[#This Row],[cp]]</f>
        <v>atypical angina</v>
      </c>
      <c r="F483" t="str">
        <f>IF(HeartData[[#This Row],[num]]&gt;0, "Diseased", "Healthy")</f>
        <v>Healthy</v>
      </c>
      <c r="G483">
        <f>IF(HeartData[[#This Row],[chol]]&gt;$P$3, 1, 0)</f>
        <v>1</v>
      </c>
      <c r="H483">
        <f>IF(HeartData[[#This Row],[trestbps]]&gt;$P$4, 1, 0)</f>
        <v>1</v>
      </c>
      <c r="I483">
        <f>IF(HeartData[[#This Row],[oldpeak]]&gt;$P$5,1,0)</f>
        <v>1</v>
      </c>
      <c r="J483">
        <f>IF(HeartData[[#This Row],[exang]]="TRUE",1,0)</f>
        <v>0</v>
      </c>
      <c r="K483">
        <f>IF(HeartData[[#This Row],[fbs]]="TRUE",1,0)</f>
        <v>0</v>
      </c>
      <c r="L483">
        <f>IF(HeartData[[#This Row],[ca]]&gt;0,1,0)</f>
        <v>0</v>
      </c>
      <c r="M483">
        <f t="shared" si="22"/>
        <v>3</v>
      </c>
      <c r="N483">
        <f t="shared" si="23"/>
        <v>0</v>
      </c>
    </row>
    <row r="484" spans="1:14" x14ac:dyDescent="0.3">
      <c r="A484">
        <f>HeartData[[#This Row],[id]]</f>
        <v>483</v>
      </c>
      <c r="B484" s="4">
        <f>HeartData[[#This Row],[age]]</f>
        <v>59</v>
      </c>
      <c r="C484" t="str">
        <f>HeartData[[#This Row],[sex]]</f>
        <v>Male</v>
      </c>
      <c r="D484" t="str">
        <f t="shared" si="21"/>
        <v>55-64</v>
      </c>
      <c r="E484" t="str">
        <f>HeartData[[#This Row],[cp]]</f>
        <v>atypical angina</v>
      </c>
      <c r="F484" t="str">
        <f>IF(HeartData[[#This Row],[num]]&gt;0, "Diseased", "Healthy")</f>
        <v>Healthy</v>
      </c>
      <c r="G484">
        <f>IF(HeartData[[#This Row],[chol]]&gt;$P$3, 1, 0)</f>
        <v>1</v>
      </c>
      <c r="H484">
        <f>IF(HeartData[[#This Row],[trestbps]]&gt;$P$4, 1, 0)</f>
        <v>1</v>
      </c>
      <c r="I484">
        <f>IF(HeartData[[#This Row],[oldpeak]]&gt;$P$5,1,0)</f>
        <v>0</v>
      </c>
      <c r="J484">
        <f>IF(HeartData[[#This Row],[exang]]="TRUE",1,0)</f>
        <v>0</v>
      </c>
      <c r="K484">
        <f>IF(HeartData[[#This Row],[fbs]]="TRUE",1,0)</f>
        <v>0</v>
      </c>
      <c r="L484">
        <f>IF(HeartData[[#This Row],[ca]]&gt;0,1,0)</f>
        <v>0</v>
      </c>
      <c r="M484">
        <f t="shared" si="22"/>
        <v>2</v>
      </c>
      <c r="N484">
        <f t="shared" si="23"/>
        <v>0</v>
      </c>
    </row>
    <row r="485" spans="1:14" x14ac:dyDescent="0.3">
      <c r="A485">
        <f>HeartData[[#This Row],[id]]</f>
        <v>484</v>
      </c>
      <c r="B485" s="4">
        <f>HeartData[[#This Row],[age]]</f>
        <v>59</v>
      </c>
      <c r="C485" t="str">
        <f>HeartData[[#This Row],[sex]]</f>
        <v>Male</v>
      </c>
      <c r="D485" t="str">
        <f t="shared" si="21"/>
        <v>55-64</v>
      </c>
      <c r="E485" t="str">
        <f>HeartData[[#This Row],[cp]]</f>
        <v>non-anginal</v>
      </c>
      <c r="F485" t="str">
        <f>IF(HeartData[[#This Row],[num]]&gt;0, "Diseased", "Healthy")</f>
        <v>Healthy</v>
      </c>
      <c r="G485">
        <f>IF(HeartData[[#This Row],[chol]]&gt;$P$3, 1, 0)</f>
        <v>1</v>
      </c>
      <c r="H485">
        <f>IF(HeartData[[#This Row],[trestbps]]&gt;$P$4, 1, 0)</f>
        <v>1</v>
      </c>
      <c r="I485">
        <f>IF(HeartData[[#This Row],[oldpeak]]&gt;$P$5,1,0)</f>
        <v>1</v>
      </c>
      <c r="J485">
        <f>IF(HeartData[[#This Row],[exang]]="TRUE",1,0)</f>
        <v>1</v>
      </c>
      <c r="K485">
        <f>IF(HeartData[[#This Row],[fbs]]="TRUE",1,0)</f>
        <v>0</v>
      </c>
      <c r="L485">
        <f>IF(HeartData[[#This Row],[ca]]&gt;0,1,0)</f>
        <v>0</v>
      </c>
      <c r="M485">
        <f t="shared" si="22"/>
        <v>4</v>
      </c>
      <c r="N485">
        <f t="shared" si="23"/>
        <v>0</v>
      </c>
    </row>
    <row r="486" spans="1:14" x14ac:dyDescent="0.3">
      <c r="A486">
        <f>HeartData[[#This Row],[id]]</f>
        <v>485</v>
      </c>
      <c r="B486" s="4">
        <f>HeartData[[#This Row],[age]]</f>
        <v>59</v>
      </c>
      <c r="C486" t="str">
        <f>HeartData[[#This Row],[sex]]</f>
        <v>Male</v>
      </c>
      <c r="D486" t="str">
        <f t="shared" si="21"/>
        <v>55-64</v>
      </c>
      <c r="E486" t="str">
        <f>HeartData[[#This Row],[cp]]</f>
        <v>non-anginal</v>
      </c>
      <c r="F486" t="str">
        <f>IF(HeartData[[#This Row],[num]]&gt;0, "Diseased", "Healthy")</f>
        <v>Healthy</v>
      </c>
      <c r="G486">
        <f>IF(HeartData[[#This Row],[chol]]&gt;$P$3, 1, 0)</f>
        <v>1</v>
      </c>
      <c r="H486">
        <f>IF(HeartData[[#This Row],[trestbps]]&gt;$P$4, 1, 0)</f>
        <v>1</v>
      </c>
      <c r="I486">
        <f>IF(HeartData[[#This Row],[oldpeak]]&gt;$P$5,1,0)</f>
        <v>0</v>
      </c>
      <c r="J486">
        <f>IF(HeartData[[#This Row],[exang]]="TRUE",1,0)</f>
        <v>0</v>
      </c>
      <c r="K486">
        <f>IF(HeartData[[#This Row],[fbs]]="TRUE",1,0)</f>
        <v>0</v>
      </c>
      <c r="L486">
        <f>IF(HeartData[[#This Row],[ca]]&gt;0,1,0)</f>
        <v>0</v>
      </c>
      <c r="M486">
        <f t="shared" si="22"/>
        <v>2</v>
      </c>
      <c r="N486">
        <f t="shared" si="23"/>
        <v>0</v>
      </c>
    </row>
    <row r="487" spans="1:14" x14ac:dyDescent="0.3">
      <c r="A487">
        <f>HeartData[[#This Row],[id]]</f>
        <v>486</v>
      </c>
      <c r="B487" s="4">
        <f>HeartData[[#This Row],[age]]</f>
        <v>59</v>
      </c>
      <c r="C487" t="str">
        <f>HeartData[[#This Row],[sex]]</f>
        <v>Male</v>
      </c>
      <c r="D487" t="str">
        <f t="shared" si="21"/>
        <v>55-64</v>
      </c>
      <c r="E487" t="str">
        <f>HeartData[[#This Row],[cp]]</f>
        <v>asymptomatic</v>
      </c>
      <c r="F487" t="str">
        <f>IF(HeartData[[#This Row],[num]]&gt;0, "Diseased", "Healthy")</f>
        <v>Healthy</v>
      </c>
      <c r="G487">
        <f>IF(HeartData[[#This Row],[chol]]&gt;$P$3, 1, 0)</f>
        <v>0</v>
      </c>
      <c r="H487">
        <f>IF(HeartData[[#This Row],[trestbps]]&gt;$P$4, 1, 0)</f>
        <v>1</v>
      </c>
      <c r="I487">
        <f>IF(HeartData[[#This Row],[oldpeak]]&gt;$P$5,1,0)</f>
        <v>0</v>
      </c>
      <c r="J487">
        <f>IF(HeartData[[#This Row],[exang]]="TRUE",1,0)</f>
        <v>0</v>
      </c>
      <c r="K487">
        <f>IF(HeartData[[#This Row],[fbs]]="TRUE",1,0)</f>
        <v>0</v>
      </c>
      <c r="L487">
        <f>IF(HeartData[[#This Row],[ca]]&gt;0,1,0)</f>
        <v>0</v>
      </c>
      <c r="M487">
        <f t="shared" si="22"/>
        <v>1</v>
      </c>
      <c r="N487">
        <f t="shared" si="23"/>
        <v>0</v>
      </c>
    </row>
    <row r="488" spans="1:14" x14ac:dyDescent="0.3">
      <c r="A488">
        <f>HeartData[[#This Row],[id]]</f>
        <v>487</v>
      </c>
      <c r="B488" s="4">
        <f>HeartData[[#This Row],[age]]</f>
        <v>60</v>
      </c>
      <c r="C488" t="str">
        <f>HeartData[[#This Row],[sex]]</f>
        <v>Male</v>
      </c>
      <c r="D488" t="str">
        <f t="shared" si="21"/>
        <v>55-64</v>
      </c>
      <c r="E488" t="str">
        <f>HeartData[[#This Row],[cp]]</f>
        <v>non-anginal</v>
      </c>
      <c r="F488" t="str">
        <f>IF(HeartData[[#This Row],[num]]&gt;0, "Diseased", "Healthy")</f>
        <v>Healthy</v>
      </c>
      <c r="G488">
        <f>IF(HeartData[[#This Row],[chol]]&gt;$P$3, 1, 0)</f>
        <v>1</v>
      </c>
      <c r="H488">
        <f>IF(HeartData[[#This Row],[trestbps]]&gt;$P$4, 1, 0)</f>
        <v>1</v>
      </c>
      <c r="I488">
        <f>IF(HeartData[[#This Row],[oldpeak]]&gt;$P$5,1,0)</f>
        <v>0</v>
      </c>
      <c r="J488">
        <f>IF(HeartData[[#This Row],[exang]]="TRUE",1,0)</f>
        <v>0</v>
      </c>
      <c r="K488">
        <f>IF(HeartData[[#This Row],[fbs]]="TRUE",1,0)</f>
        <v>0</v>
      </c>
      <c r="L488">
        <f>IF(HeartData[[#This Row],[ca]]&gt;0,1,0)</f>
        <v>0</v>
      </c>
      <c r="M488">
        <f t="shared" si="22"/>
        <v>2</v>
      </c>
      <c r="N488">
        <f t="shared" si="23"/>
        <v>0</v>
      </c>
    </row>
    <row r="489" spans="1:14" x14ac:dyDescent="0.3">
      <c r="A489">
        <f>HeartData[[#This Row],[id]]</f>
        <v>488</v>
      </c>
      <c r="B489" s="4">
        <f>HeartData[[#This Row],[age]]</f>
        <v>61</v>
      </c>
      <c r="C489" t="str">
        <f>HeartData[[#This Row],[sex]]</f>
        <v>Female</v>
      </c>
      <c r="D489" t="str">
        <f t="shared" si="21"/>
        <v>55-64</v>
      </c>
      <c r="E489" t="str">
        <f>HeartData[[#This Row],[cp]]</f>
        <v>asymptomatic</v>
      </c>
      <c r="F489" t="str">
        <f>IF(HeartData[[#This Row],[num]]&gt;0, "Diseased", "Healthy")</f>
        <v>Healthy</v>
      </c>
      <c r="G489">
        <f>IF(HeartData[[#This Row],[chol]]&gt;$P$3, 1, 0)</f>
        <v>1</v>
      </c>
      <c r="H489">
        <f>IF(HeartData[[#This Row],[trestbps]]&gt;$P$4, 1, 0)</f>
        <v>1</v>
      </c>
      <c r="I489">
        <f>IF(HeartData[[#This Row],[oldpeak]]&gt;$P$5,1,0)</f>
        <v>1</v>
      </c>
      <c r="J489">
        <f>IF(HeartData[[#This Row],[exang]]="TRUE",1,0)</f>
        <v>1</v>
      </c>
      <c r="K489">
        <f>IF(HeartData[[#This Row],[fbs]]="TRUE",1,0)</f>
        <v>0</v>
      </c>
      <c r="L489">
        <f>IF(HeartData[[#This Row],[ca]]&gt;0,1,0)</f>
        <v>0</v>
      </c>
      <c r="M489">
        <f t="shared" si="22"/>
        <v>4</v>
      </c>
      <c r="N489">
        <f t="shared" si="23"/>
        <v>0</v>
      </c>
    </row>
    <row r="490" spans="1:14" x14ac:dyDescent="0.3">
      <c r="A490">
        <f>HeartData[[#This Row],[id]]</f>
        <v>489</v>
      </c>
      <c r="B490" s="4">
        <f>HeartData[[#This Row],[age]]</f>
        <v>61</v>
      </c>
      <c r="C490" t="str">
        <f>HeartData[[#This Row],[sex]]</f>
        <v>Male</v>
      </c>
      <c r="D490" t="str">
        <f t="shared" si="21"/>
        <v>55-64</v>
      </c>
      <c r="E490" t="str">
        <f>HeartData[[#This Row],[cp]]</f>
        <v>asymptomatic</v>
      </c>
      <c r="F490" t="str">
        <f>IF(HeartData[[#This Row],[num]]&gt;0, "Diseased", "Healthy")</f>
        <v>Healthy</v>
      </c>
      <c r="G490">
        <f>IF(HeartData[[#This Row],[chol]]&gt;$P$3, 1, 0)</f>
        <v>1</v>
      </c>
      <c r="H490">
        <f>IF(HeartData[[#This Row],[trestbps]]&gt;$P$4, 1, 0)</f>
        <v>1</v>
      </c>
      <c r="I490">
        <f>IF(HeartData[[#This Row],[oldpeak]]&gt;$P$5,1,0)</f>
        <v>0</v>
      </c>
      <c r="J490">
        <f>IF(HeartData[[#This Row],[exang]]="TRUE",1,0)</f>
        <v>1</v>
      </c>
      <c r="K490">
        <f>IF(HeartData[[#This Row],[fbs]]="TRUE",1,0)</f>
        <v>0</v>
      </c>
      <c r="L490">
        <f>IF(HeartData[[#This Row],[ca]]&gt;0,1,0)</f>
        <v>0</v>
      </c>
      <c r="M490">
        <f t="shared" si="22"/>
        <v>3</v>
      </c>
      <c r="N490">
        <f t="shared" si="23"/>
        <v>0</v>
      </c>
    </row>
    <row r="491" spans="1:14" x14ac:dyDescent="0.3">
      <c r="A491">
        <f>HeartData[[#This Row],[id]]</f>
        <v>490</v>
      </c>
      <c r="B491" s="4">
        <f>HeartData[[#This Row],[age]]</f>
        <v>62</v>
      </c>
      <c r="C491" t="str">
        <f>HeartData[[#This Row],[sex]]</f>
        <v>Female</v>
      </c>
      <c r="D491" t="str">
        <f t="shared" si="21"/>
        <v>55-64</v>
      </c>
      <c r="E491" t="str">
        <f>HeartData[[#This Row],[cp]]</f>
        <v>typical angina</v>
      </c>
      <c r="F491" t="str">
        <f>IF(HeartData[[#This Row],[num]]&gt;0, "Diseased", "Healthy")</f>
        <v>Healthy</v>
      </c>
      <c r="G491">
        <f>IF(HeartData[[#This Row],[chol]]&gt;$P$3, 1, 0)</f>
        <v>1</v>
      </c>
      <c r="H491">
        <f>IF(HeartData[[#This Row],[trestbps]]&gt;$P$4, 1, 0)</f>
        <v>1</v>
      </c>
      <c r="I491">
        <f>IF(HeartData[[#This Row],[oldpeak]]&gt;$P$5,1,0)</f>
        <v>0</v>
      </c>
      <c r="J491">
        <f>IF(HeartData[[#This Row],[exang]]="TRUE",1,0)</f>
        <v>0</v>
      </c>
      <c r="K491">
        <f>IF(HeartData[[#This Row],[fbs]]="TRUE",1,0)</f>
        <v>0</v>
      </c>
      <c r="L491">
        <f>IF(HeartData[[#This Row],[ca]]&gt;0,1,0)</f>
        <v>0</v>
      </c>
      <c r="M491">
        <f t="shared" si="22"/>
        <v>2</v>
      </c>
      <c r="N491">
        <f t="shared" si="23"/>
        <v>0</v>
      </c>
    </row>
    <row r="492" spans="1:14" x14ac:dyDescent="0.3">
      <c r="A492">
        <f>HeartData[[#This Row],[id]]</f>
        <v>491</v>
      </c>
      <c r="B492" s="4">
        <f>HeartData[[#This Row],[age]]</f>
        <v>62</v>
      </c>
      <c r="C492" t="str">
        <f>HeartData[[#This Row],[sex]]</f>
        <v>Male</v>
      </c>
      <c r="D492" t="str">
        <f t="shared" si="21"/>
        <v>55-64</v>
      </c>
      <c r="E492" t="str">
        <f>HeartData[[#This Row],[cp]]</f>
        <v>atypical angina</v>
      </c>
      <c r="F492" t="str">
        <f>IF(HeartData[[#This Row],[num]]&gt;0, "Diseased", "Healthy")</f>
        <v>Healthy</v>
      </c>
      <c r="G492">
        <f>IF(HeartData[[#This Row],[chol]]&gt;$P$3, 1, 0)</f>
        <v>1</v>
      </c>
      <c r="H492">
        <f>IF(HeartData[[#This Row],[trestbps]]&gt;$P$4, 1, 0)</f>
        <v>1</v>
      </c>
      <c r="I492">
        <f>IF(HeartData[[#This Row],[oldpeak]]&gt;$P$5,1,0)</f>
        <v>1</v>
      </c>
      <c r="J492">
        <f>IF(HeartData[[#This Row],[exang]]="TRUE",1,0)</f>
        <v>0</v>
      </c>
      <c r="K492">
        <f>IF(HeartData[[#This Row],[fbs]]="TRUE",1,0)</f>
        <v>0</v>
      </c>
      <c r="L492">
        <f>IF(HeartData[[#This Row],[ca]]&gt;0,1,0)</f>
        <v>0</v>
      </c>
      <c r="M492">
        <f t="shared" si="22"/>
        <v>3</v>
      </c>
      <c r="N492">
        <f t="shared" si="23"/>
        <v>0</v>
      </c>
    </row>
    <row r="493" spans="1:14" x14ac:dyDescent="0.3">
      <c r="A493">
        <f>HeartData[[#This Row],[id]]</f>
        <v>492</v>
      </c>
      <c r="B493" s="4">
        <f>HeartData[[#This Row],[age]]</f>
        <v>31</v>
      </c>
      <c r="C493" t="str">
        <f>HeartData[[#This Row],[sex]]</f>
        <v>Male</v>
      </c>
      <c r="D493" t="str">
        <f t="shared" si="21"/>
        <v>Under 45</v>
      </c>
      <c r="E493" t="str">
        <f>HeartData[[#This Row],[cp]]</f>
        <v>asymptomatic</v>
      </c>
      <c r="F493" t="str">
        <f>IF(HeartData[[#This Row],[num]]&gt;0, "Diseased", "Healthy")</f>
        <v>Diseased</v>
      </c>
      <c r="G493">
        <f>IF(HeartData[[#This Row],[chol]]&gt;$P$3, 1, 0)</f>
        <v>1</v>
      </c>
      <c r="H493">
        <f>IF(HeartData[[#This Row],[trestbps]]&gt;$P$4, 1, 0)</f>
        <v>1</v>
      </c>
      <c r="I493">
        <f>IF(HeartData[[#This Row],[oldpeak]]&gt;$P$5,1,0)</f>
        <v>1</v>
      </c>
      <c r="J493">
        <f>IF(HeartData[[#This Row],[exang]]="TRUE",1,0)</f>
        <v>1</v>
      </c>
      <c r="K493">
        <f>IF(HeartData[[#This Row],[fbs]]="TRUE",1,0)</f>
        <v>0</v>
      </c>
      <c r="L493">
        <f>IF(HeartData[[#This Row],[ca]]&gt;0,1,0)</f>
        <v>0</v>
      </c>
      <c r="M493">
        <f t="shared" si="22"/>
        <v>4</v>
      </c>
      <c r="N493">
        <f t="shared" si="23"/>
        <v>1</v>
      </c>
    </row>
    <row r="494" spans="1:14" x14ac:dyDescent="0.3">
      <c r="A494">
        <f>HeartData[[#This Row],[id]]</f>
        <v>493</v>
      </c>
      <c r="B494" s="4">
        <f>HeartData[[#This Row],[age]]</f>
        <v>33</v>
      </c>
      <c r="C494" t="str">
        <f>HeartData[[#This Row],[sex]]</f>
        <v>Female</v>
      </c>
      <c r="D494" t="str">
        <f t="shared" si="21"/>
        <v>Under 45</v>
      </c>
      <c r="E494" t="str">
        <f>HeartData[[#This Row],[cp]]</f>
        <v>asymptomatic</v>
      </c>
      <c r="F494" t="str">
        <f>IF(HeartData[[#This Row],[num]]&gt;0, "Diseased", "Healthy")</f>
        <v>Diseased</v>
      </c>
      <c r="G494">
        <f>IF(HeartData[[#This Row],[chol]]&gt;$P$3, 1, 0)</f>
        <v>1</v>
      </c>
      <c r="H494">
        <f>IF(HeartData[[#This Row],[trestbps]]&gt;$P$4, 1, 0)</f>
        <v>1</v>
      </c>
      <c r="I494">
        <f>IF(HeartData[[#This Row],[oldpeak]]&gt;$P$5,1,0)</f>
        <v>1</v>
      </c>
      <c r="J494">
        <f>IF(HeartData[[#This Row],[exang]]="TRUE",1,0)</f>
        <v>1</v>
      </c>
      <c r="K494">
        <f>IF(HeartData[[#This Row],[fbs]]="TRUE",1,0)</f>
        <v>0</v>
      </c>
      <c r="L494">
        <f>IF(HeartData[[#This Row],[ca]]&gt;0,1,0)</f>
        <v>0</v>
      </c>
      <c r="M494">
        <f t="shared" si="22"/>
        <v>4</v>
      </c>
      <c r="N494">
        <f t="shared" si="23"/>
        <v>1</v>
      </c>
    </row>
    <row r="495" spans="1:14" x14ac:dyDescent="0.3">
      <c r="A495">
        <f>HeartData[[#This Row],[id]]</f>
        <v>494</v>
      </c>
      <c r="B495" s="4">
        <f>HeartData[[#This Row],[age]]</f>
        <v>34</v>
      </c>
      <c r="C495" t="str">
        <f>HeartData[[#This Row],[sex]]</f>
        <v>Male</v>
      </c>
      <c r="D495" t="str">
        <f t="shared" si="21"/>
        <v>Under 45</v>
      </c>
      <c r="E495" t="str">
        <f>HeartData[[#This Row],[cp]]</f>
        <v>typical angina</v>
      </c>
      <c r="F495" t="str">
        <f>IF(HeartData[[#This Row],[num]]&gt;0, "Diseased", "Healthy")</f>
        <v>Diseased</v>
      </c>
      <c r="G495">
        <f>IF(HeartData[[#This Row],[chol]]&gt;$P$3, 1, 0)</f>
        <v>1</v>
      </c>
      <c r="H495">
        <f>IF(HeartData[[#This Row],[trestbps]]&gt;$P$4, 1, 0)</f>
        <v>1</v>
      </c>
      <c r="I495">
        <f>IF(HeartData[[#This Row],[oldpeak]]&gt;$P$5,1,0)</f>
        <v>0</v>
      </c>
      <c r="J495">
        <f>IF(HeartData[[#This Row],[exang]]="TRUE",1,0)</f>
        <v>0</v>
      </c>
      <c r="K495">
        <f>IF(HeartData[[#This Row],[fbs]]="TRUE",1,0)</f>
        <v>0</v>
      </c>
      <c r="L495">
        <f>IF(HeartData[[#This Row],[ca]]&gt;0,1,0)</f>
        <v>0</v>
      </c>
      <c r="M495">
        <f t="shared" si="22"/>
        <v>2</v>
      </c>
      <c r="N495">
        <f t="shared" si="23"/>
        <v>1</v>
      </c>
    </row>
    <row r="496" spans="1:14" x14ac:dyDescent="0.3">
      <c r="A496">
        <f>HeartData[[#This Row],[id]]</f>
        <v>495</v>
      </c>
      <c r="B496" s="4">
        <f>HeartData[[#This Row],[age]]</f>
        <v>35</v>
      </c>
      <c r="C496" t="str">
        <f>HeartData[[#This Row],[sex]]</f>
        <v>Male</v>
      </c>
      <c r="D496" t="str">
        <f t="shared" si="21"/>
        <v>Under 45</v>
      </c>
      <c r="E496" t="str">
        <f>HeartData[[#This Row],[cp]]</f>
        <v>atypical angina</v>
      </c>
      <c r="F496" t="str">
        <f>IF(HeartData[[#This Row],[num]]&gt;0, "Diseased", "Healthy")</f>
        <v>Diseased</v>
      </c>
      <c r="G496">
        <f>IF(HeartData[[#This Row],[chol]]&gt;$P$3, 1, 0)</f>
        <v>1</v>
      </c>
      <c r="H496">
        <f>IF(HeartData[[#This Row],[trestbps]]&gt;$P$4, 1, 0)</f>
        <v>1</v>
      </c>
      <c r="I496">
        <f>IF(HeartData[[#This Row],[oldpeak]]&gt;$P$5,1,0)</f>
        <v>0</v>
      </c>
      <c r="J496">
        <f>IF(HeartData[[#This Row],[exang]]="TRUE",1,0)</f>
        <v>0</v>
      </c>
      <c r="K496">
        <f>IF(HeartData[[#This Row],[fbs]]="TRUE",1,0)</f>
        <v>0</v>
      </c>
      <c r="L496">
        <f>IF(HeartData[[#This Row],[ca]]&gt;0,1,0)</f>
        <v>0</v>
      </c>
      <c r="M496">
        <f t="shared" si="22"/>
        <v>2</v>
      </c>
      <c r="N496">
        <f t="shared" si="23"/>
        <v>1</v>
      </c>
    </row>
    <row r="497" spans="1:14" x14ac:dyDescent="0.3">
      <c r="A497">
        <f>HeartData[[#This Row],[id]]</f>
        <v>496</v>
      </c>
      <c r="B497" s="4">
        <f>HeartData[[#This Row],[age]]</f>
        <v>36</v>
      </c>
      <c r="C497" t="str">
        <f>HeartData[[#This Row],[sex]]</f>
        <v>Male</v>
      </c>
      <c r="D497" t="str">
        <f t="shared" si="21"/>
        <v>Under 45</v>
      </c>
      <c r="E497" t="str">
        <f>HeartData[[#This Row],[cp]]</f>
        <v>atypical angina</v>
      </c>
      <c r="F497" t="str">
        <f>IF(HeartData[[#This Row],[num]]&gt;0, "Diseased", "Healthy")</f>
        <v>Diseased</v>
      </c>
      <c r="G497">
        <f>IF(HeartData[[#This Row],[chol]]&gt;$P$3, 1, 0)</f>
        <v>1</v>
      </c>
      <c r="H497">
        <f>IF(HeartData[[#This Row],[trestbps]]&gt;$P$4, 1, 0)</f>
        <v>1</v>
      </c>
      <c r="I497">
        <f>IF(HeartData[[#This Row],[oldpeak]]&gt;$P$5,1,0)</f>
        <v>1</v>
      </c>
      <c r="J497">
        <f>IF(HeartData[[#This Row],[exang]]="TRUE",1,0)</f>
        <v>0</v>
      </c>
      <c r="K497">
        <f>IF(HeartData[[#This Row],[fbs]]="TRUE",1,0)</f>
        <v>0</v>
      </c>
      <c r="L497">
        <f>IF(HeartData[[#This Row],[ca]]&gt;0,1,0)</f>
        <v>0</v>
      </c>
      <c r="M497">
        <f t="shared" si="22"/>
        <v>3</v>
      </c>
      <c r="N497">
        <f t="shared" si="23"/>
        <v>1</v>
      </c>
    </row>
    <row r="498" spans="1:14" x14ac:dyDescent="0.3">
      <c r="A498">
        <f>HeartData[[#This Row],[id]]</f>
        <v>497</v>
      </c>
      <c r="B498" s="4">
        <f>HeartData[[#This Row],[age]]</f>
        <v>37</v>
      </c>
      <c r="C498" t="str">
        <f>HeartData[[#This Row],[sex]]</f>
        <v>Male</v>
      </c>
      <c r="D498" t="str">
        <f t="shared" si="21"/>
        <v>Under 45</v>
      </c>
      <c r="E498" t="str">
        <f>HeartData[[#This Row],[cp]]</f>
        <v>asymptomatic</v>
      </c>
      <c r="F498" t="str">
        <f>IF(HeartData[[#This Row],[num]]&gt;0, "Diseased", "Healthy")</f>
        <v>Diseased</v>
      </c>
      <c r="G498">
        <f>IF(HeartData[[#This Row],[chol]]&gt;$P$3, 1, 0)</f>
        <v>1</v>
      </c>
      <c r="H498">
        <f>IF(HeartData[[#This Row],[trestbps]]&gt;$P$4, 1, 0)</f>
        <v>1</v>
      </c>
      <c r="I498">
        <f>IF(HeartData[[#This Row],[oldpeak]]&gt;$P$5,1,0)</f>
        <v>1</v>
      </c>
      <c r="J498">
        <f>IF(HeartData[[#This Row],[exang]]="TRUE",1,0)</f>
        <v>1</v>
      </c>
      <c r="K498">
        <f>IF(HeartData[[#This Row],[fbs]]="TRUE",1,0)</f>
        <v>0</v>
      </c>
      <c r="L498">
        <f>IF(HeartData[[#This Row],[ca]]&gt;0,1,0)</f>
        <v>0</v>
      </c>
      <c r="M498">
        <f t="shared" si="22"/>
        <v>4</v>
      </c>
      <c r="N498">
        <f t="shared" si="23"/>
        <v>1</v>
      </c>
    </row>
    <row r="499" spans="1:14" x14ac:dyDescent="0.3">
      <c r="A499">
        <f>HeartData[[#This Row],[id]]</f>
        <v>498</v>
      </c>
      <c r="B499" s="4">
        <f>HeartData[[#This Row],[age]]</f>
        <v>38</v>
      </c>
      <c r="C499" t="str">
        <f>HeartData[[#This Row],[sex]]</f>
        <v>Male</v>
      </c>
      <c r="D499" t="str">
        <f t="shared" si="21"/>
        <v>Under 45</v>
      </c>
      <c r="E499" t="str">
        <f>HeartData[[#This Row],[cp]]</f>
        <v>asymptomatic</v>
      </c>
      <c r="F499" t="str">
        <f>IF(HeartData[[#This Row],[num]]&gt;0, "Diseased", "Healthy")</f>
        <v>Diseased</v>
      </c>
      <c r="G499">
        <f>IF(HeartData[[#This Row],[chol]]&gt;$P$3, 1, 0)</f>
        <v>1</v>
      </c>
      <c r="H499">
        <f>IF(HeartData[[#This Row],[trestbps]]&gt;$P$4, 1, 0)</f>
        <v>1</v>
      </c>
      <c r="I499">
        <f>IF(HeartData[[#This Row],[oldpeak]]&gt;$P$5,1,0)</f>
        <v>0</v>
      </c>
      <c r="J499">
        <f>IF(HeartData[[#This Row],[exang]]="TRUE",1,0)</f>
        <v>0</v>
      </c>
      <c r="K499">
        <f>IF(HeartData[[#This Row],[fbs]]="TRUE",1,0)</f>
        <v>0</v>
      </c>
      <c r="L499">
        <f>IF(HeartData[[#This Row],[ca]]&gt;0,1,0)</f>
        <v>0</v>
      </c>
      <c r="M499">
        <f t="shared" si="22"/>
        <v>2</v>
      </c>
      <c r="N499">
        <f t="shared" si="23"/>
        <v>1</v>
      </c>
    </row>
    <row r="500" spans="1:14" x14ac:dyDescent="0.3">
      <c r="A500">
        <f>HeartData[[#This Row],[id]]</f>
        <v>499</v>
      </c>
      <c r="B500" s="4">
        <f>HeartData[[#This Row],[age]]</f>
        <v>38</v>
      </c>
      <c r="C500" t="str">
        <f>HeartData[[#This Row],[sex]]</f>
        <v>Male</v>
      </c>
      <c r="D500" t="str">
        <f t="shared" si="21"/>
        <v>Under 45</v>
      </c>
      <c r="E500" t="str">
        <f>HeartData[[#This Row],[cp]]</f>
        <v>asymptomatic</v>
      </c>
      <c r="F500" t="str">
        <f>IF(HeartData[[#This Row],[num]]&gt;0, "Diseased", "Healthy")</f>
        <v>Diseased</v>
      </c>
      <c r="G500">
        <f>IF(HeartData[[#This Row],[chol]]&gt;$P$3, 1, 0)</f>
        <v>1</v>
      </c>
      <c r="H500">
        <f>IF(HeartData[[#This Row],[trestbps]]&gt;$P$4, 1, 0)</f>
        <v>1</v>
      </c>
      <c r="I500">
        <f>IF(HeartData[[#This Row],[oldpeak]]&gt;$P$5,1,0)</f>
        <v>0</v>
      </c>
      <c r="J500">
        <f>IF(HeartData[[#This Row],[exang]]="TRUE",1,0)</f>
        <v>0</v>
      </c>
      <c r="K500">
        <f>IF(HeartData[[#This Row],[fbs]]="TRUE",1,0)</f>
        <v>0</v>
      </c>
      <c r="L500">
        <f>IF(HeartData[[#This Row],[ca]]&gt;0,1,0)</f>
        <v>0</v>
      </c>
      <c r="M500">
        <f t="shared" si="22"/>
        <v>2</v>
      </c>
      <c r="N500">
        <f t="shared" si="23"/>
        <v>1</v>
      </c>
    </row>
    <row r="501" spans="1:14" x14ac:dyDescent="0.3">
      <c r="A501">
        <f>HeartData[[#This Row],[id]]</f>
        <v>500</v>
      </c>
      <c r="B501" s="4">
        <f>HeartData[[#This Row],[age]]</f>
        <v>38</v>
      </c>
      <c r="C501" t="str">
        <f>HeartData[[#This Row],[sex]]</f>
        <v>Male</v>
      </c>
      <c r="D501" t="str">
        <f t="shared" si="21"/>
        <v>Under 45</v>
      </c>
      <c r="E501" t="str">
        <f>HeartData[[#This Row],[cp]]</f>
        <v>asymptomatic</v>
      </c>
      <c r="F501" t="str">
        <f>IF(HeartData[[#This Row],[num]]&gt;0, "Diseased", "Healthy")</f>
        <v>Diseased</v>
      </c>
      <c r="G501">
        <f>IF(HeartData[[#This Row],[chol]]&gt;$P$3, 1, 0)</f>
        <v>1</v>
      </c>
      <c r="H501">
        <f>IF(HeartData[[#This Row],[trestbps]]&gt;$P$4, 1, 0)</f>
        <v>1</v>
      </c>
      <c r="I501">
        <f>IF(HeartData[[#This Row],[oldpeak]]&gt;$P$5,1,0)</f>
        <v>1</v>
      </c>
      <c r="J501">
        <f>IF(HeartData[[#This Row],[exang]]="TRUE",1,0)</f>
        <v>1</v>
      </c>
      <c r="K501">
        <f>IF(HeartData[[#This Row],[fbs]]="TRUE",1,0)</f>
        <v>0</v>
      </c>
      <c r="L501">
        <f>IF(HeartData[[#This Row],[ca]]&gt;0,1,0)</f>
        <v>0</v>
      </c>
      <c r="M501">
        <f t="shared" si="22"/>
        <v>4</v>
      </c>
      <c r="N501">
        <f t="shared" si="23"/>
        <v>1</v>
      </c>
    </row>
    <row r="502" spans="1:14" x14ac:dyDescent="0.3">
      <c r="A502">
        <f>HeartData[[#This Row],[id]]</f>
        <v>501</v>
      </c>
      <c r="B502" s="4">
        <f>HeartData[[#This Row],[age]]</f>
        <v>40</v>
      </c>
      <c r="C502" t="str">
        <f>HeartData[[#This Row],[sex]]</f>
        <v>Male</v>
      </c>
      <c r="D502" t="str">
        <f t="shared" si="21"/>
        <v>Under 45</v>
      </c>
      <c r="E502" t="str">
        <f>HeartData[[#This Row],[cp]]</f>
        <v>asymptomatic</v>
      </c>
      <c r="F502" t="str">
        <f>IF(HeartData[[#This Row],[num]]&gt;0, "Diseased", "Healthy")</f>
        <v>Diseased</v>
      </c>
      <c r="G502">
        <f>IF(HeartData[[#This Row],[chol]]&gt;$P$3, 1, 0)</f>
        <v>1</v>
      </c>
      <c r="H502">
        <f>IF(HeartData[[#This Row],[trestbps]]&gt;$P$4, 1, 0)</f>
        <v>1</v>
      </c>
      <c r="I502">
        <f>IF(HeartData[[#This Row],[oldpeak]]&gt;$P$5,1,0)</f>
        <v>1</v>
      </c>
      <c r="J502">
        <f>IF(HeartData[[#This Row],[exang]]="TRUE",1,0)</f>
        <v>1</v>
      </c>
      <c r="K502">
        <f>IF(HeartData[[#This Row],[fbs]]="TRUE",1,0)</f>
        <v>0</v>
      </c>
      <c r="L502">
        <f>IF(HeartData[[#This Row],[ca]]&gt;0,1,0)</f>
        <v>0</v>
      </c>
      <c r="M502">
        <f t="shared" si="22"/>
        <v>4</v>
      </c>
      <c r="N502">
        <f t="shared" si="23"/>
        <v>1</v>
      </c>
    </row>
    <row r="503" spans="1:14" x14ac:dyDescent="0.3">
      <c r="A503">
        <f>HeartData[[#This Row],[id]]</f>
        <v>502</v>
      </c>
      <c r="B503" s="4">
        <f>HeartData[[#This Row],[age]]</f>
        <v>41</v>
      </c>
      <c r="C503" t="str">
        <f>HeartData[[#This Row],[sex]]</f>
        <v>Male</v>
      </c>
      <c r="D503" t="str">
        <f t="shared" si="21"/>
        <v>Under 45</v>
      </c>
      <c r="E503" t="str">
        <f>HeartData[[#This Row],[cp]]</f>
        <v>asymptomatic</v>
      </c>
      <c r="F503" t="str">
        <f>IF(HeartData[[#This Row],[num]]&gt;0, "Diseased", "Healthy")</f>
        <v>Diseased</v>
      </c>
      <c r="G503">
        <f>IF(HeartData[[#This Row],[chol]]&gt;$P$3, 1, 0)</f>
        <v>1</v>
      </c>
      <c r="H503">
        <f>IF(HeartData[[#This Row],[trestbps]]&gt;$P$4, 1, 0)</f>
        <v>1</v>
      </c>
      <c r="I503">
        <f>IF(HeartData[[#This Row],[oldpeak]]&gt;$P$5,1,0)</f>
        <v>0</v>
      </c>
      <c r="J503">
        <f>IF(HeartData[[#This Row],[exang]]="TRUE",1,0)</f>
        <v>0</v>
      </c>
      <c r="K503">
        <f>IF(HeartData[[#This Row],[fbs]]="TRUE",1,0)</f>
        <v>0</v>
      </c>
      <c r="L503">
        <f>IF(HeartData[[#This Row],[ca]]&gt;0,1,0)</f>
        <v>0</v>
      </c>
      <c r="M503">
        <f t="shared" si="22"/>
        <v>2</v>
      </c>
      <c r="N503">
        <f t="shared" si="23"/>
        <v>1</v>
      </c>
    </row>
    <row r="504" spans="1:14" x14ac:dyDescent="0.3">
      <c r="A504">
        <f>HeartData[[#This Row],[id]]</f>
        <v>503</v>
      </c>
      <c r="B504" s="4">
        <f>HeartData[[#This Row],[age]]</f>
        <v>41</v>
      </c>
      <c r="C504" t="str">
        <f>HeartData[[#This Row],[sex]]</f>
        <v>Male</v>
      </c>
      <c r="D504" t="str">
        <f t="shared" si="21"/>
        <v>Under 45</v>
      </c>
      <c r="E504" t="str">
        <f>HeartData[[#This Row],[cp]]</f>
        <v>asymptomatic</v>
      </c>
      <c r="F504" t="str">
        <f>IF(HeartData[[#This Row],[num]]&gt;0, "Diseased", "Healthy")</f>
        <v>Diseased</v>
      </c>
      <c r="G504">
        <f>IF(HeartData[[#This Row],[chol]]&gt;$P$3, 1, 0)</f>
        <v>1</v>
      </c>
      <c r="H504">
        <f>IF(HeartData[[#This Row],[trestbps]]&gt;$P$4, 1, 0)</f>
        <v>1</v>
      </c>
      <c r="I504">
        <f>IF(HeartData[[#This Row],[oldpeak]]&gt;$P$5,1,0)</f>
        <v>1</v>
      </c>
      <c r="J504">
        <f>IF(HeartData[[#This Row],[exang]]="TRUE",1,0)</f>
        <v>1</v>
      </c>
      <c r="K504">
        <f>IF(HeartData[[#This Row],[fbs]]="TRUE",1,0)</f>
        <v>0</v>
      </c>
      <c r="L504">
        <f>IF(HeartData[[#This Row],[ca]]&gt;0,1,0)</f>
        <v>0</v>
      </c>
      <c r="M504">
        <f t="shared" si="22"/>
        <v>4</v>
      </c>
      <c r="N504">
        <f t="shared" si="23"/>
        <v>1</v>
      </c>
    </row>
    <row r="505" spans="1:14" x14ac:dyDescent="0.3">
      <c r="A505">
        <f>HeartData[[#This Row],[id]]</f>
        <v>504</v>
      </c>
      <c r="B505" s="4">
        <f>HeartData[[#This Row],[age]]</f>
        <v>43</v>
      </c>
      <c r="C505" t="str">
        <f>HeartData[[#This Row],[sex]]</f>
        <v>Male</v>
      </c>
      <c r="D505" t="str">
        <f t="shared" si="21"/>
        <v>Under 45</v>
      </c>
      <c r="E505" t="str">
        <f>HeartData[[#This Row],[cp]]</f>
        <v>asymptomatic</v>
      </c>
      <c r="F505" t="str">
        <f>IF(HeartData[[#This Row],[num]]&gt;0, "Diseased", "Healthy")</f>
        <v>Diseased</v>
      </c>
      <c r="G505">
        <f>IF(HeartData[[#This Row],[chol]]&gt;$P$3, 1, 0)</f>
        <v>1</v>
      </c>
      <c r="H505">
        <f>IF(HeartData[[#This Row],[trestbps]]&gt;$P$4, 1, 0)</f>
        <v>1</v>
      </c>
      <c r="I505">
        <f>IF(HeartData[[#This Row],[oldpeak]]&gt;$P$5,1,0)</f>
        <v>1</v>
      </c>
      <c r="J505">
        <f>IF(HeartData[[#This Row],[exang]]="TRUE",1,0)</f>
        <v>1</v>
      </c>
      <c r="K505">
        <f>IF(HeartData[[#This Row],[fbs]]="TRUE",1,0)</f>
        <v>0</v>
      </c>
      <c r="L505">
        <f>IF(HeartData[[#This Row],[ca]]&gt;0,1,0)</f>
        <v>0</v>
      </c>
      <c r="M505">
        <f t="shared" si="22"/>
        <v>4</v>
      </c>
      <c r="N505">
        <f t="shared" si="23"/>
        <v>1</v>
      </c>
    </row>
    <row r="506" spans="1:14" x14ac:dyDescent="0.3">
      <c r="A506">
        <f>HeartData[[#This Row],[id]]</f>
        <v>505</v>
      </c>
      <c r="B506" s="4">
        <f>HeartData[[#This Row],[age]]</f>
        <v>46</v>
      </c>
      <c r="C506" t="str">
        <f>HeartData[[#This Row],[sex]]</f>
        <v>Male</v>
      </c>
      <c r="D506" t="str">
        <f t="shared" si="21"/>
        <v>45-54</v>
      </c>
      <c r="E506" t="str">
        <f>HeartData[[#This Row],[cp]]</f>
        <v>asymptomatic</v>
      </c>
      <c r="F506" t="str">
        <f>IF(HeartData[[#This Row],[num]]&gt;0, "Diseased", "Healthy")</f>
        <v>Diseased</v>
      </c>
      <c r="G506">
        <f>IF(HeartData[[#This Row],[chol]]&gt;$P$3, 1, 0)</f>
        <v>1</v>
      </c>
      <c r="H506">
        <f>IF(HeartData[[#This Row],[trestbps]]&gt;$P$4, 1, 0)</f>
        <v>1</v>
      </c>
      <c r="I506">
        <f>IF(HeartData[[#This Row],[oldpeak]]&gt;$P$5,1,0)</f>
        <v>0</v>
      </c>
      <c r="J506">
        <f>IF(HeartData[[#This Row],[exang]]="TRUE",1,0)</f>
        <v>1</v>
      </c>
      <c r="K506">
        <f>IF(HeartData[[#This Row],[fbs]]="TRUE",1,0)</f>
        <v>0</v>
      </c>
      <c r="L506">
        <f>IF(HeartData[[#This Row],[ca]]&gt;0,1,0)</f>
        <v>0</v>
      </c>
      <c r="M506">
        <f t="shared" si="22"/>
        <v>3</v>
      </c>
      <c r="N506">
        <f t="shared" si="23"/>
        <v>1</v>
      </c>
    </row>
    <row r="507" spans="1:14" x14ac:dyDescent="0.3">
      <c r="A507">
        <f>HeartData[[#This Row],[id]]</f>
        <v>506</v>
      </c>
      <c r="B507" s="4">
        <f>HeartData[[#This Row],[age]]</f>
        <v>46</v>
      </c>
      <c r="C507" t="str">
        <f>HeartData[[#This Row],[sex]]</f>
        <v>Male</v>
      </c>
      <c r="D507" t="str">
        <f t="shared" si="21"/>
        <v>45-54</v>
      </c>
      <c r="E507" t="str">
        <f>HeartData[[#This Row],[cp]]</f>
        <v>asymptomatic</v>
      </c>
      <c r="F507" t="str">
        <f>IF(HeartData[[#This Row],[num]]&gt;0, "Diseased", "Healthy")</f>
        <v>Diseased</v>
      </c>
      <c r="G507">
        <f>IF(HeartData[[#This Row],[chol]]&gt;$P$3, 1, 0)</f>
        <v>1</v>
      </c>
      <c r="H507">
        <f>IF(HeartData[[#This Row],[trestbps]]&gt;$P$4, 1, 0)</f>
        <v>1</v>
      </c>
      <c r="I507">
        <f>IF(HeartData[[#This Row],[oldpeak]]&gt;$P$5,1,0)</f>
        <v>0</v>
      </c>
      <c r="J507">
        <f>IF(HeartData[[#This Row],[exang]]="TRUE",1,0)</f>
        <v>0</v>
      </c>
      <c r="K507">
        <f>IF(HeartData[[#This Row],[fbs]]="TRUE",1,0)</f>
        <v>0</v>
      </c>
      <c r="L507">
        <f>IF(HeartData[[#This Row],[ca]]&gt;0,1,0)</f>
        <v>0</v>
      </c>
      <c r="M507">
        <f t="shared" si="22"/>
        <v>2</v>
      </c>
      <c r="N507">
        <f t="shared" si="23"/>
        <v>1</v>
      </c>
    </row>
    <row r="508" spans="1:14" x14ac:dyDescent="0.3">
      <c r="A508">
        <f>HeartData[[#This Row],[id]]</f>
        <v>507</v>
      </c>
      <c r="B508" s="4">
        <f>HeartData[[#This Row],[age]]</f>
        <v>46</v>
      </c>
      <c r="C508" t="str">
        <f>HeartData[[#This Row],[sex]]</f>
        <v>Male</v>
      </c>
      <c r="D508" t="str">
        <f t="shared" si="21"/>
        <v>45-54</v>
      </c>
      <c r="E508" t="str">
        <f>HeartData[[#This Row],[cp]]</f>
        <v>asymptomatic</v>
      </c>
      <c r="F508" t="str">
        <f>IF(HeartData[[#This Row],[num]]&gt;0, "Diseased", "Healthy")</f>
        <v>Diseased</v>
      </c>
      <c r="G508">
        <f>IF(HeartData[[#This Row],[chol]]&gt;$P$3, 1, 0)</f>
        <v>1</v>
      </c>
      <c r="H508">
        <f>IF(HeartData[[#This Row],[trestbps]]&gt;$P$4, 1, 0)</f>
        <v>1</v>
      </c>
      <c r="I508">
        <f>IF(HeartData[[#This Row],[oldpeak]]&gt;$P$5,1,0)</f>
        <v>1</v>
      </c>
      <c r="J508">
        <f>IF(HeartData[[#This Row],[exang]]="TRUE",1,0)</f>
        <v>1</v>
      </c>
      <c r="K508">
        <f>IF(HeartData[[#This Row],[fbs]]="TRUE",1,0)</f>
        <v>0</v>
      </c>
      <c r="L508">
        <f>IF(HeartData[[#This Row],[ca]]&gt;0,1,0)</f>
        <v>0</v>
      </c>
      <c r="M508">
        <f t="shared" si="22"/>
        <v>4</v>
      </c>
      <c r="N508">
        <f t="shared" si="23"/>
        <v>1</v>
      </c>
    </row>
    <row r="509" spans="1:14" x14ac:dyDescent="0.3">
      <c r="A509">
        <f>HeartData[[#This Row],[id]]</f>
        <v>508</v>
      </c>
      <c r="B509" s="4">
        <f>HeartData[[#This Row],[age]]</f>
        <v>47</v>
      </c>
      <c r="C509" t="str">
        <f>HeartData[[#This Row],[sex]]</f>
        <v>Male</v>
      </c>
      <c r="D509" t="str">
        <f t="shared" si="21"/>
        <v>45-54</v>
      </c>
      <c r="E509" t="str">
        <f>HeartData[[#This Row],[cp]]</f>
        <v>non-anginal</v>
      </c>
      <c r="F509" t="str">
        <f>IF(HeartData[[#This Row],[num]]&gt;0, "Diseased", "Healthy")</f>
        <v>Diseased</v>
      </c>
      <c r="G509">
        <f>IF(HeartData[[#This Row],[chol]]&gt;$P$3, 1, 0)</f>
        <v>1</v>
      </c>
      <c r="H509">
        <f>IF(HeartData[[#This Row],[trestbps]]&gt;$P$4, 1, 0)</f>
        <v>1</v>
      </c>
      <c r="I509">
        <f>IF(HeartData[[#This Row],[oldpeak]]&gt;$P$5,1,0)</f>
        <v>1</v>
      </c>
      <c r="J509">
        <f>IF(HeartData[[#This Row],[exang]]="TRUE",1,0)</f>
        <v>1</v>
      </c>
      <c r="K509">
        <f>IF(HeartData[[#This Row],[fbs]]="TRUE",1,0)</f>
        <v>0</v>
      </c>
      <c r="L509">
        <f>IF(HeartData[[#This Row],[ca]]&gt;0,1,0)</f>
        <v>0</v>
      </c>
      <c r="M509">
        <f t="shared" si="22"/>
        <v>4</v>
      </c>
      <c r="N509">
        <f t="shared" si="23"/>
        <v>1</v>
      </c>
    </row>
    <row r="510" spans="1:14" x14ac:dyDescent="0.3">
      <c r="A510">
        <f>HeartData[[#This Row],[id]]</f>
        <v>509</v>
      </c>
      <c r="B510" s="4">
        <f>HeartData[[#This Row],[age]]</f>
        <v>47</v>
      </c>
      <c r="C510" t="str">
        <f>HeartData[[#This Row],[sex]]</f>
        <v>Male</v>
      </c>
      <c r="D510" t="str">
        <f t="shared" si="21"/>
        <v>45-54</v>
      </c>
      <c r="E510" t="str">
        <f>HeartData[[#This Row],[cp]]</f>
        <v>asymptomatic</v>
      </c>
      <c r="F510" t="str">
        <f>IF(HeartData[[#This Row],[num]]&gt;0, "Diseased", "Healthy")</f>
        <v>Diseased</v>
      </c>
      <c r="G510">
        <f>IF(HeartData[[#This Row],[chol]]&gt;$P$3, 1, 0)</f>
        <v>1</v>
      </c>
      <c r="H510">
        <f>IF(HeartData[[#This Row],[trestbps]]&gt;$P$4, 1, 0)</f>
        <v>1</v>
      </c>
      <c r="I510">
        <f>IF(HeartData[[#This Row],[oldpeak]]&gt;$P$5,1,0)</f>
        <v>1</v>
      </c>
      <c r="J510">
        <f>IF(HeartData[[#This Row],[exang]]="TRUE",1,0)</f>
        <v>1</v>
      </c>
      <c r="K510">
        <f>IF(HeartData[[#This Row],[fbs]]="TRUE",1,0)</f>
        <v>0</v>
      </c>
      <c r="L510">
        <f>IF(HeartData[[#This Row],[ca]]&gt;0,1,0)</f>
        <v>0</v>
      </c>
      <c r="M510">
        <f t="shared" si="22"/>
        <v>4</v>
      </c>
      <c r="N510">
        <f t="shared" si="23"/>
        <v>1</v>
      </c>
    </row>
    <row r="511" spans="1:14" x14ac:dyDescent="0.3">
      <c r="A511">
        <f>HeartData[[#This Row],[id]]</f>
        <v>510</v>
      </c>
      <c r="B511" s="4">
        <f>HeartData[[#This Row],[age]]</f>
        <v>48</v>
      </c>
      <c r="C511" t="str">
        <f>HeartData[[#This Row],[sex]]</f>
        <v>Male</v>
      </c>
      <c r="D511" t="str">
        <f t="shared" si="21"/>
        <v>45-54</v>
      </c>
      <c r="E511" t="str">
        <f>HeartData[[#This Row],[cp]]</f>
        <v>asymptomatic</v>
      </c>
      <c r="F511" t="str">
        <f>IF(HeartData[[#This Row],[num]]&gt;0, "Diseased", "Healthy")</f>
        <v>Diseased</v>
      </c>
      <c r="G511">
        <f>IF(HeartData[[#This Row],[chol]]&gt;$P$3, 1, 0)</f>
        <v>1</v>
      </c>
      <c r="H511">
        <f>IF(HeartData[[#This Row],[trestbps]]&gt;$P$4, 1, 0)</f>
        <v>1</v>
      </c>
      <c r="I511">
        <f>IF(HeartData[[#This Row],[oldpeak]]&gt;$P$5,1,0)</f>
        <v>0</v>
      </c>
      <c r="J511">
        <f>IF(HeartData[[#This Row],[exang]]="TRUE",1,0)</f>
        <v>0</v>
      </c>
      <c r="K511">
        <f>IF(HeartData[[#This Row],[fbs]]="TRUE",1,0)</f>
        <v>1</v>
      </c>
      <c r="L511">
        <f>IF(HeartData[[#This Row],[ca]]&gt;0,1,0)</f>
        <v>0</v>
      </c>
      <c r="M511">
        <f t="shared" si="22"/>
        <v>3</v>
      </c>
      <c r="N511">
        <f t="shared" si="23"/>
        <v>1</v>
      </c>
    </row>
    <row r="512" spans="1:14" x14ac:dyDescent="0.3">
      <c r="A512">
        <f>HeartData[[#This Row],[id]]</f>
        <v>511</v>
      </c>
      <c r="B512" s="4">
        <f>HeartData[[#This Row],[age]]</f>
        <v>48</v>
      </c>
      <c r="C512" t="str">
        <f>HeartData[[#This Row],[sex]]</f>
        <v>Male</v>
      </c>
      <c r="D512" t="str">
        <f t="shared" si="21"/>
        <v>45-54</v>
      </c>
      <c r="E512" t="str">
        <f>HeartData[[#This Row],[cp]]</f>
        <v>asymptomatic</v>
      </c>
      <c r="F512" t="str">
        <f>IF(HeartData[[#This Row],[num]]&gt;0, "Diseased", "Healthy")</f>
        <v>Diseased</v>
      </c>
      <c r="G512">
        <f>IF(HeartData[[#This Row],[chol]]&gt;$P$3, 1, 0)</f>
        <v>1</v>
      </c>
      <c r="H512">
        <f>IF(HeartData[[#This Row],[trestbps]]&gt;$P$4, 1, 0)</f>
        <v>1</v>
      </c>
      <c r="I512">
        <f>IF(HeartData[[#This Row],[oldpeak]]&gt;$P$5,1,0)</f>
        <v>1</v>
      </c>
      <c r="J512">
        <f>IF(HeartData[[#This Row],[exang]]="TRUE",1,0)</f>
        <v>0</v>
      </c>
      <c r="K512">
        <f>IF(HeartData[[#This Row],[fbs]]="TRUE",1,0)</f>
        <v>0</v>
      </c>
      <c r="L512">
        <f>IF(HeartData[[#This Row],[ca]]&gt;0,1,0)</f>
        <v>0</v>
      </c>
      <c r="M512">
        <f t="shared" si="22"/>
        <v>3</v>
      </c>
      <c r="N512">
        <f t="shared" si="23"/>
        <v>1</v>
      </c>
    </row>
    <row r="513" spans="1:14" x14ac:dyDescent="0.3">
      <c r="A513">
        <f>HeartData[[#This Row],[id]]</f>
        <v>512</v>
      </c>
      <c r="B513" s="4">
        <f>HeartData[[#This Row],[age]]</f>
        <v>48</v>
      </c>
      <c r="C513" t="str">
        <f>HeartData[[#This Row],[sex]]</f>
        <v>Male</v>
      </c>
      <c r="D513" t="str">
        <f t="shared" si="21"/>
        <v>45-54</v>
      </c>
      <c r="E513" t="str">
        <f>HeartData[[#This Row],[cp]]</f>
        <v>asymptomatic</v>
      </c>
      <c r="F513" t="str">
        <f>IF(HeartData[[#This Row],[num]]&gt;0, "Diseased", "Healthy")</f>
        <v>Diseased</v>
      </c>
      <c r="G513">
        <f>IF(HeartData[[#This Row],[chol]]&gt;$P$3, 1, 0)</f>
        <v>1</v>
      </c>
      <c r="H513">
        <f>IF(HeartData[[#This Row],[trestbps]]&gt;$P$4, 1, 0)</f>
        <v>1</v>
      </c>
      <c r="I513">
        <f>IF(HeartData[[#This Row],[oldpeak]]&gt;$P$5,1,0)</f>
        <v>1</v>
      </c>
      <c r="J513">
        <f>IF(HeartData[[#This Row],[exang]]="TRUE",1,0)</f>
        <v>1</v>
      </c>
      <c r="K513">
        <f>IF(HeartData[[#This Row],[fbs]]="TRUE",1,0)</f>
        <v>0</v>
      </c>
      <c r="L513">
        <f>IF(HeartData[[#This Row],[ca]]&gt;0,1,0)</f>
        <v>0</v>
      </c>
      <c r="M513">
        <f t="shared" si="22"/>
        <v>4</v>
      </c>
      <c r="N513">
        <f t="shared" si="23"/>
        <v>1</v>
      </c>
    </row>
    <row r="514" spans="1:14" x14ac:dyDescent="0.3">
      <c r="A514">
        <f>HeartData[[#This Row],[id]]</f>
        <v>513</v>
      </c>
      <c r="B514" s="4">
        <f>HeartData[[#This Row],[age]]</f>
        <v>49</v>
      </c>
      <c r="C514" t="str">
        <f>HeartData[[#This Row],[sex]]</f>
        <v>Female</v>
      </c>
      <c r="D514" t="str">
        <f t="shared" ref="D514:D577" si="24">IF(B514&lt;45,"Under 45",IF(B514&lt;=54,"45-54",IF(B514&lt;=64,"55-64","65+")))</f>
        <v>45-54</v>
      </c>
      <c r="E514" t="str">
        <f>HeartData[[#This Row],[cp]]</f>
        <v>non-anginal</v>
      </c>
      <c r="F514" t="str">
        <f>IF(HeartData[[#This Row],[num]]&gt;0, "Diseased", "Healthy")</f>
        <v>Diseased</v>
      </c>
      <c r="G514">
        <f>IF(HeartData[[#This Row],[chol]]&gt;$P$3, 1, 0)</f>
        <v>1</v>
      </c>
      <c r="H514">
        <f>IF(HeartData[[#This Row],[trestbps]]&gt;$P$4, 1, 0)</f>
        <v>1</v>
      </c>
      <c r="I514">
        <f>IF(HeartData[[#This Row],[oldpeak]]&gt;$P$5,1,0)</f>
        <v>1</v>
      </c>
      <c r="J514">
        <f>IF(HeartData[[#This Row],[exang]]="TRUE",1,0)</f>
        <v>0</v>
      </c>
      <c r="K514">
        <f>IF(HeartData[[#This Row],[fbs]]="TRUE",1,0)</f>
        <v>0</v>
      </c>
      <c r="L514">
        <f>IF(HeartData[[#This Row],[ca]]&gt;0,1,0)</f>
        <v>0</v>
      </c>
      <c r="M514">
        <f t="shared" si="22"/>
        <v>3</v>
      </c>
      <c r="N514">
        <f t="shared" si="23"/>
        <v>1</v>
      </c>
    </row>
    <row r="515" spans="1:14" x14ac:dyDescent="0.3">
      <c r="A515">
        <f>HeartData[[#This Row],[id]]</f>
        <v>514</v>
      </c>
      <c r="B515" s="4">
        <f>HeartData[[#This Row],[age]]</f>
        <v>49</v>
      </c>
      <c r="C515" t="str">
        <f>HeartData[[#This Row],[sex]]</f>
        <v>Male</v>
      </c>
      <c r="D515" t="str">
        <f t="shared" si="24"/>
        <v>45-54</v>
      </c>
      <c r="E515" t="str">
        <f>HeartData[[#This Row],[cp]]</f>
        <v>non-anginal</v>
      </c>
      <c r="F515" t="str">
        <f>IF(HeartData[[#This Row],[num]]&gt;0, "Diseased", "Healthy")</f>
        <v>Diseased</v>
      </c>
      <c r="G515">
        <f>IF(HeartData[[#This Row],[chol]]&gt;$P$3, 1, 0)</f>
        <v>1</v>
      </c>
      <c r="H515">
        <f>IF(HeartData[[#This Row],[trestbps]]&gt;$P$4, 1, 0)</f>
        <v>1</v>
      </c>
      <c r="I515">
        <f>IF(HeartData[[#This Row],[oldpeak]]&gt;$P$5,1,0)</f>
        <v>0</v>
      </c>
      <c r="J515">
        <f>IF(HeartData[[#This Row],[exang]]="TRUE",1,0)</f>
        <v>0</v>
      </c>
      <c r="K515">
        <f>IF(HeartData[[#This Row],[fbs]]="TRUE",1,0)</f>
        <v>0</v>
      </c>
      <c r="L515">
        <f>IF(HeartData[[#This Row],[ca]]&gt;0,1,0)</f>
        <v>0</v>
      </c>
      <c r="M515">
        <f t="shared" ref="M515:M578" si="25">G515+H515+I515+J515+K515+L515</f>
        <v>2</v>
      </c>
      <c r="N515">
        <f t="shared" ref="N515:N578" si="26">IF(F515="Diseased",1,0)</f>
        <v>1</v>
      </c>
    </row>
    <row r="516" spans="1:14" x14ac:dyDescent="0.3">
      <c r="A516">
        <f>HeartData[[#This Row],[id]]</f>
        <v>515</v>
      </c>
      <c r="B516" s="4">
        <f>HeartData[[#This Row],[age]]</f>
        <v>49</v>
      </c>
      <c r="C516" t="str">
        <f>HeartData[[#This Row],[sex]]</f>
        <v>Male</v>
      </c>
      <c r="D516" t="str">
        <f t="shared" si="24"/>
        <v>45-54</v>
      </c>
      <c r="E516" t="str">
        <f>HeartData[[#This Row],[cp]]</f>
        <v>asymptomatic</v>
      </c>
      <c r="F516" t="str">
        <f>IF(HeartData[[#This Row],[num]]&gt;0, "Diseased", "Healthy")</f>
        <v>Diseased</v>
      </c>
      <c r="G516">
        <f>IF(HeartData[[#This Row],[chol]]&gt;$P$3, 1, 0)</f>
        <v>1</v>
      </c>
      <c r="H516">
        <f>IF(HeartData[[#This Row],[trestbps]]&gt;$P$4, 1, 0)</f>
        <v>1</v>
      </c>
      <c r="I516">
        <f>IF(HeartData[[#This Row],[oldpeak]]&gt;$P$5,1,0)</f>
        <v>0</v>
      </c>
      <c r="J516">
        <f>IF(HeartData[[#This Row],[exang]]="TRUE",1,0)</f>
        <v>0</v>
      </c>
      <c r="K516">
        <f>IF(HeartData[[#This Row],[fbs]]="TRUE",1,0)</f>
        <v>0</v>
      </c>
      <c r="L516">
        <f>IF(HeartData[[#This Row],[ca]]&gt;0,1,0)</f>
        <v>0</v>
      </c>
      <c r="M516">
        <f t="shared" si="25"/>
        <v>2</v>
      </c>
      <c r="N516">
        <f t="shared" si="26"/>
        <v>1</v>
      </c>
    </row>
    <row r="517" spans="1:14" x14ac:dyDescent="0.3">
      <c r="A517">
        <f>HeartData[[#This Row],[id]]</f>
        <v>516</v>
      </c>
      <c r="B517" s="4">
        <f>HeartData[[#This Row],[age]]</f>
        <v>50</v>
      </c>
      <c r="C517" t="str">
        <f>HeartData[[#This Row],[sex]]</f>
        <v>Female</v>
      </c>
      <c r="D517" t="str">
        <f t="shared" si="24"/>
        <v>45-54</v>
      </c>
      <c r="E517" t="str">
        <f>HeartData[[#This Row],[cp]]</f>
        <v>non-anginal</v>
      </c>
      <c r="F517" t="str">
        <f>IF(HeartData[[#This Row],[num]]&gt;0, "Diseased", "Healthy")</f>
        <v>Diseased</v>
      </c>
      <c r="G517">
        <f>IF(HeartData[[#This Row],[chol]]&gt;$P$3, 1, 0)</f>
        <v>1</v>
      </c>
      <c r="H517">
        <f>IF(HeartData[[#This Row],[trestbps]]&gt;$P$4, 1, 0)</f>
        <v>1</v>
      </c>
      <c r="I517">
        <f>IF(HeartData[[#This Row],[oldpeak]]&gt;$P$5,1,0)</f>
        <v>0</v>
      </c>
      <c r="J517">
        <f>IF(HeartData[[#This Row],[exang]]="TRUE",1,0)</f>
        <v>1</v>
      </c>
      <c r="K517">
        <f>IF(HeartData[[#This Row],[fbs]]="TRUE",1,0)</f>
        <v>0</v>
      </c>
      <c r="L517">
        <f>IF(HeartData[[#This Row],[ca]]&gt;0,1,0)</f>
        <v>0</v>
      </c>
      <c r="M517">
        <f t="shared" si="25"/>
        <v>3</v>
      </c>
      <c r="N517">
        <f t="shared" si="26"/>
        <v>1</v>
      </c>
    </row>
    <row r="518" spans="1:14" x14ac:dyDescent="0.3">
      <c r="A518">
        <f>HeartData[[#This Row],[id]]</f>
        <v>517</v>
      </c>
      <c r="B518" s="4">
        <f>HeartData[[#This Row],[age]]</f>
        <v>50</v>
      </c>
      <c r="C518" t="str">
        <f>HeartData[[#This Row],[sex]]</f>
        <v>Male</v>
      </c>
      <c r="D518" t="str">
        <f t="shared" si="24"/>
        <v>45-54</v>
      </c>
      <c r="E518" t="str">
        <f>HeartData[[#This Row],[cp]]</f>
        <v>asymptomatic</v>
      </c>
      <c r="F518" t="str">
        <f>IF(HeartData[[#This Row],[num]]&gt;0, "Diseased", "Healthy")</f>
        <v>Diseased</v>
      </c>
      <c r="G518">
        <f>IF(HeartData[[#This Row],[chol]]&gt;$P$3, 1, 0)</f>
        <v>1</v>
      </c>
      <c r="H518">
        <f>IF(HeartData[[#This Row],[trestbps]]&gt;$P$4, 1, 0)</f>
        <v>1</v>
      </c>
      <c r="I518">
        <f>IF(HeartData[[#This Row],[oldpeak]]&gt;$P$5,1,0)</f>
        <v>0</v>
      </c>
      <c r="J518">
        <f>IF(HeartData[[#This Row],[exang]]="TRUE",1,0)</f>
        <v>0</v>
      </c>
      <c r="K518">
        <f>IF(HeartData[[#This Row],[fbs]]="TRUE",1,0)</f>
        <v>0</v>
      </c>
      <c r="L518">
        <f>IF(HeartData[[#This Row],[ca]]&gt;0,1,0)</f>
        <v>0</v>
      </c>
      <c r="M518">
        <f t="shared" si="25"/>
        <v>2</v>
      </c>
      <c r="N518">
        <f t="shared" si="26"/>
        <v>1</v>
      </c>
    </row>
    <row r="519" spans="1:14" x14ac:dyDescent="0.3">
      <c r="A519">
        <f>HeartData[[#This Row],[id]]</f>
        <v>518</v>
      </c>
      <c r="B519" s="4">
        <f>HeartData[[#This Row],[age]]</f>
        <v>51</v>
      </c>
      <c r="C519" t="str">
        <f>HeartData[[#This Row],[sex]]</f>
        <v>Female</v>
      </c>
      <c r="D519" t="str">
        <f t="shared" si="24"/>
        <v>45-54</v>
      </c>
      <c r="E519" t="str">
        <f>HeartData[[#This Row],[cp]]</f>
        <v>asymptomatic</v>
      </c>
      <c r="F519" t="str">
        <f>IF(HeartData[[#This Row],[num]]&gt;0, "Diseased", "Healthy")</f>
        <v>Diseased</v>
      </c>
      <c r="G519">
        <f>IF(HeartData[[#This Row],[chol]]&gt;$P$3, 1, 0)</f>
        <v>1</v>
      </c>
      <c r="H519">
        <f>IF(HeartData[[#This Row],[trestbps]]&gt;$P$4, 1, 0)</f>
        <v>1</v>
      </c>
      <c r="I519">
        <f>IF(HeartData[[#This Row],[oldpeak]]&gt;$P$5,1,0)</f>
        <v>1</v>
      </c>
      <c r="J519">
        <f>IF(HeartData[[#This Row],[exang]]="TRUE",1,0)</f>
        <v>1</v>
      </c>
      <c r="K519">
        <f>IF(HeartData[[#This Row],[fbs]]="TRUE",1,0)</f>
        <v>0</v>
      </c>
      <c r="L519">
        <f>IF(HeartData[[#This Row],[ca]]&gt;0,1,0)</f>
        <v>0</v>
      </c>
      <c r="M519">
        <f t="shared" si="25"/>
        <v>4</v>
      </c>
      <c r="N519">
        <f t="shared" si="26"/>
        <v>1</v>
      </c>
    </row>
    <row r="520" spans="1:14" x14ac:dyDescent="0.3">
      <c r="A520">
        <f>HeartData[[#This Row],[id]]</f>
        <v>519</v>
      </c>
      <c r="B520" s="4">
        <f>HeartData[[#This Row],[age]]</f>
        <v>52</v>
      </c>
      <c r="C520" t="str">
        <f>HeartData[[#This Row],[sex]]</f>
        <v>Male</v>
      </c>
      <c r="D520" t="str">
        <f t="shared" si="24"/>
        <v>45-54</v>
      </c>
      <c r="E520" t="str">
        <f>HeartData[[#This Row],[cp]]</f>
        <v>asymptomatic</v>
      </c>
      <c r="F520" t="str">
        <f>IF(HeartData[[#This Row],[num]]&gt;0, "Diseased", "Healthy")</f>
        <v>Diseased</v>
      </c>
      <c r="G520">
        <f>IF(HeartData[[#This Row],[chol]]&gt;$P$3, 1, 0)</f>
        <v>1</v>
      </c>
      <c r="H520">
        <f>IF(HeartData[[#This Row],[trestbps]]&gt;$P$4, 1, 0)</f>
        <v>1</v>
      </c>
      <c r="I520">
        <f>IF(HeartData[[#This Row],[oldpeak]]&gt;$P$5,1,0)</f>
        <v>1</v>
      </c>
      <c r="J520">
        <f>IF(HeartData[[#This Row],[exang]]="TRUE",1,0)</f>
        <v>1</v>
      </c>
      <c r="K520">
        <f>IF(HeartData[[#This Row],[fbs]]="TRUE",1,0)</f>
        <v>0</v>
      </c>
      <c r="L520">
        <f>IF(HeartData[[#This Row],[ca]]&gt;0,1,0)</f>
        <v>0</v>
      </c>
      <c r="M520">
        <f t="shared" si="25"/>
        <v>4</v>
      </c>
      <c r="N520">
        <f t="shared" si="26"/>
        <v>1</v>
      </c>
    </row>
    <row r="521" spans="1:14" x14ac:dyDescent="0.3">
      <c r="A521">
        <f>HeartData[[#This Row],[id]]</f>
        <v>520</v>
      </c>
      <c r="B521" s="4">
        <f>HeartData[[#This Row],[age]]</f>
        <v>54</v>
      </c>
      <c r="C521" t="str">
        <f>HeartData[[#This Row],[sex]]</f>
        <v>Male</v>
      </c>
      <c r="D521" t="str">
        <f t="shared" si="24"/>
        <v>45-54</v>
      </c>
      <c r="E521" t="str">
        <f>HeartData[[#This Row],[cp]]</f>
        <v>asymptomatic</v>
      </c>
      <c r="F521" t="str">
        <f>IF(HeartData[[#This Row],[num]]&gt;0, "Diseased", "Healthy")</f>
        <v>Diseased</v>
      </c>
      <c r="G521">
        <f>IF(HeartData[[#This Row],[chol]]&gt;$P$3, 1, 0)</f>
        <v>1</v>
      </c>
      <c r="H521">
        <f>IF(HeartData[[#This Row],[trestbps]]&gt;$P$4, 1, 0)</f>
        <v>1</v>
      </c>
      <c r="I521">
        <f>IF(HeartData[[#This Row],[oldpeak]]&gt;$P$5,1,0)</f>
        <v>0</v>
      </c>
      <c r="J521">
        <f>IF(HeartData[[#This Row],[exang]]="TRUE",1,0)</f>
        <v>0</v>
      </c>
      <c r="K521">
        <f>IF(HeartData[[#This Row],[fbs]]="TRUE",1,0)</f>
        <v>0</v>
      </c>
      <c r="L521">
        <f>IF(HeartData[[#This Row],[ca]]&gt;0,1,0)</f>
        <v>0</v>
      </c>
      <c r="M521">
        <f t="shared" si="25"/>
        <v>2</v>
      </c>
      <c r="N521">
        <f t="shared" si="26"/>
        <v>1</v>
      </c>
    </row>
    <row r="522" spans="1:14" x14ac:dyDescent="0.3">
      <c r="A522">
        <f>HeartData[[#This Row],[id]]</f>
        <v>521</v>
      </c>
      <c r="B522" s="4">
        <f>HeartData[[#This Row],[age]]</f>
        <v>54</v>
      </c>
      <c r="C522" t="str">
        <f>HeartData[[#This Row],[sex]]</f>
        <v>Male</v>
      </c>
      <c r="D522" t="str">
        <f t="shared" si="24"/>
        <v>45-54</v>
      </c>
      <c r="E522" t="str">
        <f>HeartData[[#This Row],[cp]]</f>
        <v>asymptomatic</v>
      </c>
      <c r="F522" t="str">
        <f>IF(HeartData[[#This Row],[num]]&gt;0, "Diseased", "Healthy")</f>
        <v>Diseased</v>
      </c>
      <c r="G522">
        <f>IF(HeartData[[#This Row],[chol]]&gt;$P$3, 1, 0)</f>
        <v>1</v>
      </c>
      <c r="H522">
        <f>IF(HeartData[[#This Row],[trestbps]]&gt;$P$4, 1, 0)</f>
        <v>1</v>
      </c>
      <c r="I522">
        <f>IF(HeartData[[#This Row],[oldpeak]]&gt;$P$5,1,0)</f>
        <v>1</v>
      </c>
      <c r="J522">
        <f>IF(HeartData[[#This Row],[exang]]="TRUE",1,0)</f>
        <v>0</v>
      </c>
      <c r="K522">
        <f>IF(HeartData[[#This Row],[fbs]]="TRUE",1,0)</f>
        <v>0</v>
      </c>
      <c r="L522">
        <f>IF(HeartData[[#This Row],[ca]]&gt;0,1,0)</f>
        <v>0</v>
      </c>
      <c r="M522">
        <f t="shared" si="25"/>
        <v>3</v>
      </c>
      <c r="N522">
        <f t="shared" si="26"/>
        <v>1</v>
      </c>
    </row>
    <row r="523" spans="1:14" x14ac:dyDescent="0.3">
      <c r="A523">
        <f>HeartData[[#This Row],[id]]</f>
        <v>522</v>
      </c>
      <c r="B523" s="4">
        <f>HeartData[[#This Row],[age]]</f>
        <v>55</v>
      </c>
      <c r="C523" t="str">
        <f>HeartData[[#This Row],[sex]]</f>
        <v>Male</v>
      </c>
      <c r="D523" t="str">
        <f t="shared" si="24"/>
        <v>55-64</v>
      </c>
      <c r="E523" t="str">
        <f>HeartData[[#This Row],[cp]]</f>
        <v>asymptomatic</v>
      </c>
      <c r="F523" t="str">
        <f>IF(HeartData[[#This Row],[num]]&gt;0, "Diseased", "Healthy")</f>
        <v>Diseased</v>
      </c>
      <c r="G523">
        <f>IF(HeartData[[#This Row],[chol]]&gt;$P$3, 1, 0)</f>
        <v>1</v>
      </c>
      <c r="H523">
        <f>IF(HeartData[[#This Row],[trestbps]]&gt;$P$4, 1, 0)</f>
        <v>1</v>
      </c>
      <c r="I523">
        <f>IF(HeartData[[#This Row],[oldpeak]]&gt;$P$5,1,0)</f>
        <v>1</v>
      </c>
      <c r="J523">
        <f>IF(HeartData[[#This Row],[exang]]="TRUE",1,0)</f>
        <v>1</v>
      </c>
      <c r="K523">
        <f>IF(HeartData[[#This Row],[fbs]]="TRUE",1,0)</f>
        <v>0</v>
      </c>
      <c r="L523">
        <f>IF(HeartData[[#This Row],[ca]]&gt;0,1,0)</f>
        <v>0</v>
      </c>
      <c r="M523">
        <f t="shared" si="25"/>
        <v>4</v>
      </c>
      <c r="N523">
        <f t="shared" si="26"/>
        <v>1</v>
      </c>
    </row>
    <row r="524" spans="1:14" x14ac:dyDescent="0.3">
      <c r="A524">
        <f>HeartData[[#This Row],[id]]</f>
        <v>523</v>
      </c>
      <c r="B524" s="4">
        <f>HeartData[[#This Row],[age]]</f>
        <v>57</v>
      </c>
      <c r="C524" t="str">
        <f>HeartData[[#This Row],[sex]]</f>
        <v>Male</v>
      </c>
      <c r="D524" t="str">
        <f t="shared" si="24"/>
        <v>55-64</v>
      </c>
      <c r="E524" t="str">
        <f>HeartData[[#This Row],[cp]]</f>
        <v>atypical angina</v>
      </c>
      <c r="F524" t="str">
        <f>IF(HeartData[[#This Row],[num]]&gt;0, "Diseased", "Healthy")</f>
        <v>Diseased</v>
      </c>
      <c r="G524">
        <f>IF(HeartData[[#This Row],[chol]]&gt;$P$3, 1, 0)</f>
        <v>1</v>
      </c>
      <c r="H524">
        <f>IF(HeartData[[#This Row],[trestbps]]&gt;$P$4, 1, 0)</f>
        <v>1</v>
      </c>
      <c r="I524">
        <f>IF(HeartData[[#This Row],[oldpeak]]&gt;$P$5,1,0)</f>
        <v>1</v>
      </c>
      <c r="J524">
        <f>IF(HeartData[[#This Row],[exang]]="TRUE",1,0)</f>
        <v>1</v>
      </c>
      <c r="K524">
        <f>IF(HeartData[[#This Row],[fbs]]="TRUE",1,0)</f>
        <v>0</v>
      </c>
      <c r="L524">
        <f>IF(HeartData[[#This Row],[ca]]&gt;0,1,0)</f>
        <v>0</v>
      </c>
      <c r="M524">
        <f t="shared" si="25"/>
        <v>4</v>
      </c>
      <c r="N524">
        <f t="shared" si="26"/>
        <v>1</v>
      </c>
    </row>
    <row r="525" spans="1:14" x14ac:dyDescent="0.3">
      <c r="A525">
        <f>HeartData[[#This Row],[id]]</f>
        <v>524</v>
      </c>
      <c r="B525" s="4">
        <f>HeartData[[#This Row],[age]]</f>
        <v>58</v>
      </c>
      <c r="C525" t="str">
        <f>HeartData[[#This Row],[sex]]</f>
        <v>Male</v>
      </c>
      <c r="D525" t="str">
        <f t="shared" si="24"/>
        <v>55-64</v>
      </c>
      <c r="E525" t="str">
        <f>HeartData[[#This Row],[cp]]</f>
        <v>non-anginal</v>
      </c>
      <c r="F525" t="str">
        <f>IF(HeartData[[#This Row],[num]]&gt;0, "Diseased", "Healthy")</f>
        <v>Diseased</v>
      </c>
      <c r="G525">
        <f>IF(HeartData[[#This Row],[chol]]&gt;$P$3, 1, 0)</f>
        <v>1</v>
      </c>
      <c r="H525">
        <f>IF(HeartData[[#This Row],[trestbps]]&gt;$P$4, 1, 0)</f>
        <v>1</v>
      </c>
      <c r="I525">
        <f>IF(HeartData[[#This Row],[oldpeak]]&gt;$P$5,1,0)</f>
        <v>0</v>
      </c>
      <c r="J525">
        <f>IF(HeartData[[#This Row],[exang]]="TRUE",1,0)</f>
        <v>0</v>
      </c>
      <c r="K525">
        <f>IF(HeartData[[#This Row],[fbs]]="TRUE",1,0)</f>
        <v>0</v>
      </c>
      <c r="L525">
        <f>IF(HeartData[[#This Row],[ca]]&gt;0,1,0)</f>
        <v>0</v>
      </c>
      <c r="M525">
        <f t="shared" si="25"/>
        <v>2</v>
      </c>
      <c r="N525">
        <f t="shared" si="26"/>
        <v>1</v>
      </c>
    </row>
    <row r="526" spans="1:14" x14ac:dyDescent="0.3">
      <c r="A526">
        <f>HeartData[[#This Row],[id]]</f>
        <v>525</v>
      </c>
      <c r="B526" s="4">
        <f>HeartData[[#This Row],[age]]</f>
        <v>59</v>
      </c>
      <c r="C526" t="str">
        <f>HeartData[[#This Row],[sex]]</f>
        <v>Female</v>
      </c>
      <c r="D526" t="str">
        <f t="shared" si="24"/>
        <v>55-64</v>
      </c>
      <c r="E526" t="str">
        <f>HeartData[[#This Row],[cp]]</f>
        <v>asymptomatic</v>
      </c>
      <c r="F526" t="str">
        <f>IF(HeartData[[#This Row],[num]]&gt;0, "Diseased", "Healthy")</f>
        <v>Diseased</v>
      </c>
      <c r="G526">
        <f>IF(HeartData[[#This Row],[chol]]&gt;$P$3, 1, 0)</f>
        <v>1</v>
      </c>
      <c r="H526">
        <f>IF(HeartData[[#This Row],[trestbps]]&gt;$P$4, 1, 0)</f>
        <v>1</v>
      </c>
      <c r="I526">
        <f>IF(HeartData[[#This Row],[oldpeak]]&gt;$P$5,1,0)</f>
        <v>1</v>
      </c>
      <c r="J526">
        <f>IF(HeartData[[#This Row],[exang]]="TRUE",1,0)</f>
        <v>1</v>
      </c>
      <c r="K526">
        <f>IF(HeartData[[#This Row],[fbs]]="TRUE",1,0)</f>
        <v>1</v>
      </c>
      <c r="L526">
        <f>IF(HeartData[[#This Row],[ca]]&gt;0,1,0)</f>
        <v>0</v>
      </c>
      <c r="M526">
        <f t="shared" si="25"/>
        <v>5</v>
      </c>
      <c r="N526">
        <f t="shared" si="26"/>
        <v>1</v>
      </c>
    </row>
    <row r="527" spans="1:14" x14ac:dyDescent="0.3">
      <c r="A527">
        <f>HeartData[[#This Row],[id]]</f>
        <v>526</v>
      </c>
      <c r="B527" s="4">
        <f>HeartData[[#This Row],[age]]</f>
        <v>60</v>
      </c>
      <c r="C527" t="str">
        <f>HeartData[[#This Row],[sex]]</f>
        <v>Male</v>
      </c>
      <c r="D527" t="str">
        <f t="shared" si="24"/>
        <v>55-64</v>
      </c>
      <c r="E527" t="str">
        <f>HeartData[[#This Row],[cp]]</f>
        <v>asymptomatic</v>
      </c>
      <c r="F527" t="str">
        <f>IF(HeartData[[#This Row],[num]]&gt;0, "Diseased", "Healthy")</f>
        <v>Diseased</v>
      </c>
      <c r="G527">
        <f>IF(HeartData[[#This Row],[chol]]&gt;$P$3, 1, 0)</f>
        <v>1</v>
      </c>
      <c r="H527">
        <f>IF(HeartData[[#This Row],[trestbps]]&gt;$P$4, 1, 0)</f>
        <v>1</v>
      </c>
      <c r="I527">
        <f>IF(HeartData[[#This Row],[oldpeak]]&gt;$P$5,1,0)</f>
        <v>1</v>
      </c>
      <c r="J527">
        <f>IF(HeartData[[#This Row],[exang]]="TRUE",1,0)</f>
        <v>0</v>
      </c>
      <c r="K527">
        <f>IF(HeartData[[#This Row],[fbs]]="TRUE",1,0)</f>
        <v>0</v>
      </c>
      <c r="L527">
        <f>IF(HeartData[[#This Row],[ca]]&gt;0,1,0)</f>
        <v>0</v>
      </c>
      <c r="M527">
        <f t="shared" si="25"/>
        <v>3</v>
      </c>
      <c r="N527">
        <f t="shared" si="26"/>
        <v>1</v>
      </c>
    </row>
    <row r="528" spans="1:14" x14ac:dyDescent="0.3">
      <c r="A528">
        <f>HeartData[[#This Row],[id]]</f>
        <v>527</v>
      </c>
      <c r="B528" s="4">
        <f>HeartData[[#This Row],[age]]</f>
        <v>63</v>
      </c>
      <c r="C528" t="str">
        <f>HeartData[[#This Row],[sex]]</f>
        <v>Male</v>
      </c>
      <c r="D528" t="str">
        <f t="shared" si="24"/>
        <v>55-64</v>
      </c>
      <c r="E528" t="str">
        <f>HeartData[[#This Row],[cp]]</f>
        <v>asymptomatic</v>
      </c>
      <c r="F528" t="str">
        <f>IF(HeartData[[#This Row],[num]]&gt;0, "Diseased", "Healthy")</f>
        <v>Diseased</v>
      </c>
      <c r="G528">
        <f>IF(HeartData[[#This Row],[chol]]&gt;$P$3, 1, 0)</f>
        <v>1</v>
      </c>
      <c r="H528">
        <f>IF(HeartData[[#This Row],[trestbps]]&gt;$P$4, 1, 0)</f>
        <v>1</v>
      </c>
      <c r="I528">
        <f>IF(HeartData[[#This Row],[oldpeak]]&gt;$P$5,1,0)</f>
        <v>0</v>
      </c>
      <c r="J528">
        <f>IF(HeartData[[#This Row],[exang]]="TRUE",1,0)</f>
        <v>0</v>
      </c>
      <c r="K528">
        <f>IF(HeartData[[#This Row],[fbs]]="TRUE",1,0)</f>
        <v>0</v>
      </c>
      <c r="L528">
        <f>IF(HeartData[[#This Row],[ca]]&gt;0,1,0)</f>
        <v>0</v>
      </c>
      <c r="M528">
        <f t="shared" si="25"/>
        <v>2</v>
      </c>
      <c r="N528">
        <f t="shared" si="26"/>
        <v>1</v>
      </c>
    </row>
    <row r="529" spans="1:14" x14ac:dyDescent="0.3">
      <c r="A529">
        <f>HeartData[[#This Row],[id]]</f>
        <v>528</v>
      </c>
      <c r="B529" s="4">
        <f>HeartData[[#This Row],[age]]</f>
        <v>65</v>
      </c>
      <c r="C529" t="str">
        <f>HeartData[[#This Row],[sex]]</f>
        <v>Male</v>
      </c>
      <c r="D529" t="str">
        <f t="shared" si="24"/>
        <v>65+</v>
      </c>
      <c r="E529" t="str">
        <f>HeartData[[#This Row],[cp]]</f>
        <v>asymptomatic</v>
      </c>
      <c r="F529" t="str">
        <f>IF(HeartData[[#This Row],[num]]&gt;0, "Diseased", "Healthy")</f>
        <v>Diseased</v>
      </c>
      <c r="G529">
        <f>IF(HeartData[[#This Row],[chol]]&gt;$P$3, 1, 0)</f>
        <v>1</v>
      </c>
      <c r="H529">
        <f>IF(HeartData[[#This Row],[trestbps]]&gt;$P$4, 1, 0)</f>
        <v>1</v>
      </c>
      <c r="I529">
        <f>IF(HeartData[[#This Row],[oldpeak]]&gt;$P$5,1,0)</f>
        <v>1</v>
      </c>
      <c r="J529">
        <f>IF(HeartData[[#This Row],[exang]]="TRUE",1,0)</f>
        <v>1</v>
      </c>
      <c r="K529">
        <f>IF(HeartData[[#This Row],[fbs]]="TRUE",1,0)</f>
        <v>1</v>
      </c>
      <c r="L529">
        <f>IF(HeartData[[#This Row],[ca]]&gt;0,1,0)</f>
        <v>0</v>
      </c>
      <c r="M529">
        <f t="shared" si="25"/>
        <v>5</v>
      </c>
      <c r="N529">
        <f t="shared" si="26"/>
        <v>1</v>
      </c>
    </row>
    <row r="530" spans="1:14" x14ac:dyDescent="0.3">
      <c r="A530">
        <f>HeartData[[#This Row],[id]]</f>
        <v>529</v>
      </c>
      <c r="B530" s="4">
        <f>HeartData[[#This Row],[age]]</f>
        <v>32</v>
      </c>
      <c r="C530" t="str">
        <f>HeartData[[#This Row],[sex]]</f>
        <v>Male</v>
      </c>
      <c r="D530" t="str">
        <f t="shared" si="24"/>
        <v>Under 45</v>
      </c>
      <c r="E530" t="str">
        <f>HeartData[[#This Row],[cp]]</f>
        <v>asymptomatic</v>
      </c>
      <c r="F530" t="str">
        <f>IF(HeartData[[#This Row],[num]]&gt;0, "Diseased", "Healthy")</f>
        <v>Diseased</v>
      </c>
      <c r="G530">
        <f>IF(HeartData[[#This Row],[chol]]&gt;$P$3, 1, 0)</f>
        <v>1</v>
      </c>
      <c r="H530">
        <f>IF(HeartData[[#This Row],[trestbps]]&gt;$P$4, 1, 0)</f>
        <v>1</v>
      </c>
      <c r="I530">
        <f>IF(HeartData[[#This Row],[oldpeak]]&gt;$P$5,1,0)</f>
        <v>0</v>
      </c>
      <c r="J530">
        <f>IF(HeartData[[#This Row],[exang]]="TRUE",1,0)</f>
        <v>0</v>
      </c>
      <c r="K530">
        <f>IF(HeartData[[#This Row],[fbs]]="TRUE",1,0)</f>
        <v>0</v>
      </c>
      <c r="L530">
        <f>IF(HeartData[[#This Row],[ca]]&gt;0,1,0)</f>
        <v>0</v>
      </c>
      <c r="M530">
        <f t="shared" si="25"/>
        <v>2</v>
      </c>
      <c r="N530">
        <f t="shared" si="26"/>
        <v>1</v>
      </c>
    </row>
    <row r="531" spans="1:14" x14ac:dyDescent="0.3">
      <c r="A531">
        <f>HeartData[[#This Row],[id]]</f>
        <v>530</v>
      </c>
      <c r="B531" s="4">
        <f>HeartData[[#This Row],[age]]</f>
        <v>38</v>
      </c>
      <c r="C531" t="str">
        <f>HeartData[[#This Row],[sex]]</f>
        <v>Male</v>
      </c>
      <c r="D531" t="str">
        <f t="shared" si="24"/>
        <v>Under 45</v>
      </c>
      <c r="E531" t="str">
        <f>HeartData[[#This Row],[cp]]</f>
        <v>asymptomatic</v>
      </c>
      <c r="F531" t="str">
        <f>IF(HeartData[[#This Row],[num]]&gt;0, "Diseased", "Healthy")</f>
        <v>Diseased</v>
      </c>
      <c r="G531">
        <f>IF(HeartData[[#This Row],[chol]]&gt;$P$3, 1, 0)</f>
        <v>0</v>
      </c>
      <c r="H531">
        <f>IF(HeartData[[#This Row],[trestbps]]&gt;$P$4, 1, 0)</f>
        <v>1</v>
      </c>
      <c r="I531">
        <f>IF(HeartData[[#This Row],[oldpeak]]&gt;$P$5,1,0)</f>
        <v>1</v>
      </c>
      <c r="J531">
        <f>IF(HeartData[[#This Row],[exang]]="TRUE",1,0)</f>
        <v>1</v>
      </c>
      <c r="K531">
        <f>IF(HeartData[[#This Row],[fbs]]="TRUE",1,0)</f>
        <v>0</v>
      </c>
      <c r="L531">
        <f>IF(HeartData[[#This Row],[ca]]&gt;0,1,0)</f>
        <v>0</v>
      </c>
      <c r="M531">
        <f t="shared" si="25"/>
        <v>3</v>
      </c>
      <c r="N531">
        <f t="shared" si="26"/>
        <v>1</v>
      </c>
    </row>
    <row r="532" spans="1:14" x14ac:dyDescent="0.3">
      <c r="A532">
        <f>HeartData[[#This Row],[id]]</f>
        <v>531</v>
      </c>
      <c r="B532" s="4">
        <f>HeartData[[#This Row],[age]]</f>
        <v>39</v>
      </c>
      <c r="C532" t="str">
        <f>HeartData[[#This Row],[sex]]</f>
        <v>Male</v>
      </c>
      <c r="D532" t="str">
        <f t="shared" si="24"/>
        <v>Under 45</v>
      </c>
      <c r="E532" t="str">
        <f>HeartData[[#This Row],[cp]]</f>
        <v>asymptomatic</v>
      </c>
      <c r="F532" t="str">
        <f>IF(HeartData[[#This Row],[num]]&gt;0, "Diseased", "Healthy")</f>
        <v>Diseased</v>
      </c>
      <c r="G532">
        <f>IF(HeartData[[#This Row],[chol]]&gt;$P$3, 1, 0)</f>
        <v>1</v>
      </c>
      <c r="H532">
        <f>IF(HeartData[[#This Row],[trestbps]]&gt;$P$4, 1, 0)</f>
        <v>1</v>
      </c>
      <c r="I532">
        <f>IF(HeartData[[#This Row],[oldpeak]]&gt;$P$5,1,0)</f>
        <v>0</v>
      </c>
      <c r="J532">
        <f>IF(HeartData[[#This Row],[exang]]="TRUE",1,0)</f>
        <v>0</v>
      </c>
      <c r="K532">
        <f>IF(HeartData[[#This Row],[fbs]]="TRUE",1,0)</f>
        <v>0</v>
      </c>
      <c r="L532">
        <f>IF(HeartData[[#This Row],[ca]]&gt;0,1,0)</f>
        <v>0</v>
      </c>
      <c r="M532">
        <f t="shared" si="25"/>
        <v>2</v>
      </c>
      <c r="N532">
        <f t="shared" si="26"/>
        <v>1</v>
      </c>
    </row>
    <row r="533" spans="1:14" x14ac:dyDescent="0.3">
      <c r="A533">
        <f>HeartData[[#This Row],[id]]</f>
        <v>532</v>
      </c>
      <c r="B533" s="4">
        <f>HeartData[[#This Row],[age]]</f>
        <v>40</v>
      </c>
      <c r="C533" t="str">
        <f>HeartData[[#This Row],[sex]]</f>
        <v>Female</v>
      </c>
      <c r="D533" t="str">
        <f t="shared" si="24"/>
        <v>Under 45</v>
      </c>
      <c r="E533" t="str">
        <f>HeartData[[#This Row],[cp]]</f>
        <v>asymptomatic</v>
      </c>
      <c r="F533" t="str">
        <f>IF(HeartData[[#This Row],[num]]&gt;0, "Diseased", "Healthy")</f>
        <v>Diseased</v>
      </c>
      <c r="G533">
        <f>IF(HeartData[[#This Row],[chol]]&gt;$P$3, 1, 0)</f>
        <v>1</v>
      </c>
      <c r="H533">
        <f>IF(HeartData[[#This Row],[trestbps]]&gt;$P$4, 1, 0)</f>
        <v>1</v>
      </c>
      <c r="I533">
        <f>IF(HeartData[[#This Row],[oldpeak]]&gt;$P$5,1,0)</f>
        <v>1</v>
      </c>
      <c r="J533">
        <f>IF(HeartData[[#This Row],[exang]]="TRUE",1,0)</f>
        <v>0</v>
      </c>
      <c r="K533">
        <f>IF(HeartData[[#This Row],[fbs]]="TRUE",1,0)</f>
        <v>0</v>
      </c>
      <c r="L533">
        <f>IF(HeartData[[#This Row],[ca]]&gt;0,1,0)</f>
        <v>0</v>
      </c>
      <c r="M533">
        <f t="shared" si="25"/>
        <v>3</v>
      </c>
      <c r="N533">
        <f t="shared" si="26"/>
        <v>1</v>
      </c>
    </row>
    <row r="534" spans="1:14" x14ac:dyDescent="0.3">
      <c r="A534">
        <f>HeartData[[#This Row],[id]]</f>
        <v>533</v>
      </c>
      <c r="B534" s="4">
        <f>HeartData[[#This Row],[age]]</f>
        <v>43</v>
      </c>
      <c r="C534" t="str">
        <f>HeartData[[#This Row],[sex]]</f>
        <v>Male</v>
      </c>
      <c r="D534" t="str">
        <f t="shared" si="24"/>
        <v>Under 45</v>
      </c>
      <c r="E534" t="str">
        <f>HeartData[[#This Row],[cp]]</f>
        <v>typical angina</v>
      </c>
      <c r="F534" t="str">
        <f>IF(HeartData[[#This Row],[num]]&gt;0, "Diseased", "Healthy")</f>
        <v>Diseased</v>
      </c>
      <c r="G534">
        <f>IF(HeartData[[#This Row],[chol]]&gt;$P$3, 1, 0)</f>
        <v>1</v>
      </c>
      <c r="H534">
        <f>IF(HeartData[[#This Row],[trestbps]]&gt;$P$4, 1, 0)</f>
        <v>1</v>
      </c>
      <c r="I534">
        <f>IF(HeartData[[#This Row],[oldpeak]]&gt;$P$5,1,0)</f>
        <v>0</v>
      </c>
      <c r="J534">
        <f>IF(HeartData[[#This Row],[exang]]="TRUE",1,0)</f>
        <v>0</v>
      </c>
      <c r="K534">
        <f>IF(HeartData[[#This Row],[fbs]]="TRUE",1,0)</f>
        <v>0</v>
      </c>
      <c r="L534">
        <f>IF(HeartData[[#This Row],[ca]]&gt;0,1,0)</f>
        <v>0</v>
      </c>
      <c r="M534">
        <f t="shared" si="25"/>
        <v>2</v>
      </c>
      <c r="N534">
        <f t="shared" si="26"/>
        <v>1</v>
      </c>
    </row>
    <row r="535" spans="1:14" x14ac:dyDescent="0.3">
      <c r="A535">
        <f>HeartData[[#This Row],[id]]</f>
        <v>534</v>
      </c>
      <c r="B535" s="4">
        <f>HeartData[[#This Row],[age]]</f>
        <v>45</v>
      </c>
      <c r="C535" t="str">
        <f>HeartData[[#This Row],[sex]]</f>
        <v>Male</v>
      </c>
      <c r="D535" t="str">
        <f t="shared" si="24"/>
        <v>45-54</v>
      </c>
      <c r="E535" t="str">
        <f>HeartData[[#This Row],[cp]]</f>
        <v>asymptomatic</v>
      </c>
      <c r="F535" t="str">
        <f>IF(HeartData[[#This Row],[num]]&gt;0, "Diseased", "Healthy")</f>
        <v>Diseased</v>
      </c>
      <c r="G535">
        <f>IF(HeartData[[#This Row],[chol]]&gt;$P$3, 1, 0)</f>
        <v>1</v>
      </c>
      <c r="H535">
        <f>IF(HeartData[[#This Row],[trestbps]]&gt;$P$4, 1, 0)</f>
        <v>1</v>
      </c>
      <c r="I535">
        <f>IF(HeartData[[#This Row],[oldpeak]]&gt;$P$5,1,0)</f>
        <v>1</v>
      </c>
      <c r="J535">
        <f>IF(HeartData[[#This Row],[exang]]="TRUE",1,0)</f>
        <v>1</v>
      </c>
      <c r="K535">
        <f>IF(HeartData[[#This Row],[fbs]]="TRUE",1,0)</f>
        <v>0</v>
      </c>
      <c r="L535">
        <f>IF(HeartData[[#This Row],[ca]]&gt;0,1,0)</f>
        <v>0</v>
      </c>
      <c r="M535">
        <f t="shared" si="25"/>
        <v>4</v>
      </c>
      <c r="N535">
        <f t="shared" si="26"/>
        <v>1</v>
      </c>
    </row>
    <row r="536" spans="1:14" x14ac:dyDescent="0.3">
      <c r="A536">
        <f>HeartData[[#This Row],[id]]</f>
        <v>535</v>
      </c>
      <c r="B536" s="4">
        <f>HeartData[[#This Row],[age]]</f>
        <v>46</v>
      </c>
      <c r="C536" t="str">
        <f>HeartData[[#This Row],[sex]]</f>
        <v>Male</v>
      </c>
      <c r="D536" t="str">
        <f t="shared" si="24"/>
        <v>45-54</v>
      </c>
      <c r="E536" t="str">
        <f>HeartData[[#This Row],[cp]]</f>
        <v>asymptomatic</v>
      </c>
      <c r="F536" t="str">
        <f>IF(HeartData[[#This Row],[num]]&gt;0, "Diseased", "Healthy")</f>
        <v>Diseased</v>
      </c>
      <c r="G536">
        <f>IF(HeartData[[#This Row],[chol]]&gt;$P$3, 1, 0)</f>
        <v>1</v>
      </c>
      <c r="H536">
        <f>IF(HeartData[[#This Row],[trestbps]]&gt;$P$4, 1, 0)</f>
        <v>1</v>
      </c>
      <c r="I536">
        <f>IF(HeartData[[#This Row],[oldpeak]]&gt;$P$5,1,0)</f>
        <v>0</v>
      </c>
      <c r="J536">
        <f>IF(HeartData[[#This Row],[exang]]="TRUE",1,0)</f>
        <v>1</v>
      </c>
      <c r="K536">
        <f>IF(HeartData[[#This Row],[fbs]]="TRUE",1,0)</f>
        <v>0</v>
      </c>
      <c r="L536">
        <f>IF(HeartData[[#This Row],[ca]]&gt;0,1,0)</f>
        <v>0</v>
      </c>
      <c r="M536">
        <f t="shared" si="25"/>
        <v>3</v>
      </c>
      <c r="N536">
        <f t="shared" si="26"/>
        <v>1</v>
      </c>
    </row>
    <row r="537" spans="1:14" x14ac:dyDescent="0.3">
      <c r="A537">
        <f>HeartData[[#This Row],[id]]</f>
        <v>536</v>
      </c>
      <c r="B537" s="4">
        <f>HeartData[[#This Row],[age]]</f>
        <v>46</v>
      </c>
      <c r="C537" t="str">
        <f>HeartData[[#This Row],[sex]]</f>
        <v>Male</v>
      </c>
      <c r="D537" t="str">
        <f t="shared" si="24"/>
        <v>45-54</v>
      </c>
      <c r="E537" t="str">
        <f>HeartData[[#This Row],[cp]]</f>
        <v>asymptomatic</v>
      </c>
      <c r="F537" t="str">
        <f>IF(HeartData[[#This Row],[num]]&gt;0, "Diseased", "Healthy")</f>
        <v>Diseased</v>
      </c>
      <c r="G537">
        <f>IF(HeartData[[#This Row],[chol]]&gt;$P$3, 1, 0)</f>
        <v>1</v>
      </c>
      <c r="H537">
        <f>IF(HeartData[[#This Row],[trestbps]]&gt;$P$4, 1, 0)</f>
        <v>1</v>
      </c>
      <c r="I537">
        <f>IF(HeartData[[#This Row],[oldpeak]]&gt;$P$5,1,0)</f>
        <v>0</v>
      </c>
      <c r="J537">
        <f>IF(HeartData[[#This Row],[exang]]="TRUE",1,0)</f>
        <v>0</v>
      </c>
      <c r="K537">
        <f>IF(HeartData[[#This Row],[fbs]]="TRUE",1,0)</f>
        <v>0</v>
      </c>
      <c r="L537">
        <f>IF(HeartData[[#This Row],[ca]]&gt;0,1,0)</f>
        <v>0</v>
      </c>
      <c r="M537">
        <f t="shared" si="25"/>
        <v>2</v>
      </c>
      <c r="N537">
        <f t="shared" si="26"/>
        <v>1</v>
      </c>
    </row>
    <row r="538" spans="1:14" x14ac:dyDescent="0.3">
      <c r="A538">
        <f>HeartData[[#This Row],[id]]</f>
        <v>537</v>
      </c>
      <c r="B538" s="4">
        <f>HeartData[[#This Row],[age]]</f>
        <v>48</v>
      </c>
      <c r="C538" t="str">
        <f>HeartData[[#This Row],[sex]]</f>
        <v>Male</v>
      </c>
      <c r="D538" t="str">
        <f t="shared" si="24"/>
        <v>45-54</v>
      </c>
      <c r="E538" t="str">
        <f>HeartData[[#This Row],[cp]]</f>
        <v>asymptomatic</v>
      </c>
      <c r="F538" t="str">
        <f>IF(HeartData[[#This Row],[num]]&gt;0, "Diseased", "Healthy")</f>
        <v>Diseased</v>
      </c>
      <c r="G538">
        <f>IF(HeartData[[#This Row],[chol]]&gt;$P$3, 1, 0)</f>
        <v>1</v>
      </c>
      <c r="H538">
        <f>IF(HeartData[[#This Row],[trestbps]]&gt;$P$4, 1, 0)</f>
        <v>1</v>
      </c>
      <c r="I538">
        <f>IF(HeartData[[#This Row],[oldpeak]]&gt;$P$5,1,0)</f>
        <v>1</v>
      </c>
      <c r="J538">
        <f>IF(HeartData[[#This Row],[exang]]="TRUE",1,0)</f>
        <v>1</v>
      </c>
      <c r="K538">
        <f>IF(HeartData[[#This Row],[fbs]]="TRUE",1,0)</f>
        <v>1</v>
      </c>
      <c r="L538">
        <f>IF(HeartData[[#This Row],[ca]]&gt;0,1,0)</f>
        <v>0</v>
      </c>
      <c r="M538">
        <f t="shared" si="25"/>
        <v>5</v>
      </c>
      <c r="N538">
        <f t="shared" si="26"/>
        <v>1</v>
      </c>
    </row>
    <row r="539" spans="1:14" x14ac:dyDescent="0.3">
      <c r="A539">
        <f>HeartData[[#This Row],[id]]</f>
        <v>538</v>
      </c>
      <c r="B539" s="4">
        <f>HeartData[[#This Row],[age]]</f>
        <v>48</v>
      </c>
      <c r="C539" t="str">
        <f>HeartData[[#This Row],[sex]]</f>
        <v>Male</v>
      </c>
      <c r="D539" t="str">
        <f t="shared" si="24"/>
        <v>45-54</v>
      </c>
      <c r="E539" t="str">
        <f>HeartData[[#This Row],[cp]]</f>
        <v>asymptomatic</v>
      </c>
      <c r="F539" t="str">
        <f>IF(HeartData[[#This Row],[num]]&gt;0, "Diseased", "Healthy")</f>
        <v>Diseased</v>
      </c>
      <c r="G539">
        <f>IF(HeartData[[#This Row],[chol]]&gt;$P$3, 1, 0)</f>
        <v>1</v>
      </c>
      <c r="H539">
        <f>IF(HeartData[[#This Row],[trestbps]]&gt;$P$4, 1, 0)</f>
        <v>1</v>
      </c>
      <c r="I539">
        <f>IF(HeartData[[#This Row],[oldpeak]]&gt;$P$5,1,0)</f>
        <v>1</v>
      </c>
      <c r="J539">
        <f>IF(HeartData[[#This Row],[exang]]="TRUE",1,0)</f>
        <v>1</v>
      </c>
      <c r="K539">
        <f>IF(HeartData[[#This Row],[fbs]]="TRUE",1,0)</f>
        <v>0</v>
      </c>
      <c r="L539">
        <f>IF(HeartData[[#This Row],[ca]]&gt;0,1,0)</f>
        <v>0</v>
      </c>
      <c r="M539">
        <f t="shared" si="25"/>
        <v>4</v>
      </c>
      <c r="N539">
        <f t="shared" si="26"/>
        <v>1</v>
      </c>
    </row>
    <row r="540" spans="1:14" x14ac:dyDescent="0.3">
      <c r="A540">
        <f>HeartData[[#This Row],[id]]</f>
        <v>539</v>
      </c>
      <c r="B540" s="4">
        <f>HeartData[[#This Row],[age]]</f>
        <v>48</v>
      </c>
      <c r="C540" t="str">
        <f>HeartData[[#This Row],[sex]]</f>
        <v>Male</v>
      </c>
      <c r="D540" t="str">
        <f t="shared" si="24"/>
        <v>45-54</v>
      </c>
      <c r="E540" t="str">
        <f>HeartData[[#This Row],[cp]]</f>
        <v>asymptomatic</v>
      </c>
      <c r="F540" t="str">
        <f>IF(HeartData[[#This Row],[num]]&gt;0, "Diseased", "Healthy")</f>
        <v>Diseased</v>
      </c>
      <c r="G540">
        <f>IF(HeartData[[#This Row],[chol]]&gt;$P$3, 1, 0)</f>
        <v>1</v>
      </c>
      <c r="H540">
        <f>IF(HeartData[[#This Row],[trestbps]]&gt;$P$4, 1, 0)</f>
        <v>1</v>
      </c>
      <c r="I540">
        <f>IF(HeartData[[#This Row],[oldpeak]]&gt;$P$5,1,0)</f>
        <v>1</v>
      </c>
      <c r="J540">
        <f>IF(HeartData[[#This Row],[exang]]="TRUE",1,0)</f>
        <v>1</v>
      </c>
      <c r="K540">
        <f>IF(HeartData[[#This Row],[fbs]]="TRUE",1,0)</f>
        <v>0</v>
      </c>
      <c r="L540">
        <f>IF(HeartData[[#This Row],[ca]]&gt;0,1,0)</f>
        <v>0</v>
      </c>
      <c r="M540">
        <f t="shared" si="25"/>
        <v>4</v>
      </c>
      <c r="N540">
        <f t="shared" si="26"/>
        <v>1</v>
      </c>
    </row>
    <row r="541" spans="1:14" x14ac:dyDescent="0.3">
      <c r="A541">
        <f>HeartData[[#This Row],[id]]</f>
        <v>540</v>
      </c>
      <c r="B541" s="4">
        <f>HeartData[[#This Row],[age]]</f>
        <v>48</v>
      </c>
      <c r="C541" t="str">
        <f>HeartData[[#This Row],[sex]]</f>
        <v>Male</v>
      </c>
      <c r="D541" t="str">
        <f t="shared" si="24"/>
        <v>45-54</v>
      </c>
      <c r="E541" t="str">
        <f>HeartData[[#This Row],[cp]]</f>
        <v>asymptomatic</v>
      </c>
      <c r="F541" t="str">
        <f>IF(HeartData[[#This Row],[num]]&gt;0, "Diseased", "Healthy")</f>
        <v>Diseased</v>
      </c>
      <c r="G541">
        <f>IF(HeartData[[#This Row],[chol]]&gt;$P$3, 1, 0)</f>
        <v>1</v>
      </c>
      <c r="H541">
        <f>IF(HeartData[[#This Row],[trestbps]]&gt;$P$4, 1, 0)</f>
        <v>1</v>
      </c>
      <c r="I541">
        <f>IF(HeartData[[#This Row],[oldpeak]]&gt;$P$5,1,0)</f>
        <v>1</v>
      </c>
      <c r="J541">
        <f>IF(HeartData[[#This Row],[exang]]="TRUE",1,0)</f>
        <v>1</v>
      </c>
      <c r="K541">
        <f>IF(HeartData[[#This Row],[fbs]]="TRUE",1,0)</f>
        <v>0</v>
      </c>
      <c r="L541">
        <f>IF(HeartData[[#This Row],[ca]]&gt;0,1,0)</f>
        <v>0</v>
      </c>
      <c r="M541">
        <f t="shared" si="25"/>
        <v>4</v>
      </c>
      <c r="N541">
        <f t="shared" si="26"/>
        <v>1</v>
      </c>
    </row>
    <row r="542" spans="1:14" x14ac:dyDescent="0.3">
      <c r="A542">
        <f>HeartData[[#This Row],[id]]</f>
        <v>541</v>
      </c>
      <c r="B542" s="4">
        <f>HeartData[[#This Row],[age]]</f>
        <v>50</v>
      </c>
      <c r="C542" t="str">
        <f>HeartData[[#This Row],[sex]]</f>
        <v>Male</v>
      </c>
      <c r="D542" t="str">
        <f t="shared" si="24"/>
        <v>45-54</v>
      </c>
      <c r="E542" t="str">
        <f>HeartData[[#This Row],[cp]]</f>
        <v>asymptomatic</v>
      </c>
      <c r="F542" t="str">
        <f>IF(HeartData[[#This Row],[num]]&gt;0, "Diseased", "Healthy")</f>
        <v>Diseased</v>
      </c>
      <c r="G542">
        <f>IF(HeartData[[#This Row],[chol]]&gt;$P$3, 1, 0)</f>
        <v>1</v>
      </c>
      <c r="H542">
        <f>IF(HeartData[[#This Row],[trestbps]]&gt;$P$4, 1, 0)</f>
        <v>1</v>
      </c>
      <c r="I542">
        <f>IF(HeartData[[#This Row],[oldpeak]]&gt;$P$5,1,0)</f>
        <v>1</v>
      </c>
      <c r="J542">
        <f>IF(HeartData[[#This Row],[exang]]="TRUE",1,0)</f>
        <v>1</v>
      </c>
      <c r="K542">
        <f>IF(HeartData[[#This Row],[fbs]]="TRUE",1,0)</f>
        <v>0</v>
      </c>
      <c r="L542">
        <f>IF(HeartData[[#This Row],[ca]]&gt;0,1,0)</f>
        <v>0</v>
      </c>
      <c r="M542">
        <f t="shared" si="25"/>
        <v>4</v>
      </c>
      <c r="N542">
        <f t="shared" si="26"/>
        <v>1</v>
      </c>
    </row>
    <row r="543" spans="1:14" x14ac:dyDescent="0.3">
      <c r="A543">
        <f>HeartData[[#This Row],[id]]</f>
        <v>542</v>
      </c>
      <c r="B543" s="4">
        <f>HeartData[[#This Row],[age]]</f>
        <v>52</v>
      </c>
      <c r="C543" t="str">
        <f>HeartData[[#This Row],[sex]]</f>
        <v>Male</v>
      </c>
      <c r="D543" t="str">
        <f t="shared" si="24"/>
        <v>45-54</v>
      </c>
      <c r="E543" t="str">
        <f>HeartData[[#This Row],[cp]]</f>
        <v>asymptomatic</v>
      </c>
      <c r="F543" t="str">
        <f>IF(HeartData[[#This Row],[num]]&gt;0, "Diseased", "Healthy")</f>
        <v>Diseased</v>
      </c>
      <c r="G543">
        <f>IF(HeartData[[#This Row],[chol]]&gt;$P$3, 1, 0)</f>
        <v>1</v>
      </c>
      <c r="H543">
        <f>IF(HeartData[[#This Row],[trestbps]]&gt;$P$4, 1, 0)</f>
        <v>1</v>
      </c>
      <c r="I543">
        <f>IF(HeartData[[#This Row],[oldpeak]]&gt;$P$5,1,0)</f>
        <v>0</v>
      </c>
      <c r="J543">
        <f>IF(HeartData[[#This Row],[exang]]="TRUE",1,0)</f>
        <v>0</v>
      </c>
      <c r="K543">
        <f>IF(HeartData[[#This Row],[fbs]]="TRUE",1,0)</f>
        <v>0</v>
      </c>
      <c r="L543">
        <f>IF(HeartData[[#This Row],[ca]]&gt;0,1,0)</f>
        <v>0</v>
      </c>
      <c r="M543">
        <f t="shared" si="25"/>
        <v>2</v>
      </c>
      <c r="N543">
        <f t="shared" si="26"/>
        <v>1</v>
      </c>
    </row>
    <row r="544" spans="1:14" x14ac:dyDescent="0.3">
      <c r="A544">
        <f>HeartData[[#This Row],[id]]</f>
        <v>543</v>
      </c>
      <c r="B544" s="4">
        <f>HeartData[[#This Row],[age]]</f>
        <v>52</v>
      </c>
      <c r="C544" t="str">
        <f>HeartData[[#This Row],[sex]]</f>
        <v>Male</v>
      </c>
      <c r="D544" t="str">
        <f t="shared" si="24"/>
        <v>45-54</v>
      </c>
      <c r="E544" t="str">
        <f>HeartData[[#This Row],[cp]]</f>
        <v>asymptomatic</v>
      </c>
      <c r="F544" t="str">
        <f>IF(HeartData[[#This Row],[num]]&gt;0, "Diseased", "Healthy")</f>
        <v>Diseased</v>
      </c>
      <c r="G544">
        <f>IF(HeartData[[#This Row],[chol]]&gt;$P$3, 1, 0)</f>
        <v>0</v>
      </c>
      <c r="H544">
        <f>IF(HeartData[[#This Row],[trestbps]]&gt;$P$4, 1, 0)</f>
        <v>1</v>
      </c>
      <c r="I544">
        <f>IF(HeartData[[#This Row],[oldpeak]]&gt;$P$5,1,0)</f>
        <v>1</v>
      </c>
      <c r="J544">
        <f>IF(HeartData[[#This Row],[exang]]="TRUE",1,0)</f>
        <v>1</v>
      </c>
      <c r="K544">
        <f>IF(HeartData[[#This Row],[fbs]]="TRUE",1,0)</f>
        <v>0</v>
      </c>
      <c r="L544">
        <f>IF(HeartData[[#This Row],[ca]]&gt;0,1,0)</f>
        <v>0</v>
      </c>
      <c r="M544">
        <f t="shared" si="25"/>
        <v>3</v>
      </c>
      <c r="N544">
        <f t="shared" si="26"/>
        <v>1</v>
      </c>
    </row>
    <row r="545" spans="1:14" x14ac:dyDescent="0.3">
      <c r="A545">
        <f>HeartData[[#This Row],[id]]</f>
        <v>544</v>
      </c>
      <c r="B545" s="4">
        <f>HeartData[[#This Row],[age]]</f>
        <v>53</v>
      </c>
      <c r="C545" t="str">
        <f>HeartData[[#This Row],[sex]]</f>
        <v>Male</v>
      </c>
      <c r="D545" t="str">
        <f t="shared" si="24"/>
        <v>45-54</v>
      </c>
      <c r="E545" t="str">
        <f>HeartData[[#This Row],[cp]]</f>
        <v>asymptomatic</v>
      </c>
      <c r="F545" t="str">
        <f>IF(HeartData[[#This Row],[num]]&gt;0, "Diseased", "Healthy")</f>
        <v>Diseased</v>
      </c>
      <c r="G545">
        <f>IF(HeartData[[#This Row],[chol]]&gt;$P$3, 1, 0)</f>
        <v>1</v>
      </c>
      <c r="H545">
        <f>IF(HeartData[[#This Row],[trestbps]]&gt;$P$4, 1, 0)</f>
        <v>1</v>
      </c>
      <c r="I545">
        <f>IF(HeartData[[#This Row],[oldpeak]]&gt;$P$5,1,0)</f>
        <v>0</v>
      </c>
      <c r="J545">
        <f>IF(HeartData[[#This Row],[exang]]="TRUE",1,0)</f>
        <v>1</v>
      </c>
      <c r="K545">
        <f>IF(HeartData[[#This Row],[fbs]]="TRUE",1,0)</f>
        <v>0</v>
      </c>
      <c r="L545">
        <f>IF(HeartData[[#This Row],[ca]]&gt;0,1,0)</f>
        <v>0</v>
      </c>
      <c r="M545">
        <f t="shared" si="25"/>
        <v>3</v>
      </c>
      <c r="N545">
        <f t="shared" si="26"/>
        <v>1</v>
      </c>
    </row>
    <row r="546" spans="1:14" x14ac:dyDescent="0.3">
      <c r="A546">
        <f>HeartData[[#This Row],[id]]</f>
        <v>545</v>
      </c>
      <c r="B546" s="4">
        <f>HeartData[[#This Row],[age]]</f>
        <v>54</v>
      </c>
      <c r="C546" t="str">
        <f>HeartData[[#This Row],[sex]]</f>
        <v>Male</v>
      </c>
      <c r="D546" t="str">
        <f t="shared" si="24"/>
        <v>45-54</v>
      </c>
      <c r="E546" t="str">
        <f>HeartData[[#This Row],[cp]]</f>
        <v>non-anginal</v>
      </c>
      <c r="F546" t="str">
        <f>IF(HeartData[[#This Row],[num]]&gt;0, "Diseased", "Healthy")</f>
        <v>Diseased</v>
      </c>
      <c r="G546">
        <f>IF(HeartData[[#This Row],[chol]]&gt;$P$3, 1, 0)</f>
        <v>1</v>
      </c>
      <c r="H546">
        <f>IF(HeartData[[#This Row],[trestbps]]&gt;$P$4, 1, 0)</f>
        <v>1</v>
      </c>
      <c r="I546">
        <f>IF(HeartData[[#This Row],[oldpeak]]&gt;$P$5,1,0)</f>
        <v>1</v>
      </c>
      <c r="J546">
        <f>IF(HeartData[[#This Row],[exang]]="TRUE",1,0)</f>
        <v>1</v>
      </c>
      <c r="K546">
        <f>IF(HeartData[[#This Row],[fbs]]="TRUE",1,0)</f>
        <v>0</v>
      </c>
      <c r="L546">
        <f>IF(HeartData[[#This Row],[ca]]&gt;0,1,0)</f>
        <v>0</v>
      </c>
      <c r="M546">
        <f t="shared" si="25"/>
        <v>4</v>
      </c>
      <c r="N546">
        <f t="shared" si="26"/>
        <v>1</v>
      </c>
    </row>
    <row r="547" spans="1:14" x14ac:dyDescent="0.3">
      <c r="A547">
        <f>HeartData[[#This Row],[id]]</f>
        <v>546</v>
      </c>
      <c r="B547" s="4">
        <f>HeartData[[#This Row],[age]]</f>
        <v>54</v>
      </c>
      <c r="C547" t="str">
        <f>HeartData[[#This Row],[sex]]</f>
        <v>Male</v>
      </c>
      <c r="D547" t="str">
        <f t="shared" si="24"/>
        <v>45-54</v>
      </c>
      <c r="E547" t="str">
        <f>HeartData[[#This Row],[cp]]</f>
        <v>asymptomatic</v>
      </c>
      <c r="F547" t="str">
        <f>IF(HeartData[[#This Row],[num]]&gt;0, "Diseased", "Healthy")</f>
        <v>Diseased</v>
      </c>
      <c r="G547">
        <f>IF(HeartData[[#This Row],[chol]]&gt;$P$3, 1, 0)</f>
        <v>1</v>
      </c>
      <c r="H547">
        <f>IF(HeartData[[#This Row],[trestbps]]&gt;$P$4, 1, 0)</f>
        <v>1</v>
      </c>
      <c r="I547">
        <f>IF(HeartData[[#This Row],[oldpeak]]&gt;$P$5,1,0)</f>
        <v>1</v>
      </c>
      <c r="J547">
        <f>IF(HeartData[[#This Row],[exang]]="TRUE",1,0)</f>
        <v>1</v>
      </c>
      <c r="K547">
        <f>IF(HeartData[[#This Row],[fbs]]="TRUE",1,0)</f>
        <v>0</v>
      </c>
      <c r="L547">
        <f>IF(HeartData[[#This Row],[ca]]&gt;0,1,0)</f>
        <v>0</v>
      </c>
      <c r="M547">
        <f t="shared" si="25"/>
        <v>4</v>
      </c>
      <c r="N547">
        <f t="shared" si="26"/>
        <v>1</v>
      </c>
    </row>
    <row r="548" spans="1:14" x14ac:dyDescent="0.3">
      <c r="A548">
        <f>HeartData[[#This Row],[id]]</f>
        <v>547</v>
      </c>
      <c r="B548" s="4">
        <f>HeartData[[#This Row],[age]]</f>
        <v>54</v>
      </c>
      <c r="C548" t="str">
        <f>HeartData[[#This Row],[sex]]</f>
        <v>Male</v>
      </c>
      <c r="D548" t="str">
        <f t="shared" si="24"/>
        <v>45-54</v>
      </c>
      <c r="E548" t="str">
        <f>HeartData[[#This Row],[cp]]</f>
        <v>asymptomatic</v>
      </c>
      <c r="F548" t="str">
        <f>IF(HeartData[[#This Row],[num]]&gt;0, "Diseased", "Healthy")</f>
        <v>Diseased</v>
      </c>
      <c r="G548">
        <f>IF(HeartData[[#This Row],[chol]]&gt;$P$3, 1, 0)</f>
        <v>1</v>
      </c>
      <c r="H548">
        <f>IF(HeartData[[#This Row],[trestbps]]&gt;$P$4, 1, 0)</f>
        <v>1</v>
      </c>
      <c r="I548">
        <f>IF(HeartData[[#This Row],[oldpeak]]&gt;$P$5,1,0)</f>
        <v>1</v>
      </c>
      <c r="J548">
        <f>IF(HeartData[[#This Row],[exang]]="TRUE",1,0)</f>
        <v>1</v>
      </c>
      <c r="K548">
        <f>IF(HeartData[[#This Row],[fbs]]="TRUE",1,0)</f>
        <v>1</v>
      </c>
      <c r="L548">
        <f>IF(HeartData[[#This Row],[ca]]&gt;0,1,0)</f>
        <v>0</v>
      </c>
      <c r="M548">
        <f t="shared" si="25"/>
        <v>5</v>
      </c>
      <c r="N548">
        <f t="shared" si="26"/>
        <v>1</v>
      </c>
    </row>
    <row r="549" spans="1:14" x14ac:dyDescent="0.3">
      <c r="A549">
        <f>HeartData[[#This Row],[id]]</f>
        <v>548</v>
      </c>
      <c r="B549" s="4">
        <f>HeartData[[#This Row],[age]]</f>
        <v>54</v>
      </c>
      <c r="C549" t="str">
        <f>HeartData[[#This Row],[sex]]</f>
        <v>Male</v>
      </c>
      <c r="D549" t="str">
        <f t="shared" si="24"/>
        <v>45-54</v>
      </c>
      <c r="E549" t="str">
        <f>HeartData[[#This Row],[cp]]</f>
        <v>asymptomatic</v>
      </c>
      <c r="F549" t="str">
        <f>IF(HeartData[[#This Row],[num]]&gt;0, "Diseased", "Healthy")</f>
        <v>Diseased</v>
      </c>
      <c r="G549">
        <f>IF(HeartData[[#This Row],[chol]]&gt;$P$3, 1, 0)</f>
        <v>0</v>
      </c>
      <c r="H549">
        <f>IF(HeartData[[#This Row],[trestbps]]&gt;$P$4, 1, 0)</f>
        <v>1</v>
      </c>
      <c r="I549">
        <f>IF(HeartData[[#This Row],[oldpeak]]&gt;$P$5,1,0)</f>
        <v>0</v>
      </c>
      <c r="J549">
        <f>IF(HeartData[[#This Row],[exang]]="TRUE",1,0)</f>
        <v>1</v>
      </c>
      <c r="K549">
        <f>IF(HeartData[[#This Row],[fbs]]="TRUE",1,0)</f>
        <v>0</v>
      </c>
      <c r="L549">
        <f>IF(HeartData[[#This Row],[ca]]&gt;0,1,0)</f>
        <v>0</v>
      </c>
      <c r="M549">
        <f t="shared" si="25"/>
        <v>2</v>
      </c>
      <c r="N549">
        <f t="shared" si="26"/>
        <v>1</v>
      </c>
    </row>
    <row r="550" spans="1:14" x14ac:dyDescent="0.3">
      <c r="A550">
        <f>HeartData[[#This Row],[id]]</f>
        <v>549</v>
      </c>
      <c r="B550" s="4">
        <f>HeartData[[#This Row],[age]]</f>
        <v>54</v>
      </c>
      <c r="C550" t="str">
        <f>HeartData[[#This Row],[sex]]</f>
        <v>Male</v>
      </c>
      <c r="D550" t="str">
        <f t="shared" si="24"/>
        <v>45-54</v>
      </c>
      <c r="E550" t="str">
        <f>HeartData[[#This Row],[cp]]</f>
        <v>asymptomatic</v>
      </c>
      <c r="F550" t="str">
        <f>IF(HeartData[[#This Row],[num]]&gt;0, "Diseased", "Healthy")</f>
        <v>Diseased</v>
      </c>
      <c r="G550">
        <f>IF(HeartData[[#This Row],[chol]]&gt;$P$3, 1, 0)</f>
        <v>1</v>
      </c>
      <c r="H550">
        <f>IF(HeartData[[#This Row],[trestbps]]&gt;$P$4, 1, 0)</f>
        <v>1</v>
      </c>
      <c r="I550">
        <f>IF(HeartData[[#This Row],[oldpeak]]&gt;$P$5,1,0)</f>
        <v>1</v>
      </c>
      <c r="J550">
        <f>IF(HeartData[[#This Row],[exang]]="TRUE",1,0)</f>
        <v>1</v>
      </c>
      <c r="K550">
        <f>IF(HeartData[[#This Row],[fbs]]="TRUE",1,0)</f>
        <v>0</v>
      </c>
      <c r="L550">
        <f>IF(HeartData[[#This Row],[ca]]&gt;0,1,0)</f>
        <v>0</v>
      </c>
      <c r="M550">
        <f t="shared" si="25"/>
        <v>4</v>
      </c>
      <c r="N550">
        <f t="shared" si="26"/>
        <v>1</v>
      </c>
    </row>
    <row r="551" spans="1:14" x14ac:dyDescent="0.3">
      <c r="A551">
        <f>HeartData[[#This Row],[id]]</f>
        <v>550</v>
      </c>
      <c r="B551" s="4">
        <f>HeartData[[#This Row],[age]]</f>
        <v>55</v>
      </c>
      <c r="C551" t="str">
        <f>HeartData[[#This Row],[sex]]</f>
        <v>Male</v>
      </c>
      <c r="D551" t="str">
        <f t="shared" si="24"/>
        <v>55-64</v>
      </c>
      <c r="E551" t="str">
        <f>HeartData[[#This Row],[cp]]</f>
        <v>asymptomatic</v>
      </c>
      <c r="F551" t="str">
        <f>IF(HeartData[[#This Row],[num]]&gt;0, "Diseased", "Healthy")</f>
        <v>Diseased</v>
      </c>
      <c r="G551">
        <f>IF(HeartData[[#This Row],[chol]]&gt;$P$3, 1, 0)</f>
        <v>1</v>
      </c>
      <c r="H551">
        <f>IF(HeartData[[#This Row],[trestbps]]&gt;$P$4, 1, 0)</f>
        <v>1</v>
      </c>
      <c r="I551">
        <f>IF(HeartData[[#This Row],[oldpeak]]&gt;$P$5,1,0)</f>
        <v>1</v>
      </c>
      <c r="J551">
        <f>IF(HeartData[[#This Row],[exang]]="TRUE",1,0)</f>
        <v>1</v>
      </c>
      <c r="K551">
        <f>IF(HeartData[[#This Row],[fbs]]="TRUE",1,0)</f>
        <v>0</v>
      </c>
      <c r="L551">
        <f>IF(HeartData[[#This Row],[ca]]&gt;0,1,0)</f>
        <v>0</v>
      </c>
      <c r="M551">
        <f t="shared" si="25"/>
        <v>4</v>
      </c>
      <c r="N551">
        <f t="shared" si="26"/>
        <v>1</v>
      </c>
    </row>
    <row r="552" spans="1:14" x14ac:dyDescent="0.3">
      <c r="A552">
        <f>HeartData[[#This Row],[id]]</f>
        <v>551</v>
      </c>
      <c r="B552" s="4">
        <f>HeartData[[#This Row],[age]]</f>
        <v>56</v>
      </c>
      <c r="C552" t="str">
        <f>HeartData[[#This Row],[sex]]</f>
        <v>Male</v>
      </c>
      <c r="D552" t="str">
        <f t="shared" si="24"/>
        <v>55-64</v>
      </c>
      <c r="E552" t="str">
        <f>HeartData[[#This Row],[cp]]</f>
        <v>asymptomatic</v>
      </c>
      <c r="F552" t="str">
        <f>IF(HeartData[[#This Row],[num]]&gt;0, "Diseased", "Healthy")</f>
        <v>Diseased</v>
      </c>
      <c r="G552">
        <f>IF(HeartData[[#This Row],[chol]]&gt;$P$3, 1, 0)</f>
        <v>1</v>
      </c>
      <c r="H552">
        <f>IF(HeartData[[#This Row],[trestbps]]&gt;$P$4, 1, 0)</f>
        <v>1</v>
      </c>
      <c r="I552">
        <f>IF(HeartData[[#This Row],[oldpeak]]&gt;$P$5,1,0)</f>
        <v>1</v>
      </c>
      <c r="J552">
        <f>IF(HeartData[[#This Row],[exang]]="TRUE",1,0)</f>
        <v>1</v>
      </c>
      <c r="K552">
        <f>IF(HeartData[[#This Row],[fbs]]="TRUE",1,0)</f>
        <v>1</v>
      </c>
      <c r="L552">
        <f>IF(HeartData[[#This Row],[ca]]&gt;0,1,0)</f>
        <v>0</v>
      </c>
      <c r="M552">
        <f t="shared" si="25"/>
        <v>5</v>
      </c>
      <c r="N552">
        <f t="shared" si="26"/>
        <v>1</v>
      </c>
    </row>
    <row r="553" spans="1:14" x14ac:dyDescent="0.3">
      <c r="A553">
        <f>HeartData[[#This Row],[id]]</f>
        <v>552</v>
      </c>
      <c r="B553" s="4">
        <f>HeartData[[#This Row],[age]]</f>
        <v>57</v>
      </c>
      <c r="C553" t="str">
        <f>HeartData[[#This Row],[sex]]</f>
        <v>Male</v>
      </c>
      <c r="D553" t="str">
        <f t="shared" si="24"/>
        <v>55-64</v>
      </c>
      <c r="E553" t="str">
        <f>HeartData[[#This Row],[cp]]</f>
        <v>asymptomatic</v>
      </c>
      <c r="F553" t="str">
        <f>IF(HeartData[[#This Row],[num]]&gt;0, "Diseased", "Healthy")</f>
        <v>Diseased</v>
      </c>
      <c r="G553">
        <f>IF(HeartData[[#This Row],[chol]]&gt;$P$3, 1, 0)</f>
        <v>1</v>
      </c>
      <c r="H553">
        <f>IF(HeartData[[#This Row],[trestbps]]&gt;$P$4, 1, 0)</f>
        <v>1</v>
      </c>
      <c r="I553">
        <f>IF(HeartData[[#This Row],[oldpeak]]&gt;$P$5,1,0)</f>
        <v>1</v>
      </c>
      <c r="J553">
        <f>IF(HeartData[[#This Row],[exang]]="TRUE",1,0)</f>
        <v>1</v>
      </c>
      <c r="K553">
        <f>IF(HeartData[[#This Row],[fbs]]="TRUE",1,0)</f>
        <v>0</v>
      </c>
      <c r="L553">
        <f>IF(HeartData[[#This Row],[ca]]&gt;0,1,0)</f>
        <v>0</v>
      </c>
      <c r="M553">
        <f t="shared" si="25"/>
        <v>4</v>
      </c>
      <c r="N553">
        <f t="shared" si="26"/>
        <v>1</v>
      </c>
    </row>
    <row r="554" spans="1:14" x14ac:dyDescent="0.3">
      <c r="A554">
        <f>HeartData[[#This Row],[id]]</f>
        <v>553</v>
      </c>
      <c r="B554" s="4">
        <f>HeartData[[#This Row],[age]]</f>
        <v>58</v>
      </c>
      <c r="C554" t="str">
        <f>HeartData[[#This Row],[sex]]</f>
        <v>Male</v>
      </c>
      <c r="D554" t="str">
        <f t="shared" si="24"/>
        <v>55-64</v>
      </c>
      <c r="E554" t="str">
        <f>HeartData[[#This Row],[cp]]</f>
        <v>non-anginal</v>
      </c>
      <c r="F554" t="str">
        <f>IF(HeartData[[#This Row],[num]]&gt;0, "Diseased", "Healthy")</f>
        <v>Diseased</v>
      </c>
      <c r="G554">
        <f>IF(HeartData[[#This Row],[chol]]&gt;$P$3, 1, 0)</f>
        <v>1</v>
      </c>
      <c r="H554">
        <f>IF(HeartData[[#This Row],[trestbps]]&gt;$P$4, 1, 0)</f>
        <v>1</v>
      </c>
      <c r="I554">
        <f>IF(HeartData[[#This Row],[oldpeak]]&gt;$P$5,1,0)</f>
        <v>0</v>
      </c>
      <c r="J554">
        <f>IF(HeartData[[#This Row],[exang]]="TRUE",1,0)</f>
        <v>0</v>
      </c>
      <c r="K554">
        <f>IF(HeartData[[#This Row],[fbs]]="TRUE",1,0)</f>
        <v>1</v>
      </c>
      <c r="L554">
        <f>IF(HeartData[[#This Row],[ca]]&gt;0,1,0)</f>
        <v>0</v>
      </c>
      <c r="M554">
        <f t="shared" si="25"/>
        <v>3</v>
      </c>
      <c r="N554">
        <f t="shared" si="26"/>
        <v>1</v>
      </c>
    </row>
    <row r="555" spans="1:14" x14ac:dyDescent="0.3">
      <c r="A555">
        <f>HeartData[[#This Row],[id]]</f>
        <v>554</v>
      </c>
      <c r="B555" s="4">
        <f>HeartData[[#This Row],[age]]</f>
        <v>58</v>
      </c>
      <c r="C555" t="str">
        <f>HeartData[[#This Row],[sex]]</f>
        <v>Male</v>
      </c>
      <c r="D555" t="str">
        <f t="shared" si="24"/>
        <v>55-64</v>
      </c>
      <c r="E555" t="str">
        <f>HeartData[[#This Row],[cp]]</f>
        <v>asymptomatic</v>
      </c>
      <c r="F555" t="str">
        <f>IF(HeartData[[#This Row],[num]]&gt;0, "Diseased", "Healthy")</f>
        <v>Diseased</v>
      </c>
      <c r="G555">
        <f>IF(HeartData[[#This Row],[chol]]&gt;$P$3, 1, 0)</f>
        <v>1</v>
      </c>
      <c r="H555">
        <f>IF(HeartData[[#This Row],[trestbps]]&gt;$P$4, 1, 0)</f>
        <v>1</v>
      </c>
      <c r="I555">
        <f>IF(HeartData[[#This Row],[oldpeak]]&gt;$P$5,1,0)</f>
        <v>1</v>
      </c>
      <c r="J555">
        <f>IF(HeartData[[#This Row],[exang]]="TRUE",1,0)</f>
        <v>1</v>
      </c>
      <c r="K555">
        <f>IF(HeartData[[#This Row],[fbs]]="TRUE",1,0)</f>
        <v>0</v>
      </c>
      <c r="L555">
        <f>IF(HeartData[[#This Row],[ca]]&gt;0,1,0)</f>
        <v>0</v>
      </c>
      <c r="M555">
        <f t="shared" si="25"/>
        <v>4</v>
      </c>
      <c r="N555">
        <f t="shared" si="26"/>
        <v>1</v>
      </c>
    </row>
    <row r="556" spans="1:14" x14ac:dyDescent="0.3">
      <c r="A556">
        <f>HeartData[[#This Row],[id]]</f>
        <v>555</v>
      </c>
      <c r="B556" s="4">
        <f>HeartData[[#This Row],[age]]</f>
        <v>41</v>
      </c>
      <c r="C556" t="str">
        <f>HeartData[[#This Row],[sex]]</f>
        <v>Male</v>
      </c>
      <c r="D556" t="str">
        <f t="shared" si="24"/>
        <v>Under 45</v>
      </c>
      <c r="E556" t="str">
        <f>HeartData[[#This Row],[cp]]</f>
        <v>asymptomatic</v>
      </c>
      <c r="F556" t="str">
        <f>IF(HeartData[[#This Row],[num]]&gt;0, "Diseased", "Healthy")</f>
        <v>Diseased</v>
      </c>
      <c r="G556">
        <f>IF(HeartData[[#This Row],[chol]]&gt;$P$3, 1, 0)</f>
        <v>1</v>
      </c>
      <c r="H556">
        <f>IF(HeartData[[#This Row],[trestbps]]&gt;$P$4, 1, 0)</f>
        <v>1</v>
      </c>
      <c r="I556">
        <f>IF(HeartData[[#This Row],[oldpeak]]&gt;$P$5,1,0)</f>
        <v>1</v>
      </c>
      <c r="J556">
        <f>IF(HeartData[[#This Row],[exang]]="TRUE",1,0)</f>
        <v>0</v>
      </c>
      <c r="K556">
        <f>IF(HeartData[[#This Row],[fbs]]="TRUE",1,0)</f>
        <v>0</v>
      </c>
      <c r="L556">
        <f>IF(HeartData[[#This Row],[ca]]&gt;0,1,0)</f>
        <v>0</v>
      </c>
      <c r="M556">
        <f t="shared" si="25"/>
        <v>3</v>
      </c>
      <c r="N556">
        <f t="shared" si="26"/>
        <v>1</v>
      </c>
    </row>
    <row r="557" spans="1:14" x14ac:dyDescent="0.3">
      <c r="A557">
        <f>HeartData[[#This Row],[id]]</f>
        <v>556</v>
      </c>
      <c r="B557" s="4">
        <f>HeartData[[#This Row],[age]]</f>
        <v>43</v>
      </c>
      <c r="C557" t="str">
        <f>HeartData[[#This Row],[sex]]</f>
        <v>Male</v>
      </c>
      <c r="D557" t="str">
        <f t="shared" si="24"/>
        <v>Under 45</v>
      </c>
      <c r="E557" t="str">
        <f>HeartData[[#This Row],[cp]]</f>
        <v>asymptomatic</v>
      </c>
      <c r="F557" t="str">
        <f>IF(HeartData[[#This Row],[num]]&gt;0, "Diseased", "Healthy")</f>
        <v>Diseased</v>
      </c>
      <c r="G557">
        <f>IF(HeartData[[#This Row],[chol]]&gt;$P$3, 1, 0)</f>
        <v>1</v>
      </c>
      <c r="H557">
        <f>IF(HeartData[[#This Row],[trestbps]]&gt;$P$4, 1, 0)</f>
        <v>1</v>
      </c>
      <c r="I557">
        <f>IF(HeartData[[#This Row],[oldpeak]]&gt;$P$5,1,0)</f>
        <v>1</v>
      </c>
      <c r="J557">
        <f>IF(HeartData[[#This Row],[exang]]="TRUE",1,0)</f>
        <v>1</v>
      </c>
      <c r="K557">
        <f>IF(HeartData[[#This Row],[fbs]]="TRUE",1,0)</f>
        <v>0</v>
      </c>
      <c r="L557">
        <f>IF(HeartData[[#This Row],[ca]]&gt;0,1,0)</f>
        <v>0</v>
      </c>
      <c r="M557">
        <f t="shared" si="25"/>
        <v>4</v>
      </c>
      <c r="N557">
        <f t="shared" si="26"/>
        <v>1</v>
      </c>
    </row>
    <row r="558" spans="1:14" x14ac:dyDescent="0.3">
      <c r="A558">
        <f>HeartData[[#This Row],[id]]</f>
        <v>557</v>
      </c>
      <c r="B558" s="4">
        <f>HeartData[[#This Row],[age]]</f>
        <v>44</v>
      </c>
      <c r="C558" t="str">
        <f>HeartData[[#This Row],[sex]]</f>
        <v>Male</v>
      </c>
      <c r="D558" t="str">
        <f t="shared" si="24"/>
        <v>Under 45</v>
      </c>
      <c r="E558" t="str">
        <f>HeartData[[#This Row],[cp]]</f>
        <v>atypical angina</v>
      </c>
      <c r="F558" t="str">
        <f>IF(HeartData[[#This Row],[num]]&gt;0, "Diseased", "Healthy")</f>
        <v>Diseased</v>
      </c>
      <c r="G558">
        <f>IF(HeartData[[#This Row],[chol]]&gt;$P$3, 1, 0)</f>
        <v>1</v>
      </c>
      <c r="H558">
        <f>IF(HeartData[[#This Row],[trestbps]]&gt;$P$4, 1, 0)</f>
        <v>1</v>
      </c>
      <c r="I558">
        <f>IF(HeartData[[#This Row],[oldpeak]]&gt;$P$5,1,0)</f>
        <v>1</v>
      </c>
      <c r="J558">
        <f>IF(HeartData[[#This Row],[exang]]="TRUE",1,0)</f>
        <v>1</v>
      </c>
      <c r="K558">
        <f>IF(HeartData[[#This Row],[fbs]]="TRUE",1,0)</f>
        <v>0</v>
      </c>
      <c r="L558">
        <f>IF(HeartData[[#This Row],[ca]]&gt;0,1,0)</f>
        <v>0</v>
      </c>
      <c r="M558">
        <f t="shared" si="25"/>
        <v>4</v>
      </c>
      <c r="N558">
        <f t="shared" si="26"/>
        <v>1</v>
      </c>
    </row>
    <row r="559" spans="1:14" x14ac:dyDescent="0.3">
      <c r="A559">
        <f>HeartData[[#This Row],[id]]</f>
        <v>558</v>
      </c>
      <c r="B559" s="4">
        <f>HeartData[[#This Row],[age]]</f>
        <v>44</v>
      </c>
      <c r="C559" t="str">
        <f>HeartData[[#This Row],[sex]]</f>
        <v>Male</v>
      </c>
      <c r="D559" t="str">
        <f t="shared" si="24"/>
        <v>Under 45</v>
      </c>
      <c r="E559" t="str">
        <f>HeartData[[#This Row],[cp]]</f>
        <v>asymptomatic</v>
      </c>
      <c r="F559" t="str">
        <f>IF(HeartData[[#This Row],[num]]&gt;0, "Diseased", "Healthy")</f>
        <v>Diseased</v>
      </c>
      <c r="G559">
        <f>IF(HeartData[[#This Row],[chol]]&gt;$P$3, 1, 0)</f>
        <v>1</v>
      </c>
      <c r="H559">
        <f>IF(HeartData[[#This Row],[trestbps]]&gt;$P$4, 1, 0)</f>
        <v>1</v>
      </c>
      <c r="I559">
        <f>IF(HeartData[[#This Row],[oldpeak]]&gt;$P$5,1,0)</f>
        <v>1</v>
      </c>
      <c r="J559">
        <f>IF(HeartData[[#This Row],[exang]]="TRUE",1,0)</f>
        <v>1</v>
      </c>
      <c r="K559">
        <f>IF(HeartData[[#This Row],[fbs]]="TRUE",1,0)</f>
        <v>0</v>
      </c>
      <c r="L559">
        <f>IF(HeartData[[#This Row],[ca]]&gt;0,1,0)</f>
        <v>0</v>
      </c>
      <c r="M559">
        <f t="shared" si="25"/>
        <v>4</v>
      </c>
      <c r="N559">
        <f t="shared" si="26"/>
        <v>1</v>
      </c>
    </row>
    <row r="560" spans="1:14" x14ac:dyDescent="0.3">
      <c r="A560">
        <f>HeartData[[#This Row],[id]]</f>
        <v>559</v>
      </c>
      <c r="B560" s="4">
        <f>HeartData[[#This Row],[age]]</f>
        <v>46</v>
      </c>
      <c r="C560" t="str">
        <f>HeartData[[#This Row],[sex]]</f>
        <v>Male</v>
      </c>
      <c r="D560" t="str">
        <f t="shared" si="24"/>
        <v>45-54</v>
      </c>
      <c r="E560" t="str">
        <f>HeartData[[#This Row],[cp]]</f>
        <v>typical angina</v>
      </c>
      <c r="F560" t="str">
        <f>IF(HeartData[[#This Row],[num]]&gt;0, "Diseased", "Healthy")</f>
        <v>Diseased</v>
      </c>
      <c r="G560">
        <f>IF(HeartData[[#This Row],[chol]]&gt;$P$3, 1, 0)</f>
        <v>1</v>
      </c>
      <c r="H560">
        <f>IF(HeartData[[#This Row],[trestbps]]&gt;$P$4, 1, 0)</f>
        <v>1</v>
      </c>
      <c r="I560">
        <f>IF(HeartData[[#This Row],[oldpeak]]&gt;$P$5,1,0)</f>
        <v>1</v>
      </c>
      <c r="J560">
        <f>IF(HeartData[[#This Row],[exang]]="TRUE",1,0)</f>
        <v>0</v>
      </c>
      <c r="K560">
        <f>IF(HeartData[[#This Row],[fbs]]="TRUE",1,0)</f>
        <v>1</v>
      </c>
      <c r="L560">
        <f>IF(HeartData[[#This Row],[ca]]&gt;0,1,0)</f>
        <v>0</v>
      </c>
      <c r="M560">
        <f t="shared" si="25"/>
        <v>4</v>
      </c>
      <c r="N560">
        <f t="shared" si="26"/>
        <v>1</v>
      </c>
    </row>
    <row r="561" spans="1:14" x14ac:dyDescent="0.3">
      <c r="A561">
        <f>HeartData[[#This Row],[id]]</f>
        <v>560</v>
      </c>
      <c r="B561" s="4">
        <f>HeartData[[#This Row],[age]]</f>
        <v>47</v>
      </c>
      <c r="C561" t="str">
        <f>HeartData[[#This Row],[sex]]</f>
        <v>Female</v>
      </c>
      <c r="D561" t="str">
        <f t="shared" si="24"/>
        <v>45-54</v>
      </c>
      <c r="E561" t="str">
        <f>HeartData[[#This Row],[cp]]</f>
        <v>non-anginal</v>
      </c>
      <c r="F561" t="str">
        <f>IF(HeartData[[#This Row],[num]]&gt;0, "Diseased", "Healthy")</f>
        <v>Diseased</v>
      </c>
      <c r="G561">
        <f>IF(HeartData[[#This Row],[chol]]&gt;$P$3, 1, 0)</f>
        <v>1</v>
      </c>
      <c r="H561">
        <f>IF(HeartData[[#This Row],[trestbps]]&gt;$P$4, 1, 0)</f>
        <v>1</v>
      </c>
      <c r="I561">
        <f>IF(HeartData[[#This Row],[oldpeak]]&gt;$P$5,1,0)</f>
        <v>0</v>
      </c>
      <c r="J561">
        <f>IF(HeartData[[#This Row],[exang]]="TRUE",1,0)</f>
        <v>0</v>
      </c>
      <c r="K561">
        <f>IF(HeartData[[#This Row],[fbs]]="TRUE",1,0)</f>
        <v>1</v>
      </c>
      <c r="L561">
        <f>IF(HeartData[[#This Row],[ca]]&gt;0,1,0)</f>
        <v>0</v>
      </c>
      <c r="M561">
        <f t="shared" si="25"/>
        <v>3</v>
      </c>
      <c r="N561">
        <f t="shared" si="26"/>
        <v>1</v>
      </c>
    </row>
    <row r="562" spans="1:14" x14ac:dyDescent="0.3">
      <c r="A562">
        <f>HeartData[[#This Row],[id]]</f>
        <v>561</v>
      </c>
      <c r="B562" s="4">
        <f>HeartData[[#This Row],[age]]</f>
        <v>48</v>
      </c>
      <c r="C562" t="str">
        <f>HeartData[[#This Row],[sex]]</f>
        <v>Female</v>
      </c>
      <c r="D562" t="str">
        <f t="shared" si="24"/>
        <v>45-54</v>
      </c>
      <c r="E562" t="str">
        <f>HeartData[[#This Row],[cp]]</f>
        <v>asymptomatic</v>
      </c>
      <c r="F562" t="str">
        <f>IF(HeartData[[#This Row],[num]]&gt;0, "Diseased", "Healthy")</f>
        <v>Diseased</v>
      </c>
      <c r="G562">
        <f>IF(HeartData[[#This Row],[chol]]&gt;$P$3, 1, 0)</f>
        <v>1</v>
      </c>
      <c r="H562">
        <f>IF(HeartData[[#This Row],[trestbps]]&gt;$P$4, 1, 0)</f>
        <v>1</v>
      </c>
      <c r="I562">
        <f>IF(HeartData[[#This Row],[oldpeak]]&gt;$P$5,1,0)</f>
        <v>1</v>
      </c>
      <c r="J562">
        <f>IF(HeartData[[#This Row],[exang]]="TRUE",1,0)</f>
        <v>1</v>
      </c>
      <c r="K562">
        <f>IF(HeartData[[#This Row],[fbs]]="TRUE",1,0)</f>
        <v>0</v>
      </c>
      <c r="L562">
        <f>IF(HeartData[[#This Row],[ca]]&gt;0,1,0)</f>
        <v>0</v>
      </c>
      <c r="M562">
        <f t="shared" si="25"/>
        <v>4</v>
      </c>
      <c r="N562">
        <f t="shared" si="26"/>
        <v>1</v>
      </c>
    </row>
    <row r="563" spans="1:14" x14ac:dyDescent="0.3">
      <c r="A563">
        <f>HeartData[[#This Row],[id]]</f>
        <v>562</v>
      </c>
      <c r="B563" s="4">
        <f>HeartData[[#This Row],[age]]</f>
        <v>49</v>
      </c>
      <c r="C563" t="str">
        <f>HeartData[[#This Row],[sex]]</f>
        <v>Male</v>
      </c>
      <c r="D563" t="str">
        <f t="shared" si="24"/>
        <v>45-54</v>
      </c>
      <c r="E563" t="str">
        <f>HeartData[[#This Row],[cp]]</f>
        <v>asymptomatic</v>
      </c>
      <c r="F563" t="str">
        <f>IF(HeartData[[#This Row],[num]]&gt;0, "Diseased", "Healthy")</f>
        <v>Diseased</v>
      </c>
      <c r="G563">
        <f>IF(HeartData[[#This Row],[chol]]&gt;$P$3, 1, 0)</f>
        <v>1</v>
      </c>
      <c r="H563">
        <f>IF(HeartData[[#This Row],[trestbps]]&gt;$P$4, 1, 0)</f>
        <v>1</v>
      </c>
      <c r="I563">
        <f>IF(HeartData[[#This Row],[oldpeak]]&gt;$P$5,1,0)</f>
        <v>1</v>
      </c>
      <c r="J563">
        <f>IF(HeartData[[#This Row],[exang]]="TRUE",1,0)</f>
        <v>1</v>
      </c>
      <c r="K563">
        <f>IF(HeartData[[#This Row],[fbs]]="TRUE",1,0)</f>
        <v>0</v>
      </c>
      <c r="L563">
        <f>IF(HeartData[[#This Row],[ca]]&gt;0,1,0)</f>
        <v>0</v>
      </c>
      <c r="M563">
        <f t="shared" si="25"/>
        <v>4</v>
      </c>
      <c r="N563">
        <f t="shared" si="26"/>
        <v>1</v>
      </c>
    </row>
    <row r="564" spans="1:14" x14ac:dyDescent="0.3">
      <c r="A564">
        <f>HeartData[[#This Row],[id]]</f>
        <v>563</v>
      </c>
      <c r="B564" s="4">
        <f>HeartData[[#This Row],[age]]</f>
        <v>49</v>
      </c>
      <c r="C564" t="str">
        <f>HeartData[[#This Row],[sex]]</f>
        <v>Male</v>
      </c>
      <c r="D564" t="str">
        <f t="shared" si="24"/>
        <v>45-54</v>
      </c>
      <c r="E564" t="str">
        <f>HeartData[[#This Row],[cp]]</f>
        <v>asymptomatic</v>
      </c>
      <c r="F564" t="str">
        <f>IF(HeartData[[#This Row],[num]]&gt;0, "Diseased", "Healthy")</f>
        <v>Diseased</v>
      </c>
      <c r="G564">
        <f>IF(HeartData[[#This Row],[chol]]&gt;$P$3, 1, 0)</f>
        <v>1</v>
      </c>
      <c r="H564">
        <f>IF(HeartData[[#This Row],[trestbps]]&gt;$P$4, 1, 0)</f>
        <v>1</v>
      </c>
      <c r="I564">
        <f>IF(HeartData[[#This Row],[oldpeak]]&gt;$P$5,1,0)</f>
        <v>1</v>
      </c>
      <c r="J564">
        <f>IF(HeartData[[#This Row],[exang]]="TRUE",1,0)</f>
        <v>1</v>
      </c>
      <c r="K564">
        <f>IF(HeartData[[#This Row],[fbs]]="TRUE",1,0)</f>
        <v>0</v>
      </c>
      <c r="L564">
        <f>IF(HeartData[[#This Row],[ca]]&gt;0,1,0)</f>
        <v>0</v>
      </c>
      <c r="M564">
        <f t="shared" si="25"/>
        <v>4</v>
      </c>
      <c r="N564">
        <f t="shared" si="26"/>
        <v>1</v>
      </c>
    </row>
    <row r="565" spans="1:14" x14ac:dyDescent="0.3">
      <c r="A565">
        <f>HeartData[[#This Row],[id]]</f>
        <v>564</v>
      </c>
      <c r="B565" s="4">
        <f>HeartData[[#This Row],[age]]</f>
        <v>51</v>
      </c>
      <c r="C565" t="str">
        <f>HeartData[[#This Row],[sex]]</f>
        <v>Male</v>
      </c>
      <c r="D565" t="str">
        <f t="shared" si="24"/>
        <v>45-54</v>
      </c>
      <c r="E565" t="str">
        <f>HeartData[[#This Row],[cp]]</f>
        <v>non-anginal</v>
      </c>
      <c r="F565" t="str">
        <f>IF(HeartData[[#This Row],[num]]&gt;0, "Diseased", "Healthy")</f>
        <v>Diseased</v>
      </c>
      <c r="G565">
        <f>IF(HeartData[[#This Row],[chol]]&gt;$P$3, 1, 0)</f>
        <v>1</v>
      </c>
      <c r="H565">
        <f>IF(HeartData[[#This Row],[trestbps]]&gt;$P$4, 1, 0)</f>
        <v>1</v>
      </c>
      <c r="I565">
        <f>IF(HeartData[[#This Row],[oldpeak]]&gt;$P$5,1,0)</f>
        <v>1</v>
      </c>
      <c r="J565">
        <f>IF(HeartData[[#This Row],[exang]]="TRUE",1,0)</f>
        <v>0</v>
      </c>
      <c r="K565">
        <f>IF(HeartData[[#This Row],[fbs]]="TRUE",1,0)</f>
        <v>0</v>
      </c>
      <c r="L565">
        <f>IF(HeartData[[#This Row],[ca]]&gt;0,1,0)</f>
        <v>0</v>
      </c>
      <c r="M565">
        <f t="shared" si="25"/>
        <v>3</v>
      </c>
      <c r="N565">
        <f t="shared" si="26"/>
        <v>1</v>
      </c>
    </row>
    <row r="566" spans="1:14" x14ac:dyDescent="0.3">
      <c r="A566">
        <f>HeartData[[#This Row],[id]]</f>
        <v>565</v>
      </c>
      <c r="B566" s="4">
        <f>HeartData[[#This Row],[age]]</f>
        <v>52</v>
      </c>
      <c r="C566" t="str">
        <f>HeartData[[#This Row],[sex]]</f>
        <v>Male</v>
      </c>
      <c r="D566" t="str">
        <f t="shared" si="24"/>
        <v>45-54</v>
      </c>
      <c r="E566" t="str">
        <f>HeartData[[#This Row],[cp]]</f>
        <v>asymptomatic</v>
      </c>
      <c r="F566" t="str">
        <f>IF(HeartData[[#This Row],[num]]&gt;0, "Diseased", "Healthy")</f>
        <v>Diseased</v>
      </c>
      <c r="G566">
        <f>IF(HeartData[[#This Row],[chol]]&gt;$P$3, 1, 0)</f>
        <v>1</v>
      </c>
      <c r="H566">
        <f>IF(HeartData[[#This Row],[trestbps]]&gt;$P$4, 1, 0)</f>
        <v>1</v>
      </c>
      <c r="I566">
        <f>IF(HeartData[[#This Row],[oldpeak]]&gt;$P$5,1,0)</f>
        <v>1</v>
      </c>
      <c r="J566">
        <f>IF(HeartData[[#This Row],[exang]]="TRUE",1,0)</f>
        <v>1</v>
      </c>
      <c r="K566">
        <f>IF(HeartData[[#This Row],[fbs]]="TRUE",1,0)</f>
        <v>0</v>
      </c>
      <c r="L566">
        <f>IF(HeartData[[#This Row],[ca]]&gt;0,1,0)</f>
        <v>0</v>
      </c>
      <c r="M566">
        <f t="shared" si="25"/>
        <v>4</v>
      </c>
      <c r="N566">
        <f t="shared" si="26"/>
        <v>1</v>
      </c>
    </row>
    <row r="567" spans="1:14" x14ac:dyDescent="0.3">
      <c r="A567">
        <f>HeartData[[#This Row],[id]]</f>
        <v>566</v>
      </c>
      <c r="B567" s="4">
        <f>HeartData[[#This Row],[age]]</f>
        <v>52</v>
      </c>
      <c r="C567" t="str">
        <f>HeartData[[#This Row],[sex]]</f>
        <v>Male</v>
      </c>
      <c r="D567" t="str">
        <f t="shared" si="24"/>
        <v>45-54</v>
      </c>
      <c r="E567" t="str">
        <f>HeartData[[#This Row],[cp]]</f>
        <v>asymptomatic</v>
      </c>
      <c r="F567" t="str">
        <f>IF(HeartData[[#This Row],[num]]&gt;0, "Diseased", "Healthy")</f>
        <v>Diseased</v>
      </c>
      <c r="G567">
        <f>IF(HeartData[[#This Row],[chol]]&gt;$P$3, 1, 0)</f>
        <v>1</v>
      </c>
      <c r="H567">
        <f>IF(HeartData[[#This Row],[trestbps]]&gt;$P$4, 1, 0)</f>
        <v>1</v>
      </c>
      <c r="I567">
        <f>IF(HeartData[[#This Row],[oldpeak]]&gt;$P$5,1,0)</f>
        <v>1</v>
      </c>
      <c r="J567">
        <f>IF(HeartData[[#This Row],[exang]]="TRUE",1,0)</f>
        <v>1</v>
      </c>
      <c r="K567">
        <f>IF(HeartData[[#This Row],[fbs]]="TRUE",1,0)</f>
        <v>0</v>
      </c>
      <c r="L567">
        <f>IF(HeartData[[#This Row],[ca]]&gt;0,1,0)</f>
        <v>0</v>
      </c>
      <c r="M567">
        <f t="shared" si="25"/>
        <v>4</v>
      </c>
      <c r="N567">
        <f t="shared" si="26"/>
        <v>1</v>
      </c>
    </row>
    <row r="568" spans="1:14" x14ac:dyDescent="0.3">
      <c r="A568">
        <f>HeartData[[#This Row],[id]]</f>
        <v>567</v>
      </c>
      <c r="B568" s="4">
        <f>HeartData[[#This Row],[age]]</f>
        <v>52</v>
      </c>
      <c r="C568" t="str">
        <f>HeartData[[#This Row],[sex]]</f>
        <v>Male</v>
      </c>
      <c r="D568" t="str">
        <f t="shared" si="24"/>
        <v>45-54</v>
      </c>
      <c r="E568" t="str">
        <f>HeartData[[#This Row],[cp]]</f>
        <v>asymptomatic</v>
      </c>
      <c r="F568" t="str">
        <f>IF(HeartData[[#This Row],[num]]&gt;0, "Diseased", "Healthy")</f>
        <v>Diseased</v>
      </c>
      <c r="G568">
        <f>IF(HeartData[[#This Row],[chol]]&gt;$P$3, 1, 0)</f>
        <v>1</v>
      </c>
      <c r="H568">
        <f>IF(HeartData[[#This Row],[trestbps]]&gt;$P$4, 1, 0)</f>
        <v>1</v>
      </c>
      <c r="I568">
        <f>IF(HeartData[[#This Row],[oldpeak]]&gt;$P$5,1,0)</f>
        <v>1</v>
      </c>
      <c r="J568">
        <f>IF(HeartData[[#This Row],[exang]]="TRUE",1,0)</f>
        <v>1</v>
      </c>
      <c r="K568">
        <f>IF(HeartData[[#This Row],[fbs]]="TRUE",1,0)</f>
        <v>0</v>
      </c>
      <c r="L568">
        <f>IF(HeartData[[#This Row],[ca]]&gt;0,1,0)</f>
        <v>0</v>
      </c>
      <c r="M568">
        <f t="shared" si="25"/>
        <v>4</v>
      </c>
      <c r="N568">
        <f t="shared" si="26"/>
        <v>1</v>
      </c>
    </row>
    <row r="569" spans="1:14" x14ac:dyDescent="0.3">
      <c r="A569">
        <f>HeartData[[#This Row],[id]]</f>
        <v>568</v>
      </c>
      <c r="B569" s="4">
        <f>HeartData[[#This Row],[age]]</f>
        <v>52</v>
      </c>
      <c r="C569" t="str">
        <f>HeartData[[#This Row],[sex]]</f>
        <v>Male</v>
      </c>
      <c r="D569" t="str">
        <f t="shared" si="24"/>
        <v>45-54</v>
      </c>
      <c r="E569" t="str">
        <f>HeartData[[#This Row],[cp]]</f>
        <v>asymptomatic</v>
      </c>
      <c r="F569" t="str">
        <f>IF(HeartData[[#This Row],[num]]&gt;0, "Diseased", "Healthy")</f>
        <v>Diseased</v>
      </c>
      <c r="G569">
        <f>IF(HeartData[[#This Row],[chol]]&gt;$P$3, 1, 0)</f>
        <v>1</v>
      </c>
      <c r="H569">
        <f>IF(HeartData[[#This Row],[trestbps]]&gt;$P$4, 1, 0)</f>
        <v>1</v>
      </c>
      <c r="I569">
        <f>IF(HeartData[[#This Row],[oldpeak]]&gt;$P$5,1,0)</f>
        <v>1</v>
      </c>
      <c r="J569">
        <f>IF(HeartData[[#This Row],[exang]]="TRUE",1,0)</f>
        <v>1</v>
      </c>
      <c r="K569">
        <f>IF(HeartData[[#This Row],[fbs]]="TRUE",1,0)</f>
        <v>0</v>
      </c>
      <c r="L569">
        <f>IF(HeartData[[#This Row],[ca]]&gt;0,1,0)</f>
        <v>0</v>
      </c>
      <c r="M569">
        <f t="shared" si="25"/>
        <v>4</v>
      </c>
      <c r="N569">
        <f t="shared" si="26"/>
        <v>1</v>
      </c>
    </row>
    <row r="570" spans="1:14" x14ac:dyDescent="0.3">
      <c r="A570">
        <f>HeartData[[#This Row],[id]]</f>
        <v>569</v>
      </c>
      <c r="B570" s="4">
        <f>HeartData[[#This Row],[age]]</f>
        <v>53</v>
      </c>
      <c r="C570" t="str">
        <f>HeartData[[#This Row],[sex]]</f>
        <v>Male</v>
      </c>
      <c r="D570" t="str">
        <f t="shared" si="24"/>
        <v>45-54</v>
      </c>
      <c r="E570" t="str">
        <f>HeartData[[#This Row],[cp]]</f>
        <v>non-anginal</v>
      </c>
      <c r="F570" t="str">
        <f>IF(HeartData[[#This Row],[num]]&gt;0, "Diseased", "Healthy")</f>
        <v>Diseased</v>
      </c>
      <c r="G570">
        <f>IF(HeartData[[#This Row],[chol]]&gt;$P$3, 1, 0)</f>
        <v>1</v>
      </c>
      <c r="H570">
        <f>IF(HeartData[[#This Row],[trestbps]]&gt;$P$4, 1, 0)</f>
        <v>1</v>
      </c>
      <c r="I570">
        <f>IF(HeartData[[#This Row],[oldpeak]]&gt;$P$5,1,0)</f>
        <v>0</v>
      </c>
      <c r="J570">
        <f>IF(HeartData[[#This Row],[exang]]="TRUE",1,0)</f>
        <v>0</v>
      </c>
      <c r="K570">
        <f>IF(HeartData[[#This Row],[fbs]]="TRUE",1,0)</f>
        <v>0</v>
      </c>
      <c r="L570">
        <f>IF(HeartData[[#This Row],[ca]]&gt;0,1,0)</f>
        <v>0</v>
      </c>
      <c r="M570">
        <f t="shared" si="25"/>
        <v>2</v>
      </c>
      <c r="N570">
        <f t="shared" si="26"/>
        <v>1</v>
      </c>
    </row>
    <row r="571" spans="1:14" x14ac:dyDescent="0.3">
      <c r="A571">
        <f>HeartData[[#This Row],[id]]</f>
        <v>570</v>
      </c>
      <c r="B571" s="4">
        <f>HeartData[[#This Row],[age]]</f>
        <v>53</v>
      </c>
      <c r="C571" t="str">
        <f>HeartData[[#This Row],[sex]]</f>
        <v>Male</v>
      </c>
      <c r="D571" t="str">
        <f t="shared" si="24"/>
        <v>45-54</v>
      </c>
      <c r="E571" t="str">
        <f>HeartData[[#This Row],[cp]]</f>
        <v>asymptomatic</v>
      </c>
      <c r="F571" t="str">
        <f>IF(HeartData[[#This Row],[num]]&gt;0, "Diseased", "Healthy")</f>
        <v>Diseased</v>
      </c>
      <c r="G571">
        <f>IF(HeartData[[#This Row],[chol]]&gt;$P$3, 1, 0)</f>
        <v>1</v>
      </c>
      <c r="H571">
        <f>IF(HeartData[[#This Row],[trestbps]]&gt;$P$4, 1, 0)</f>
        <v>1</v>
      </c>
      <c r="I571">
        <f>IF(HeartData[[#This Row],[oldpeak]]&gt;$P$5,1,0)</f>
        <v>1</v>
      </c>
      <c r="J571">
        <f>IF(HeartData[[#This Row],[exang]]="TRUE",1,0)</f>
        <v>1</v>
      </c>
      <c r="K571">
        <f>IF(HeartData[[#This Row],[fbs]]="TRUE",1,0)</f>
        <v>0</v>
      </c>
      <c r="L571">
        <f>IF(HeartData[[#This Row],[ca]]&gt;0,1,0)</f>
        <v>0</v>
      </c>
      <c r="M571">
        <f t="shared" si="25"/>
        <v>4</v>
      </c>
      <c r="N571">
        <f t="shared" si="26"/>
        <v>1</v>
      </c>
    </row>
    <row r="572" spans="1:14" x14ac:dyDescent="0.3">
      <c r="A572">
        <f>HeartData[[#This Row],[id]]</f>
        <v>571</v>
      </c>
      <c r="B572" s="4">
        <f>HeartData[[#This Row],[age]]</f>
        <v>54</v>
      </c>
      <c r="C572" t="str">
        <f>HeartData[[#This Row],[sex]]</f>
        <v>Male</v>
      </c>
      <c r="D572" t="str">
        <f t="shared" si="24"/>
        <v>45-54</v>
      </c>
      <c r="E572" t="str">
        <f>HeartData[[#This Row],[cp]]</f>
        <v>asymptomatic</v>
      </c>
      <c r="F572" t="str">
        <f>IF(HeartData[[#This Row],[num]]&gt;0, "Diseased", "Healthy")</f>
        <v>Diseased</v>
      </c>
      <c r="G572">
        <f>IF(HeartData[[#This Row],[chol]]&gt;$P$3, 1, 0)</f>
        <v>1</v>
      </c>
      <c r="H572">
        <f>IF(HeartData[[#This Row],[trestbps]]&gt;$P$4, 1, 0)</f>
        <v>1</v>
      </c>
      <c r="I572">
        <f>IF(HeartData[[#This Row],[oldpeak]]&gt;$P$5,1,0)</f>
        <v>1</v>
      </c>
      <c r="J572">
        <f>IF(HeartData[[#This Row],[exang]]="TRUE",1,0)</f>
        <v>0</v>
      </c>
      <c r="K572">
        <f>IF(HeartData[[#This Row],[fbs]]="TRUE",1,0)</f>
        <v>0</v>
      </c>
      <c r="L572">
        <f>IF(HeartData[[#This Row],[ca]]&gt;0,1,0)</f>
        <v>0</v>
      </c>
      <c r="M572">
        <f t="shared" si="25"/>
        <v>3</v>
      </c>
      <c r="N572">
        <f t="shared" si="26"/>
        <v>1</v>
      </c>
    </row>
    <row r="573" spans="1:14" x14ac:dyDescent="0.3">
      <c r="A573">
        <f>HeartData[[#This Row],[id]]</f>
        <v>572</v>
      </c>
      <c r="B573" s="4">
        <f>HeartData[[#This Row],[age]]</f>
        <v>55</v>
      </c>
      <c r="C573" t="str">
        <f>HeartData[[#This Row],[sex]]</f>
        <v>Male</v>
      </c>
      <c r="D573" t="str">
        <f t="shared" si="24"/>
        <v>55-64</v>
      </c>
      <c r="E573" t="str">
        <f>HeartData[[#This Row],[cp]]</f>
        <v>typical angina</v>
      </c>
      <c r="F573" t="str">
        <f>IF(HeartData[[#This Row],[num]]&gt;0, "Diseased", "Healthy")</f>
        <v>Diseased</v>
      </c>
      <c r="G573">
        <f>IF(HeartData[[#This Row],[chol]]&gt;$P$3, 1, 0)</f>
        <v>1</v>
      </c>
      <c r="H573">
        <f>IF(HeartData[[#This Row],[trestbps]]&gt;$P$4, 1, 0)</f>
        <v>1</v>
      </c>
      <c r="I573">
        <f>IF(HeartData[[#This Row],[oldpeak]]&gt;$P$5,1,0)</f>
        <v>0</v>
      </c>
      <c r="J573">
        <f>IF(HeartData[[#This Row],[exang]]="TRUE",1,0)</f>
        <v>0</v>
      </c>
      <c r="K573">
        <f>IF(HeartData[[#This Row],[fbs]]="TRUE",1,0)</f>
        <v>0</v>
      </c>
      <c r="L573">
        <f>IF(HeartData[[#This Row],[ca]]&gt;0,1,0)</f>
        <v>0</v>
      </c>
      <c r="M573">
        <f t="shared" si="25"/>
        <v>2</v>
      </c>
      <c r="N573">
        <f t="shared" si="26"/>
        <v>1</v>
      </c>
    </row>
    <row r="574" spans="1:14" x14ac:dyDescent="0.3">
      <c r="A574">
        <f>HeartData[[#This Row],[id]]</f>
        <v>573</v>
      </c>
      <c r="B574" s="4">
        <f>HeartData[[#This Row],[age]]</f>
        <v>55</v>
      </c>
      <c r="C574" t="str">
        <f>HeartData[[#This Row],[sex]]</f>
        <v>Male</v>
      </c>
      <c r="D574" t="str">
        <f t="shared" si="24"/>
        <v>55-64</v>
      </c>
      <c r="E574" t="str">
        <f>HeartData[[#This Row],[cp]]</f>
        <v>atypical angina</v>
      </c>
      <c r="F574" t="str">
        <f>IF(HeartData[[#This Row],[num]]&gt;0, "Diseased", "Healthy")</f>
        <v>Diseased</v>
      </c>
      <c r="G574">
        <f>IF(HeartData[[#This Row],[chol]]&gt;$P$3, 1, 0)</f>
        <v>1</v>
      </c>
      <c r="H574">
        <f>IF(HeartData[[#This Row],[trestbps]]&gt;$P$4, 1, 0)</f>
        <v>1</v>
      </c>
      <c r="I574">
        <f>IF(HeartData[[#This Row],[oldpeak]]&gt;$P$5,1,0)</f>
        <v>1</v>
      </c>
      <c r="J574">
        <f>IF(HeartData[[#This Row],[exang]]="TRUE",1,0)</f>
        <v>1</v>
      </c>
      <c r="K574">
        <f>IF(HeartData[[#This Row],[fbs]]="TRUE",1,0)</f>
        <v>1</v>
      </c>
      <c r="L574">
        <f>IF(HeartData[[#This Row],[ca]]&gt;0,1,0)</f>
        <v>0</v>
      </c>
      <c r="M574">
        <f t="shared" si="25"/>
        <v>5</v>
      </c>
      <c r="N574">
        <f t="shared" si="26"/>
        <v>1</v>
      </c>
    </row>
    <row r="575" spans="1:14" x14ac:dyDescent="0.3">
      <c r="A575">
        <f>HeartData[[#This Row],[id]]</f>
        <v>574</v>
      </c>
      <c r="B575" s="4">
        <f>HeartData[[#This Row],[age]]</f>
        <v>55</v>
      </c>
      <c r="C575" t="str">
        <f>HeartData[[#This Row],[sex]]</f>
        <v>Male</v>
      </c>
      <c r="D575" t="str">
        <f t="shared" si="24"/>
        <v>55-64</v>
      </c>
      <c r="E575" t="str">
        <f>HeartData[[#This Row],[cp]]</f>
        <v>asymptomatic</v>
      </c>
      <c r="F575" t="str">
        <f>IF(HeartData[[#This Row],[num]]&gt;0, "Diseased", "Healthy")</f>
        <v>Diseased</v>
      </c>
      <c r="G575">
        <f>IF(HeartData[[#This Row],[chol]]&gt;$P$3, 1, 0)</f>
        <v>1</v>
      </c>
      <c r="H575">
        <f>IF(HeartData[[#This Row],[trestbps]]&gt;$P$4, 1, 0)</f>
        <v>1</v>
      </c>
      <c r="I575">
        <f>IF(HeartData[[#This Row],[oldpeak]]&gt;$P$5,1,0)</f>
        <v>1</v>
      </c>
      <c r="J575">
        <f>IF(HeartData[[#This Row],[exang]]="TRUE",1,0)</f>
        <v>1</v>
      </c>
      <c r="K575">
        <f>IF(HeartData[[#This Row],[fbs]]="TRUE",1,0)</f>
        <v>0</v>
      </c>
      <c r="L575">
        <f>IF(HeartData[[#This Row],[ca]]&gt;0,1,0)</f>
        <v>0</v>
      </c>
      <c r="M575">
        <f t="shared" si="25"/>
        <v>4</v>
      </c>
      <c r="N575">
        <f t="shared" si="26"/>
        <v>1</v>
      </c>
    </row>
    <row r="576" spans="1:14" x14ac:dyDescent="0.3">
      <c r="A576">
        <f>HeartData[[#This Row],[id]]</f>
        <v>575</v>
      </c>
      <c r="B576" s="4">
        <f>HeartData[[#This Row],[age]]</f>
        <v>56</v>
      </c>
      <c r="C576" t="str">
        <f>HeartData[[#This Row],[sex]]</f>
        <v>Female</v>
      </c>
      <c r="D576" t="str">
        <f t="shared" si="24"/>
        <v>55-64</v>
      </c>
      <c r="E576" t="str">
        <f>HeartData[[#This Row],[cp]]</f>
        <v>atypical angina</v>
      </c>
      <c r="F576" t="str">
        <f>IF(HeartData[[#This Row],[num]]&gt;0, "Diseased", "Healthy")</f>
        <v>Diseased</v>
      </c>
      <c r="G576">
        <f>IF(HeartData[[#This Row],[chol]]&gt;$P$3, 1, 0)</f>
        <v>1</v>
      </c>
      <c r="H576">
        <f>IF(HeartData[[#This Row],[trestbps]]&gt;$P$4, 1, 0)</f>
        <v>1</v>
      </c>
      <c r="I576">
        <f>IF(HeartData[[#This Row],[oldpeak]]&gt;$P$5,1,0)</f>
        <v>1</v>
      </c>
      <c r="J576">
        <f>IF(HeartData[[#This Row],[exang]]="TRUE",1,0)</f>
        <v>0</v>
      </c>
      <c r="K576">
        <f>IF(HeartData[[#This Row],[fbs]]="TRUE",1,0)</f>
        <v>0</v>
      </c>
      <c r="L576">
        <f>IF(HeartData[[#This Row],[ca]]&gt;0,1,0)</f>
        <v>0</v>
      </c>
      <c r="M576">
        <f t="shared" si="25"/>
        <v>3</v>
      </c>
      <c r="N576">
        <f t="shared" si="26"/>
        <v>1</v>
      </c>
    </row>
    <row r="577" spans="1:14" x14ac:dyDescent="0.3">
      <c r="A577">
        <f>HeartData[[#This Row],[id]]</f>
        <v>576</v>
      </c>
      <c r="B577" s="4">
        <f>HeartData[[#This Row],[age]]</f>
        <v>56</v>
      </c>
      <c r="C577" t="str">
        <f>HeartData[[#This Row],[sex]]</f>
        <v>Male</v>
      </c>
      <c r="D577" t="str">
        <f t="shared" si="24"/>
        <v>55-64</v>
      </c>
      <c r="E577" t="str">
        <f>HeartData[[#This Row],[cp]]</f>
        <v>asymptomatic</v>
      </c>
      <c r="F577" t="str">
        <f>IF(HeartData[[#This Row],[num]]&gt;0, "Diseased", "Healthy")</f>
        <v>Diseased</v>
      </c>
      <c r="G577">
        <f>IF(HeartData[[#This Row],[chol]]&gt;$P$3, 1, 0)</f>
        <v>1</v>
      </c>
      <c r="H577">
        <f>IF(HeartData[[#This Row],[trestbps]]&gt;$P$4, 1, 0)</f>
        <v>1</v>
      </c>
      <c r="I577">
        <f>IF(HeartData[[#This Row],[oldpeak]]&gt;$P$5,1,0)</f>
        <v>1</v>
      </c>
      <c r="J577">
        <f>IF(HeartData[[#This Row],[exang]]="TRUE",1,0)</f>
        <v>1</v>
      </c>
      <c r="K577">
        <f>IF(HeartData[[#This Row],[fbs]]="TRUE",1,0)</f>
        <v>0</v>
      </c>
      <c r="L577">
        <f>IF(HeartData[[#This Row],[ca]]&gt;0,1,0)</f>
        <v>0</v>
      </c>
      <c r="M577">
        <f t="shared" si="25"/>
        <v>4</v>
      </c>
      <c r="N577">
        <f t="shared" si="26"/>
        <v>1</v>
      </c>
    </row>
    <row r="578" spans="1:14" x14ac:dyDescent="0.3">
      <c r="A578">
        <f>HeartData[[#This Row],[id]]</f>
        <v>577</v>
      </c>
      <c r="B578" s="4">
        <f>HeartData[[#This Row],[age]]</f>
        <v>56</v>
      </c>
      <c r="C578" t="str">
        <f>HeartData[[#This Row],[sex]]</f>
        <v>Male</v>
      </c>
      <c r="D578" t="str">
        <f t="shared" ref="D578:D641" si="27">IF(B578&lt;45,"Under 45",IF(B578&lt;=54,"45-54",IF(B578&lt;=64,"55-64","65+")))</f>
        <v>55-64</v>
      </c>
      <c r="E578" t="str">
        <f>HeartData[[#This Row],[cp]]</f>
        <v>asymptomatic</v>
      </c>
      <c r="F578" t="str">
        <f>IF(HeartData[[#This Row],[num]]&gt;0, "Diseased", "Healthy")</f>
        <v>Diseased</v>
      </c>
      <c r="G578">
        <f>IF(HeartData[[#This Row],[chol]]&gt;$P$3, 1, 0)</f>
        <v>1</v>
      </c>
      <c r="H578">
        <f>IF(HeartData[[#This Row],[trestbps]]&gt;$P$4, 1, 0)</f>
        <v>1</v>
      </c>
      <c r="I578">
        <f>IF(HeartData[[#This Row],[oldpeak]]&gt;$P$5,1,0)</f>
        <v>1</v>
      </c>
      <c r="J578">
        <f>IF(HeartData[[#This Row],[exang]]="TRUE",1,0)</f>
        <v>1</v>
      </c>
      <c r="K578">
        <f>IF(HeartData[[#This Row],[fbs]]="TRUE",1,0)</f>
        <v>0</v>
      </c>
      <c r="L578">
        <f>IF(HeartData[[#This Row],[ca]]&gt;0,1,0)</f>
        <v>0</v>
      </c>
      <c r="M578">
        <f t="shared" si="25"/>
        <v>4</v>
      </c>
      <c r="N578">
        <f t="shared" si="26"/>
        <v>1</v>
      </c>
    </row>
    <row r="579" spans="1:14" x14ac:dyDescent="0.3">
      <c r="A579">
        <f>HeartData[[#This Row],[id]]</f>
        <v>578</v>
      </c>
      <c r="B579" s="4">
        <f>HeartData[[#This Row],[age]]</f>
        <v>58</v>
      </c>
      <c r="C579" t="str">
        <f>HeartData[[#This Row],[sex]]</f>
        <v>Male</v>
      </c>
      <c r="D579" t="str">
        <f t="shared" si="27"/>
        <v>55-64</v>
      </c>
      <c r="E579" t="str">
        <f>HeartData[[#This Row],[cp]]</f>
        <v>atypical angina</v>
      </c>
      <c r="F579" t="str">
        <f>IF(HeartData[[#This Row],[num]]&gt;0, "Diseased", "Healthy")</f>
        <v>Diseased</v>
      </c>
      <c r="G579">
        <f>IF(HeartData[[#This Row],[chol]]&gt;$P$3, 1, 0)</f>
        <v>1</v>
      </c>
      <c r="H579">
        <f>IF(HeartData[[#This Row],[trestbps]]&gt;$P$4, 1, 0)</f>
        <v>1</v>
      </c>
      <c r="I579">
        <f>IF(HeartData[[#This Row],[oldpeak]]&gt;$P$5,1,0)</f>
        <v>1</v>
      </c>
      <c r="J579">
        <f>IF(HeartData[[#This Row],[exang]]="TRUE",1,0)</f>
        <v>1</v>
      </c>
      <c r="K579">
        <f>IF(HeartData[[#This Row],[fbs]]="TRUE",1,0)</f>
        <v>0</v>
      </c>
      <c r="L579">
        <f>IF(HeartData[[#This Row],[ca]]&gt;0,1,0)</f>
        <v>0</v>
      </c>
      <c r="M579">
        <f t="shared" ref="M579:M642" si="28">G579+H579+I579+J579+K579+L579</f>
        <v>4</v>
      </c>
      <c r="N579">
        <f t="shared" ref="N579:N642" si="29">IF(F579="Diseased",1,0)</f>
        <v>1</v>
      </c>
    </row>
    <row r="580" spans="1:14" x14ac:dyDescent="0.3">
      <c r="A580">
        <f>HeartData[[#This Row],[id]]</f>
        <v>579</v>
      </c>
      <c r="B580" s="4">
        <f>HeartData[[#This Row],[age]]</f>
        <v>59</v>
      </c>
      <c r="C580" t="str">
        <f>HeartData[[#This Row],[sex]]</f>
        <v>Male</v>
      </c>
      <c r="D580" t="str">
        <f t="shared" si="27"/>
        <v>55-64</v>
      </c>
      <c r="E580" t="str">
        <f>HeartData[[#This Row],[cp]]</f>
        <v>asymptomatic</v>
      </c>
      <c r="F580" t="str">
        <f>IF(HeartData[[#This Row],[num]]&gt;0, "Diseased", "Healthy")</f>
        <v>Diseased</v>
      </c>
      <c r="G580">
        <f>IF(HeartData[[#This Row],[chol]]&gt;$P$3, 1, 0)</f>
        <v>0</v>
      </c>
      <c r="H580">
        <f>IF(HeartData[[#This Row],[trestbps]]&gt;$P$4, 1, 0)</f>
        <v>1</v>
      </c>
      <c r="I580">
        <f>IF(HeartData[[#This Row],[oldpeak]]&gt;$P$5,1,0)</f>
        <v>0</v>
      </c>
      <c r="J580">
        <f>IF(HeartData[[#This Row],[exang]]="TRUE",1,0)</f>
        <v>0</v>
      </c>
      <c r="K580">
        <f>IF(HeartData[[#This Row],[fbs]]="TRUE",1,0)</f>
        <v>0</v>
      </c>
      <c r="L580">
        <f>IF(HeartData[[#This Row],[ca]]&gt;0,1,0)</f>
        <v>0</v>
      </c>
      <c r="M580">
        <f t="shared" si="28"/>
        <v>1</v>
      </c>
      <c r="N580">
        <f t="shared" si="29"/>
        <v>1</v>
      </c>
    </row>
    <row r="581" spans="1:14" x14ac:dyDescent="0.3">
      <c r="A581">
        <f>HeartData[[#This Row],[id]]</f>
        <v>580</v>
      </c>
      <c r="B581" s="4">
        <f>HeartData[[#This Row],[age]]</f>
        <v>59</v>
      </c>
      <c r="C581" t="str">
        <f>HeartData[[#This Row],[sex]]</f>
        <v>Male</v>
      </c>
      <c r="D581" t="str">
        <f t="shared" si="27"/>
        <v>55-64</v>
      </c>
      <c r="E581" t="str">
        <f>HeartData[[#This Row],[cp]]</f>
        <v>asymptomatic</v>
      </c>
      <c r="F581" t="str">
        <f>IF(HeartData[[#This Row],[num]]&gt;0, "Diseased", "Healthy")</f>
        <v>Diseased</v>
      </c>
      <c r="G581">
        <f>IF(HeartData[[#This Row],[chol]]&gt;$P$3, 1, 0)</f>
        <v>1</v>
      </c>
      <c r="H581">
        <f>IF(HeartData[[#This Row],[trestbps]]&gt;$P$4, 1, 0)</f>
        <v>1</v>
      </c>
      <c r="I581">
        <f>IF(HeartData[[#This Row],[oldpeak]]&gt;$P$5,1,0)</f>
        <v>0</v>
      </c>
      <c r="J581">
        <f>IF(HeartData[[#This Row],[exang]]="TRUE",1,0)</f>
        <v>1</v>
      </c>
      <c r="K581">
        <f>IF(HeartData[[#This Row],[fbs]]="TRUE",1,0)</f>
        <v>1</v>
      </c>
      <c r="L581">
        <f>IF(HeartData[[#This Row],[ca]]&gt;0,1,0)</f>
        <v>0</v>
      </c>
      <c r="M581">
        <f t="shared" si="28"/>
        <v>4</v>
      </c>
      <c r="N581">
        <f t="shared" si="29"/>
        <v>1</v>
      </c>
    </row>
    <row r="582" spans="1:14" x14ac:dyDescent="0.3">
      <c r="A582">
        <f>HeartData[[#This Row],[id]]</f>
        <v>581</v>
      </c>
      <c r="B582" s="4">
        <f>HeartData[[#This Row],[age]]</f>
        <v>65</v>
      </c>
      <c r="C582" t="str">
        <f>HeartData[[#This Row],[sex]]</f>
        <v>Male</v>
      </c>
      <c r="D582" t="str">
        <f t="shared" si="27"/>
        <v>65+</v>
      </c>
      <c r="E582" t="str">
        <f>HeartData[[#This Row],[cp]]</f>
        <v>asymptomatic</v>
      </c>
      <c r="F582" t="str">
        <f>IF(HeartData[[#This Row],[num]]&gt;0, "Diseased", "Healthy")</f>
        <v>Diseased</v>
      </c>
      <c r="G582">
        <f>IF(HeartData[[#This Row],[chol]]&gt;$P$3, 1, 0)</f>
        <v>1</v>
      </c>
      <c r="H582">
        <f>IF(HeartData[[#This Row],[trestbps]]&gt;$P$4, 1, 0)</f>
        <v>1</v>
      </c>
      <c r="I582">
        <f>IF(HeartData[[#This Row],[oldpeak]]&gt;$P$5,1,0)</f>
        <v>1</v>
      </c>
      <c r="J582">
        <f>IF(HeartData[[#This Row],[exang]]="TRUE",1,0)</f>
        <v>1</v>
      </c>
      <c r="K582">
        <f>IF(HeartData[[#This Row],[fbs]]="TRUE",1,0)</f>
        <v>1</v>
      </c>
      <c r="L582">
        <f>IF(HeartData[[#This Row],[ca]]&gt;0,1,0)</f>
        <v>0</v>
      </c>
      <c r="M582">
        <f t="shared" si="28"/>
        <v>5</v>
      </c>
      <c r="N582">
        <f t="shared" si="29"/>
        <v>1</v>
      </c>
    </row>
    <row r="583" spans="1:14" x14ac:dyDescent="0.3">
      <c r="A583">
        <f>HeartData[[#This Row],[id]]</f>
        <v>582</v>
      </c>
      <c r="B583" s="4">
        <f>HeartData[[#This Row],[age]]</f>
        <v>66</v>
      </c>
      <c r="C583" t="str">
        <f>HeartData[[#This Row],[sex]]</f>
        <v>Male</v>
      </c>
      <c r="D583" t="str">
        <f t="shared" si="27"/>
        <v>65+</v>
      </c>
      <c r="E583" t="str">
        <f>HeartData[[#This Row],[cp]]</f>
        <v>asymptomatic</v>
      </c>
      <c r="F583" t="str">
        <f>IF(HeartData[[#This Row],[num]]&gt;0, "Diseased", "Healthy")</f>
        <v>Diseased</v>
      </c>
      <c r="G583">
        <f>IF(HeartData[[#This Row],[chol]]&gt;$P$3, 1, 0)</f>
        <v>0</v>
      </c>
      <c r="H583">
        <f>IF(HeartData[[#This Row],[trestbps]]&gt;$P$4, 1, 0)</f>
        <v>1</v>
      </c>
      <c r="I583">
        <f>IF(HeartData[[#This Row],[oldpeak]]&gt;$P$5,1,0)</f>
        <v>1</v>
      </c>
      <c r="J583">
        <f>IF(HeartData[[#This Row],[exang]]="TRUE",1,0)</f>
        <v>1</v>
      </c>
      <c r="K583">
        <f>IF(HeartData[[#This Row],[fbs]]="TRUE",1,0)</f>
        <v>0</v>
      </c>
      <c r="L583">
        <f>IF(HeartData[[#This Row],[ca]]&gt;0,1,0)</f>
        <v>0</v>
      </c>
      <c r="M583">
        <f t="shared" si="28"/>
        <v>3</v>
      </c>
      <c r="N583">
        <f t="shared" si="29"/>
        <v>1</v>
      </c>
    </row>
    <row r="584" spans="1:14" x14ac:dyDescent="0.3">
      <c r="A584">
        <f>HeartData[[#This Row],[id]]</f>
        <v>583</v>
      </c>
      <c r="B584" s="4">
        <f>HeartData[[#This Row],[age]]</f>
        <v>41</v>
      </c>
      <c r="C584" t="str">
        <f>HeartData[[#This Row],[sex]]</f>
        <v>Male</v>
      </c>
      <c r="D584" t="str">
        <f t="shared" si="27"/>
        <v>Under 45</v>
      </c>
      <c r="E584" t="str">
        <f>HeartData[[#This Row],[cp]]</f>
        <v>asymptomatic</v>
      </c>
      <c r="F584" t="str">
        <f>IF(HeartData[[#This Row],[num]]&gt;0, "Diseased", "Healthy")</f>
        <v>Diseased</v>
      </c>
      <c r="G584">
        <f>IF(HeartData[[#This Row],[chol]]&gt;$P$3, 1, 0)</f>
        <v>1</v>
      </c>
      <c r="H584">
        <f>IF(HeartData[[#This Row],[trestbps]]&gt;$P$4, 1, 0)</f>
        <v>1</v>
      </c>
      <c r="I584">
        <f>IF(HeartData[[#This Row],[oldpeak]]&gt;$P$5,1,0)</f>
        <v>1</v>
      </c>
      <c r="J584">
        <f>IF(HeartData[[#This Row],[exang]]="TRUE",1,0)</f>
        <v>1</v>
      </c>
      <c r="K584">
        <f>IF(HeartData[[#This Row],[fbs]]="TRUE",1,0)</f>
        <v>0</v>
      </c>
      <c r="L584">
        <f>IF(HeartData[[#This Row],[ca]]&gt;0,1,0)</f>
        <v>0</v>
      </c>
      <c r="M584">
        <f t="shared" si="28"/>
        <v>4</v>
      </c>
      <c r="N584">
        <f t="shared" si="29"/>
        <v>1</v>
      </c>
    </row>
    <row r="585" spans="1:14" x14ac:dyDescent="0.3">
      <c r="A585">
        <f>HeartData[[#This Row],[id]]</f>
        <v>584</v>
      </c>
      <c r="B585" s="4">
        <f>HeartData[[#This Row],[age]]</f>
        <v>43</v>
      </c>
      <c r="C585" t="str">
        <f>HeartData[[#This Row],[sex]]</f>
        <v>Male</v>
      </c>
      <c r="D585" t="str">
        <f t="shared" si="27"/>
        <v>Under 45</v>
      </c>
      <c r="E585" t="str">
        <f>HeartData[[#This Row],[cp]]</f>
        <v>asymptomatic</v>
      </c>
      <c r="F585" t="str">
        <f>IF(HeartData[[#This Row],[num]]&gt;0, "Diseased", "Healthy")</f>
        <v>Diseased</v>
      </c>
      <c r="G585">
        <f>IF(HeartData[[#This Row],[chol]]&gt;$P$3, 1, 0)</f>
        <v>1</v>
      </c>
      <c r="H585">
        <f>IF(HeartData[[#This Row],[trestbps]]&gt;$P$4, 1, 0)</f>
        <v>1</v>
      </c>
      <c r="I585">
        <f>IF(HeartData[[#This Row],[oldpeak]]&gt;$P$5,1,0)</f>
        <v>1</v>
      </c>
      <c r="J585">
        <f>IF(HeartData[[#This Row],[exang]]="TRUE",1,0)</f>
        <v>1</v>
      </c>
      <c r="K585">
        <f>IF(HeartData[[#This Row],[fbs]]="TRUE",1,0)</f>
        <v>0</v>
      </c>
      <c r="L585">
        <f>IF(HeartData[[#This Row],[ca]]&gt;0,1,0)</f>
        <v>0</v>
      </c>
      <c r="M585">
        <f t="shared" si="28"/>
        <v>4</v>
      </c>
      <c r="N585">
        <f t="shared" si="29"/>
        <v>1</v>
      </c>
    </row>
    <row r="586" spans="1:14" x14ac:dyDescent="0.3">
      <c r="A586">
        <f>HeartData[[#This Row],[id]]</f>
        <v>585</v>
      </c>
      <c r="B586" s="4">
        <f>HeartData[[#This Row],[age]]</f>
        <v>44</v>
      </c>
      <c r="C586" t="str">
        <f>HeartData[[#This Row],[sex]]</f>
        <v>Male</v>
      </c>
      <c r="D586" t="str">
        <f t="shared" si="27"/>
        <v>Under 45</v>
      </c>
      <c r="E586" t="str">
        <f>HeartData[[#This Row],[cp]]</f>
        <v>asymptomatic</v>
      </c>
      <c r="F586" t="str">
        <f>IF(HeartData[[#This Row],[num]]&gt;0, "Diseased", "Healthy")</f>
        <v>Diseased</v>
      </c>
      <c r="G586">
        <f>IF(HeartData[[#This Row],[chol]]&gt;$P$3, 1, 0)</f>
        <v>1</v>
      </c>
      <c r="H586">
        <f>IF(HeartData[[#This Row],[trestbps]]&gt;$P$4, 1, 0)</f>
        <v>1</v>
      </c>
      <c r="I586">
        <f>IF(HeartData[[#This Row],[oldpeak]]&gt;$P$5,1,0)</f>
        <v>0</v>
      </c>
      <c r="J586">
        <f>IF(HeartData[[#This Row],[exang]]="TRUE",1,0)</f>
        <v>0</v>
      </c>
      <c r="K586">
        <f>IF(HeartData[[#This Row],[fbs]]="TRUE",1,0)</f>
        <v>0</v>
      </c>
      <c r="L586">
        <f>IF(HeartData[[#This Row],[ca]]&gt;0,1,0)</f>
        <v>0</v>
      </c>
      <c r="M586">
        <f t="shared" si="28"/>
        <v>2</v>
      </c>
      <c r="N586">
        <f t="shared" si="29"/>
        <v>1</v>
      </c>
    </row>
    <row r="587" spans="1:14" x14ac:dyDescent="0.3">
      <c r="A587">
        <f>HeartData[[#This Row],[id]]</f>
        <v>586</v>
      </c>
      <c r="B587" s="4">
        <f>HeartData[[#This Row],[age]]</f>
        <v>47</v>
      </c>
      <c r="C587" t="str">
        <f>HeartData[[#This Row],[sex]]</f>
        <v>Female</v>
      </c>
      <c r="D587" t="str">
        <f t="shared" si="27"/>
        <v>45-54</v>
      </c>
      <c r="E587" t="str">
        <f>HeartData[[#This Row],[cp]]</f>
        <v>asymptomatic</v>
      </c>
      <c r="F587" t="str">
        <f>IF(HeartData[[#This Row],[num]]&gt;0, "Diseased", "Healthy")</f>
        <v>Diseased</v>
      </c>
      <c r="G587">
        <f>IF(HeartData[[#This Row],[chol]]&gt;$P$3, 1, 0)</f>
        <v>1</v>
      </c>
      <c r="H587">
        <f>IF(HeartData[[#This Row],[trestbps]]&gt;$P$4, 1, 0)</f>
        <v>1</v>
      </c>
      <c r="I587">
        <f>IF(HeartData[[#This Row],[oldpeak]]&gt;$P$5,1,0)</f>
        <v>1</v>
      </c>
      <c r="J587">
        <f>IF(HeartData[[#This Row],[exang]]="TRUE",1,0)</f>
        <v>1</v>
      </c>
      <c r="K587">
        <f>IF(HeartData[[#This Row],[fbs]]="TRUE",1,0)</f>
        <v>0</v>
      </c>
      <c r="L587">
        <f>IF(HeartData[[#This Row],[ca]]&gt;0,1,0)</f>
        <v>0</v>
      </c>
      <c r="M587">
        <f t="shared" si="28"/>
        <v>4</v>
      </c>
      <c r="N587">
        <f t="shared" si="29"/>
        <v>1</v>
      </c>
    </row>
    <row r="588" spans="1:14" x14ac:dyDescent="0.3">
      <c r="A588">
        <f>HeartData[[#This Row],[id]]</f>
        <v>587</v>
      </c>
      <c r="B588" s="4">
        <f>HeartData[[#This Row],[age]]</f>
        <v>47</v>
      </c>
      <c r="C588" t="str">
        <f>HeartData[[#This Row],[sex]]</f>
        <v>Male</v>
      </c>
      <c r="D588" t="str">
        <f t="shared" si="27"/>
        <v>45-54</v>
      </c>
      <c r="E588" t="str">
        <f>HeartData[[#This Row],[cp]]</f>
        <v>asymptomatic</v>
      </c>
      <c r="F588" t="str">
        <f>IF(HeartData[[#This Row],[num]]&gt;0, "Diseased", "Healthy")</f>
        <v>Diseased</v>
      </c>
      <c r="G588">
        <f>IF(HeartData[[#This Row],[chol]]&gt;$P$3, 1, 0)</f>
        <v>1</v>
      </c>
      <c r="H588">
        <f>IF(HeartData[[#This Row],[trestbps]]&gt;$P$4, 1, 0)</f>
        <v>1</v>
      </c>
      <c r="I588">
        <f>IF(HeartData[[#This Row],[oldpeak]]&gt;$P$5,1,0)</f>
        <v>1</v>
      </c>
      <c r="J588">
        <f>IF(HeartData[[#This Row],[exang]]="TRUE",1,0)</f>
        <v>1</v>
      </c>
      <c r="K588">
        <f>IF(HeartData[[#This Row],[fbs]]="TRUE",1,0)</f>
        <v>0</v>
      </c>
      <c r="L588">
        <f>IF(HeartData[[#This Row],[ca]]&gt;0,1,0)</f>
        <v>0</v>
      </c>
      <c r="M588">
        <f t="shared" si="28"/>
        <v>4</v>
      </c>
      <c r="N588">
        <f t="shared" si="29"/>
        <v>1</v>
      </c>
    </row>
    <row r="589" spans="1:14" x14ac:dyDescent="0.3">
      <c r="A589">
        <f>HeartData[[#This Row],[id]]</f>
        <v>588</v>
      </c>
      <c r="B589" s="4">
        <f>HeartData[[#This Row],[age]]</f>
        <v>49</v>
      </c>
      <c r="C589" t="str">
        <f>HeartData[[#This Row],[sex]]</f>
        <v>Male</v>
      </c>
      <c r="D589" t="str">
        <f t="shared" si="27"/>
        <v>45-54</v>
      </c>
      <c r="E589" t="str">
        <f>HeartData[[#This Row],[cp]]</f>
        <v>asymptomatic</v>
      </c>
      <c r="F589" t="str">
        <f>IF(HeartData[[#This Row],[num]]&gt;0, "Diseased", "Healthy")</f>
        <v>Diseased</v>
      </c>
      <c r="G589">
        <f>IF(HeartData[[#This Row],[chol]]&gt;$P$3, 1, 0)</f>
        <v>1</v>
      </c>
      <c r="H589">
        <f>IF(HeartData[[#This Row],[trestbps]]&gt;$P$4, 1, 0)</f>
        <v>1</v>
      </c>
      <c r="I589">
        <f>IF(HeartData[[#This Row],[oldpeak]]&gt;$P$5,1,0)</f>
        <v>0</v>
      </c>
      <c r="J589">
        <f>IF(HeartData[[#This Row],[exang]]="TRUE",1,0)</f>
        <v>1</v>
      </c>
      <c r="K589">
        <f>IF(HeartData[[#This Row],[fbs]]="TRUE",1,0)</f>
        <v>0</v>
      </c>
      <c r="L589">
        <f>IF(HeartData[[#This Row],[ca]]&gt;0,1,0)</f>
        <v>0</v>
      </c>
      <c r="M589">
        <f t="shared" si="28"/>
        <v>3</v>
      </c>
      <c r="N589">
        <f t="shared" si="29"/>
        <v>1</v>
      </c>
    </row>
    <row r="590" spans="1:14" x14ac:dyDescent="0.3">
      <c r="A590">
        <f>HeartData[[#This Row],[id]]</f>
        <v>589</v>
      </c>
      <c r="B590" s="4">
        <f>HeartData[[#This Row],[age]]</f>
        <v>49</v>
      </c>
      <c r="C590" t="str">
        <f>HeartData[[#This Row],[sex]]</f>
        <v>Male</v>
      </c>
      <c r="D590" t="str">
        <f t="shared" si="27"/>
        <v>45-54</v>
      </c>
      <c r="E590" t="str">
        <f>HeartData[[#This Row],[cp]]</f>
        <v>asymptomatic</v>
      </c>
      <c r="F590" t="str">
        <f>IF(HeartData[[#This Row],[num]]&gt;0, "Diseased", "Healthy")</f>
        <v>Diseased</v>
      </c>
      <c r="G590">
        <f>IF(HeartData[[#This Row],[chol]]&gt;$P$3, 1, 0)</f>
        <v>1</v>
      </c>
      <c r="H590">
        <f>IF(HeartData[[#This Row],[trestbps]]&gt;$P$4, 1, 0)</f>
        <v>1</v>
      </c>
      <c r="I590">
        <f>IF(HeartData[[#This Row],[oldpeak]]&gt;$P$5,1,0)</f>
        <v>1</v>
      </c>
      <c r="J590">
        <f>IF(HeartData[[#This Row],[exang]]="TRUE",1,0)</f>
        <v>0</v>
      </c>
      <c r="K590">
        <f>IF(HeartData[[#This Row],[fbs]]="TRUE",1,0)</f>
        <v>0</v>
      </c>
      <c r="L590">
        <f>IF(HeartData[[#This Row],[ca]]&gt;0,1,0)</f>
        <v>0</v>
      </c>
      <c r="M590">
        <f t="shared" si="28"/>
        <v>3</v>
      </c>
      <c r="N590">
        <f t="shared" si="29"/>
        <v>1</v>
      </c>
    </row>
    <row r="591" spans="1:14" x14ac:dyDescent="0.3">
      <c r="A591">
        <f>HeartData[[#This Row],[id]]</f>
        <v>590</v>
      </c>
      <c r="B591" s="4">
        <f>HeartData[[#This Row],[age]]</f>
        <v>50</v>
      </c>
      <c r="C591" t="str">
        <f>HeartData[[#This Row],[sex]]</f>
        <v>Male</v>
      </c>
      <c r="D591" t="str">
        <f t="shared" si="27"/>
        <v>45-54</v>
      </c>
      <c r="E591" t="str">
        <f>HeartData[[#This Row],[cp]]</f>
        <v>asymptomatic</v>
      </c>
      <c r="F591" t="str">
        <f>IF(HeartData[[#This Row],[num]]&gt;0, "Diseased", "Healthy")</f>
        <v>Diseased</v>
      </c>
      <c r="G591">
        <f>IF(HeartData[[#This Row],[chol]]&gt;$P$3, 1, 0)</f>
        <v>1</v>
      </c>
      <c r="H591">
        <f>IF(HeartData[[#This Row],[trestbps]]&gt;$P$4, 1, 0)</f>
        <v>1</v>
      </c>
      <c r="I591">
        <f>IF(HeartData[[#This Row],[oldpeak]]&gt;$P$5,1,0)</f>
        <v>1</v>
      </c>
      <c r="J591">
        <f>IF(HeartData[[#This Row],[exang]]="TRUE",1,0)</f>
        <v>1</v>
      </c>
      <c r="K591">
        <f>IF(HeartData[[#This Row],[fbs]]="TRUE",1,0)</f>
        <v>0</v>
      </c>
      <c r="L591">
        <f>IF(HeartData[[#This Row],[ca]]&gt;0,1,0)</f>
        <v>0</v>
      </c>
      <c r="M591">
        <f t="shared" si="28"/>
        <v>4</v>
      </c>
      <c r="N591">
        <f t="shared" si="29"/>
        <v>1</v>
      </c>
    </row>
    <row r="592" spans="1:14" x14ac:dyDescent="0.3">
      <c r="A592">
        <f>HeartData[[#This Row],[id]]</f>
        <v>591</v>
      </c>
      <c r="B592" s="4">
        <f>HeartData[[#This Row],[age]]</f>
        <v>50</v>
      </c>
      <c r="C592" t="str">
        <f>HeartData[[#This Row],[sex]]</f>
        <v>Male</v>
      </c>
      <c r="D592" t="str">
        <f t="shared" si="27"/>
        <v>45-54</v>
      </c>
      <c r="E592" t="str">
        <f>HeartData[[#This Row],[cp]]</f>
        <v>asymptomatic</v>
      </c>
      <c r="F592" t="str">
        <f>IF(HeartData[[#This Row],[num]]&gt;0, "Diseased", "Healthy")</f>
        <v>Diseased</v>
      </c>
      <c r="G592">
        <f>IF(HeartData[[#This Row],[chol]]&gt;$P$3, 1, 0)</f>
        <v>1</v>
      </c>
      <c r="H592">
        <f>IF(HeartData[[#This Row],[trestbps]]&gt;$P$4, 1, 0)</f>
        <v>1</v>
      </c>
      <c r="I592">
        <f>IF(HeartData[[#This Row],[oldpeak]]&gt;$P$5,1,0)</f>
        <v>1</v>
      </c>
      <c r="J592">
        <f>IF(HeartData[[#This Row],[exang]]="TRUE",1,0)</f>
        <v>1</v>
      </c>
      <c r="K592">
        <f>IF(HeartData[[#This Row],[fbs]]="TRUE",1,0)</f>
        <v>0</v>
      </c>
      <c r="L592">
        <f>IF(HeartData[[#This Row],[ca]]&gt;0,1,0)</f>
        <v>0</v>
      </c>
      <c r="M592">
        <f t="shared" si="28"/>
        <v>4</v>
      </c>
      <c r="N592">
        <f t="shared" si="29"/>
        <v>1</v>
      </c>
    </row>
    <row r="593" spans="1:14" x14ac:dyDescent="0.3">
      <c r="A593">
        <f>HeartData[[#This Row],[id]]</f>
        <v>592</v>
      </c>
      <c r="B593" s="4">
        <f>HeartData[[#This Row],[age]]</f>
        <v>52</v>
      </c>
      <c r="C593" t="str">
        <f>HeartData[[#This Row],[sex]]</f>
        <v>Male</v>
      </c>
      <c r="D593" t="str">
        <f t="shared" si="27"/>
        <v>45-54</v>
      </c>
      <c r="E593" t="str">
        <f>HeartData[[#This Row],[cp]]</f>
        <v>asymptomatic</v>
      </c>
      <c r="F593" t="str">
        <f>IF(HeartData[[#This Row],[num]]&gt;0, "Diseased", "Healthy")</f>
        <v>Diseased</v>
      </c>
      <c r="G593">
        <f>IF(HeartData[[#This Row],[chol]]&gt;$P$3, 1, 0)</f>
        <v>1</v>
      </c>
      <c r="H593">
        <f>IF(HeartData[[#This Row],[trestbps]]&gt;$P$4, 1, 0)</f>
        <v>1</v>
      </c>
      <c r="I593">
        <f>IF(HeartData[[#This Row],[oldpeak]]&gt;$P$5,1,0)</f>
        <v>1</v>
      </c>
      <c r="J593">
        <f>IF(HeartData[[#This Row],[exang]]="TRUE",1,0)</f>
        <v>1</v>
      </c>
      <c r="K593">
        <f>IF(HeartData[[#This Row],[fbs]]="TRUE",1,0)</f>
        <v>0</v>
      </c>
      <c r="L593">
        <f>IF(HeartData[[#This Row],[ca]]&gt;0,1,0)</f>
        <v>0</v>
      </c>
      <c r="M593">
        <f t="shared" si="28"/>
        <v>4</v>
      </c>
      <c r="N593">
        <f t="shared" si="29"/>
        <v>1</v>
      </c>
    </row>
    <row r="594" spans="1:14" x14ac:dyDescent="0.3">
      <c r="A594">
        <f>HeartData[[#This Row],[id]]</f>
        <v>593</v>
      </c>
      <c r="B594" s="4">
        <f>HeartData[[#This Row],[age]]</f>
        <v>52</v>
      </c>
      <c r="C594" t="str">
        <f>HeartData[[#This Row],[sex]]</f>
        <v>Male</v>
      </c>
      <c r="D594" t="str">
        <f t="shared" si="27"/>
        <v>45-54</v>
      </c>
      <c r="E594" t="str">
        <f>HeartData[[#This Row],[cp]]</f>
        <v>asymptomatic</v>
      </c>
      <c r="F594" t="str">
        <f>IF(HeartData[[#This Row],[num]]&gt;0, "Diseased", "Healthy")</f>
        <v>Diseased</v>
      </c>
      <c r="G594">
        <f>IF(HeartData[[#This Row],[chol]]&gt;$P$3, 1, 0)</f>
        <v>1</v>
      </c>
      <c r="H594">
        <f>IF(HeartData[[#This Row],[trestbps]]&gt;$P$4, 1, 0)</f>
        <v>1</v>
      </c>
      <c r="I594">
        <f>IF(HeartData[[#This Row],[oldpeak]]&gt;$P$5,1,0)</f>
        <v>1</v>
      </c>
      <c r="J594">
        <f>IF(HeartData[[#This Row],[exang]]="TRUE",1,0)</f>
        <v>1</v>
      </c>
      <c r="K594">
        <f>IF(HeartData[[#This Row],[fbs]]="TRUE",1,0)</f>
        <v>0</v>
      </c>
      <c r="L594">
        <f>IF(HeartData[[#This Row],[ca]]&gt;0,1,0)</f>
        <v>0</v>
      </c>
      <c r="M594">
        <f t="shared" si="28"/>
        <v>4</v>
      </c>
      <c r="N594">
        <f t="shared" si="29"/>
        <v>1</v>
      </c>
    </row>
    <row r="595" spans="1:14" x14ac:dyDescent="0.3">
      <c r="A595">
        <f>HeartData[[#This Row],[id]]</f>
        <v>594</v>
      </c>
      <c r="B595" s="4">
        <f>HeartData[[#This Row],[age]]</f>
        <v>54</v>
      </c>
      <c r="C595" t="str">
        <f>HeartData[[#This Row],[sex]]</f>
        <v>Female</v>
      </c>
      <c r="D595" t="str">
        <f t="shared" si="27"/>
        <v>45-54</v>
      </c>
      <c r="E595" t="str">
        <f>HeartData[[#This Row],[cp]]</f>
        <v>non-anginal</v>
      </c>
      <c r="F595" t="str">
        <f>IF(HeartData[[#This Row],[num]]&gt;0, "Diseased", "Healthy")</f>
        <v>Diseased</v>
      </c>
      <c r="G595">
        <f>IF(HeartData[[#This Row],[chol]]&gt;$P$3, 1, 0)</f>
        <v>1</v>
      </c>
      <c r="H595">
        <f>IF(HeartData[[#This Row],[trestbps]]&gt;$P$4, 1, 0)</f>
        <v>1</v>
      </c>
      <c r="I595">
        <f>IF(HeartData[[#This Row],[oldpeak]]&gt;$P$5,1,0)</f>
        <v>0</v>
      </c>
      <c r="J595">
        <f>IF(HeartData[[#This Row],[exang]]="TRUE",1,0)</f>
        <v>1</v>
      </c>
      <c r="K595">
        <f>IF(HeartData[[#This Row],[fbs]]="TRUE",1,0)</f>
        <v>0</v>
      </c>
      <c r="L595">
        <f>IF(HeartData[[#This Row],[ca]]&gt;0,1,0)</f>
        <v>0</v>
      </c>
      <c r="M595">
        <f t="shared" si="28"/>
        <v>3</v>
      </c>
      <c r="N595">
        <f t="shared" si="29"/>
        <v>1</v>
      </c>
    </row>
    <row r="596" spans="1:14" x14ac:dyDescent="0.3">
      <c r="A596">
        <f>HeartData[[#This Row],[id]]</f>
        <v>595</v>
      </c>
      <c r="B596" s="4">
        <f>HeartData[[#This Row],[age]]</f>
        <v>56</v>
      </c>
      <c r="C596" t="str">
        <f>HeartData[[#This Row],[sex]]</f>
        <v>Male</v>
      </c>
      <c r="D596" t="str">
        <f t="shared" si="27"/>
        <v>55-64</v>
      </c>
      <c r="E596" t="str">
        <f>HeartData[[#This Row],[cp]]</f>
        <v>asymptomatic</v>
      </c>
      <c r="F596" t="str">
        <f>IF(HeartData[[#This Row],[num]]&gt;0, "Diseased", "Healthy")</f>
        <v>Diseased</v>
      </c>
      <c r="G596">
        <f>IF(HeartData[[#This Row],[chol]]&gt;$P$3, 1, 0)</f>
        <v>1</v>
      </c>
      <c r="H596">
        <f>IF(HeartData[[#This Row],[trestbps]]&gt;$P$4, 1, 0)</f>
        <v>1</v>
      </c>
      <c r="I596">
        <f>IF(HeartData[[#This Row],[oldpeak]]&gt;$P$5,1,0)</f>
        <v>1</v>
      </c>
      <c r="J596">
        <f>IF(HeartData[[#This Row],[exang]]="TRUE",1,0)</f>
        <v>1</v>
      </c>
      <c r="K596">
        <f>IF(HeartData[[#This Row],[fbs]]="TRUE",1,0)</f>
        <v>1</v>
      </c>
      <c r="L596">
        <f>IF(HeartData[[#This Row],[ca]]&gt;0,1,0)</f>
        <v>0</v>
      </c>
      <c r="M596">
        <f t="shared" si="28"/>
        <v>5</v>
      </c>
      <c r="N596">
        <f t="shared" si="29"/>
        <v>1</v>
      </c>
    </row>
    <row r="597" spans="1:14" x14ac:dyDescent="0.3">
      <c r="A597">
        <f>HeartData[[#This Row],[id]]</f>
        <v>596</v>
      </c>
      <c r="B597" s="4">
        <f>HeartData[[#This Row],[age]]</f>
        <v>58</v>
      </c>
      <c r="C597" t="str">
        <f>HeartData[[#This Row],[sex]]</f>
        <v>Female</v>
      </c>
      <c r="D597" t="str">
        <f t="shared" si="27"/>
        <v>55-64</v>
      </c>
      <c r="E597" t="str">
        <f>HeartData[[#This Row],[cp]]</f>
        <v>atypical angina</v>
      </c>
      <c r="F597" t="str">
        <f>IF(HeartData[[#This Row],[num]]&gt;0, "Diseased", "Healthy")</f>
        <v>Diseased</v>
      </c>
      <c r="G597">
        <f>IF(HeartData[[#This Row],[chol]]&gt;$P$3, 1, 0)</f>
        <v>1</v>
      </c>
      <c r="H597">
        <f>IF(HeartData[[#This Row],[trestbps]]&gt;$P$4, 1, 0)</f>
        <v>1</v>
      </c>
      <c r="I597">
        <f>IF(HeartData[[#This Row],[oldpeak]]&gt;$P$5,1,0)</f>
        <v>1</v>
      </c>
      <c r="J597">
        <f>IF(HeartData[[#This Row],[exang]]="TRUE",1,0)</f>
        <v>1</v>
      </c>
      <c r="K597">
        <f>IF(HeartData[[#This Row],[fbs]]="TRUE",1,0)</f>
        <v>0</v>
      </c>
      <c r="L597">
        <f>IF(HeartData[[#This Row],[ca]]&gt;0,1,0)</f>
        <v>0</v>
      </c>
      <c r="M597">
        <f t="shared" si="28"/>
        <v>4</v>
      </c>
      <c r="N597">
        <f t="shared" si="29"/>
        <v>1</v>
      </c>
    </row>
    <row r="598" spans="1:14" x14ac:dyDescent="0.3">
      <c r="A598">
        <f>HeartData[[#This Row],[id]]</f>
        <v>597</v>
      </c>
      <c r="B598" s="4">
        <f>HeartData[[#This Row],[age]]</f>
        <v>65</v>
      </c>
      <c r="C598" t="str">
        <f>HeartData[[#This Row],[sex]]</f>
        <v>Male</v>
      </c>
      <c r="D598" t="str">
        <f t="shared" si="27"/>
        <v>65+</v>
      </c>
      <c r="E598" t="str">
        <f>HeartData[[#This Row],[cp]]</f>
        <v>asymptomatic</v>
      </c>
      <c r="F598" t="str">
        <f>IF(HeartData[[#This Row],[num]]&gt;0, "Diseased", "Healthy")</f>
        <v>Diseased</v>
      </c>
      <c r="G598">
        <f>IF(HeartData[[#This Row],[chol]]&gt;$P$3, 1, 0)</f>
        <v>1</v>
      </c>
      <c r="H598">
        <f>IF(HeartData[[#This Row],[trestbps]]&gt;$P$4, 1, 0)</f>
        <v>1</v>
      </c>
      <c r="I598">
        <f>IF(HeartData[[#This Row],[oldpeak]]&gt;$P$5,1,0)</f>
        <v>1</v>
      </c>
      <c r="J598">
        <f>IF(HeartData[[#This Row],[exang]]="TRUE",1,0)</f>
        <v>1</v>
      </c>
      <c r="K598">
        <f>IF(HeartData[[#This Row],[fbs]]="TRUE",1,0)</f>
        <v>0</v>
      </c>
      <c r="L598">
        <f>IF(HeartData[[#This Row],[ca]]&gt;0,1,0)</f>
        <v>0</v>
      </c>
      <c r="M598">
        <f t="shared" si="28"/>
        <v>4</v>
      </c>
      <c r="N598">
        <f t="shared" si="29"/>
        <v>1</v>
      </c>
    </row>
    <row r="599" spans="1:14" x14ac:dyDescent="0.3">
      <c r="A599">
        <f>HeartData[[#This Row],[id]]</f>
        <v>598</v>
      </c>
      <c r="B599" s="4">
        <f>HeartData[[#This Row],[age]]</f>
        <v>32</v>
      </c>
      <c r="C599" t="str">
        <f>HeartData[[#This Row],[sex]]</f>
        <v>Male</v>
      </c>
      <c r="D599" t="str">
        <f t="shared" si="27"/>
        <v>Under 45</v>
      </c>
      <c r="E599" t="str">
        <f>HeartData[[#This Row],[cp]]</f>
        <v>typical angina</v>
      </c>
      <c r="F599" t="str">
        <f>IF(HeartData[[#This Row],[num]]&gt;0, "Diseased", "Healthy")</f>
        <v>Diseased</v>
      </c>
      <c r="G599">
        <f>IF(HeartData[[#This Row],[chol]]&gt;$P$3, 1, 0)</f>
        <v>0</v>
      </c>
      <c r="H599">
        <f>IF(HeartData[[#This Row],[trestbps]]&gt;$P$4, 1, 0)</f>
        <v>1</v>
      </c>
      <c r="I599">
        <f>IF(HeartData[[#This Row],[oldpeak]]&gt;$P$5,1,0)</f>
        <v>1</v>
      </c>
      <c r="J599">
        <f>IF(HeartData[[#This Row],[exang]]="TRUE",1,0)</f>
        <v>0</v>
      </c>
      <c r="K599">
        <f>IF(HeartData[[#This Row],[fbs]]="TRUE",1,0)</f>
        <v>0</v>
      </c>
      <c r="L599">
        <f>IF(HeartData[[#This Row],[ca]]&gt;0,1,0)</f>
        <v>0</v>
      </c>
      <c r="M599">
        <f t="shared" si="28"/>
        <v>2</v>
      </c>
      <c r="N599">
        <f t="shared" si="29"/>
        <v>1</v>
      </c>
    </row>
    <row r="600" spans="1:14" x14ac:dyDescent="0.3">
      <c r="A600">
        <f>HeartData[[#This Row],[id]]</f>
        <v>599</v>
      </c>
      <c r="B600" s="4">
        <f>HeartData[[#This Row],[age]]</f>
        <v>34</v>
      </c>
      <c r="C600" t="str">
        <f>HeartData[[#This Row],[sex]]</f>
        <v>Male</v>
      </c>
      <c r="D600" t="str">
        <f t="shared" si="27"/>
        <v>Under 45</v>
      </c>
      <c r="E600" t="str">
        <f>HeartData[[#This Row],[cp]]</f>
        <v>asymptomatic</v>
      </c>
      <c r="F600" t="str">
        <f>IF(HeartData[[#This Row],[num]]&gt;0, "Diseased", "Healthy")</f>
        <v>Diseased</v>
      </c>
      <c r="G600">
        <f>IF(HeartData[[#This Row],[chol]]&gt;$P$3, 1, 0)</f>
        <v>0</v>
      </c>
      <c r="H600">
        <f>IF(HeartData[[#This Row],[trestbps]]&gt;$P$4, 1, 0)</f>
        <v>1</v>
      </c>
      <c r="I600">
        <f>IF(HeartData[[#This Row],[oldpeak]]&gt;$P$5,1,0)</f>
        <v>1</v>
      </c>
      <c r="J600">
        <f>IF(HeartData[[#This Row],[exang]]="TRUE",1,0)</f>
        <v>0</v>
      </c>
      <c r="K600">
        <f>IF(HeartData[[#This Row],[fbs]]="TRUE",1,0)</f>
        <v>0</v>
      </c>
      <c r="L600">
        <f>IF(HeartData[[#This Row],[ca]]&gt;0,1,0)</f>
        <v>0</v>
      </c>
      <c r="M600">
        <f t="shared" si="28"/>
        <v>2</v>
      </c>
      <c r="N600">
        <f t="shared" si="29"/>
        <v>1</v>
      </c>
    </row>
    <row r="601" spans="1:14" x14ac:dyDescent="0.3">
      <c r="A601">
        <f>HeartData[[#This Row],[id]]</f>
        <v>600</v>
      </c>
      <c r="B601" s="4">
        <f>HeartData[[#This Row],[age]]</f>
        <v>35</v>
      </c>
      <c r="C601" t="str">
        <f>HeartData[[#This Row],[sex]]</f>
        <v>Male</v>
      </c>
      <c r="D601" t="str">
        <f t="shared" si="27"/>
        <v>Under 45</v>
      </c>
      <c r="E601" t="str">
        <f>HeartData[[#This Row],[cp]]</f>
        <v>asymptomatic</v>
      </c>
      <c r="F601" t="str">
        <f>IF(HeartData[[#This Row],[num]]&gt;0, "Diseased", "Healthy")</f>
        <v>Diseased</v>
      </c>
      <c r="G601">
        <f>IF(HeartData[[#This Row],[chol]]&gt;$P$3, 1, 0)</f>
        <v>0</v>
      </c>
      <c r="H601">
        <f>IF(HeartData[[#This Row],[trestbps]]&gt;$P$4, 1, 0)</f>
        <v>0</v>
      </c>
      <c r="I601">
        <f>IF(HeartData[[#This Row],[oldpeak]]&gt;$P$5,1,0)</f>
        <v>0</v>
      </c>
      <c r="J601">
        <f>IF(HeartData[[#This Row],[exang]]="TRUE",1,0)</f>
        <v>1</v>
      </c>
      <c r="K601">
        <f>IF(HeartData[[#This Row],[fbs]]="TRUE",1,0)</f>
        <v>0</v>
      </c>
      <c r="L601">
        <f>IF(HeartData[[#This Row],[ca]]&gt;0,1,0)</f>
        <v>0</v>
      </c>
      <c r="M601">
        <f t="shared" si="28"/>
        <v>1</v>
      </c>
      <c r="N601">
        <f t="shared" si="29"/>
        <v>1</v>
      </c>
    </row>
    <row r="602" spans="1:14" x14ac:dyDescent="0.3">
      <c r="A602">
        <f>HeartData[[#This Row],[id]]</f>
        <v>601</v>
      </c>
      <c r="B602" s="4">
        <f>HeartData[[#This Row],[age]]</f>
        <v>36</v>
      </c>
      <c r="C602" t="str">
        <f>HeartData[[#This Row],[sex]]</f>
        <v>Male</v>
      </c>
      <c r="D602" t="str">
        <f t="shared" si="27"/>
        <v>Under 45</v>
      </c>
      <c r="E602" t="str">
        <f>HeartData[[#This Row],[cp]]</f>
        <v>asymptomatic</v>
      </c>
      <c r="F602" t="str">
        <f>IF(HeartData[[#This Row],[num]]&gt;0, "Diseased", "Healthy")</f>
        <v>Diseased</v>
      </c>
      <c r="G602">
        <f>IF(HeartData[[#This Row],[chol]]&gt;$P$3, 1, 0)</f>
        <v>0</v>
      </c>
      <c r="H602">
        <f>IF(HeartData[[#This Row],[trestbps]]&gt;$P$4, 1, 0)</f>
        <v>1</v>
      </c>
      <c r="I602">
        <f>IF(HeartData[[#This Row],[oldpeak]]&gt;$P$5,1,0)</f>
        <v>1</v>
      </c>
      <c r="J602">
        <f>IF(HeartData[[#This Row],[exang]]="TRUE",1,0)</f>
        <v>1</v>
      </c>
      <c r="K602">
        <f>IF(HeartData[[#This Row],[fbs]]="TRUE",1,0)</f>
        <v>0</v>
      </c>
      <c r="L602">
        <f>IF(HeartData[[#This Row],[ca]]&gt;0,1,0)</f>
        <v>0</v>
      </c>
      <c r="M602">
        <f t="shared" si="28"/>
        <v>3</v>
      </c>
      <c r="N602">
        <f t="shared" si="29"/>
        <v>1</v>
      </c>
    </row>
    <row r="603" spans="1:14" x14ac:dyDescent="0.3">
      <c r="A603">
        <f>HeartData[[#This Row],[id]]</f>
        <v>602</v>
      </c>
      <c r="B603" s="4">
        <f>HeartData[[#This Row],[age]]</f>
        <v>38</v>
      </c>
      <c r="C603" t="str">
        <f>HeartData[[#This Row],[sex]]</f>
        <v>Female</v>
      </c>
      <c r="D603" t="str">
        <f t="shared" si="27"/>
        <v>Under 45</v>
      </c>
      <c r="E603" t="str">
        <f>HeartData[[#This Row],[cp]]</f>
        <v>asymptomatic</v>
      </c>
      <c r="F603" t="str">
        <f>IF(HeartData[[#This Row],[num]]&gt;0, "Diseased", "Healthy")</f>
        <v>Diseased</v>
      </c>
      <c r="G603">
        <f>IF(HeartData[[#This Row],[chol]]&gt;$P$3, 1, 0)</f>
        <v>0</v>
      </c>
      <c r="H603">
        <f>IF(HeartData[[#This Row],[trestbps]]&gt;$P$4, 1, 0)</f>
        <v>1</v>
      </c>
      <c r="I603">
        <f>IF(HeartData[[#This Row],[oldpeak]]&gt;$P$5,1,0)</f>
        <v>1</v>
      </c>
      <c r="J603">
        <f>IF(HeartData[[#This Row],[exang]]="TRUE",1,0)</f>
        <v>0</v>
      </c>
      <c r="K603">
        <f>IF(HeartData[[#This Row],[fbs]]="TRUE",1,0)</f>
        <v>0</v>
      </c>
      <c r="L603">
        <f>IF(HeartData[[#This Row],[ca]]&gt;0,1,0)</f>
        <v>0</v>
      </c>
      <c r="M603">
        <f t="shared" si="28"/>
        <v>2</v>
      </c>
      <c r="N603">
        <f t="shared" si="29"/>
        <v>1</v>
      </c>
    </row>
    <row r="604" spans="1:14" x14ac:dyDescent="0.3">
      <c r="A604">
        <f>HeartData[[#This Row],[id]]</f>
        <v>603</v>
      </c>
      <c r="B604" s="4">
        <f>HeartData[[#This Row],[age]]</f>
        <v>38</v>
      </c>
      <c r="C604" t="str">
        <f>HeartData[[#This Row],[sex]]</f>
        <v>Female</v>
      </c>
      <c r="D604" t="str">
        <f t="shared" si="27"/>
        <v>Under 45</v>
      </c>
      <c r="E604" t="str">
        <f>HeartData[[#This Row],[cp]]</f>
        <v>asymptomatic</v>
      </c>
      <c r="F604" t="str">
        <f>IF(HeartData[[#This Row],[num]]&gt;0, "Diseased", "Healthy")</f>
        <v>Diseased</v>
      </c>
      <c r="G604">
        <f>IF(HeartData[[#This Row],[chol]]&gt;$P$3, 1, 0)</f>
        <v>0</v>
      </c>
      <c r="H604">
        <f>IF(HeartData[[#This Row],[trestbps]]&gt;$P$4, 1, 0)</f>
        <v>1</v>
      </c>
      <c r="I604">
        <f>IF(HeartData[[#This Row],[oldpeak]]&gt;$P$5,1,0)</f>
        <v>0</v>
      </c>
      <c r="J604">
        <f>IF(HeartData[[#This Row],[exang]]="TRUE",1,0)</f>
        <v>0</v>
      </c>
      <c r="K604">
        <f>IF(HeartData[[#This Row],[fbs]]="TRUE",1,0)</f>
        <v>0</v>
      </c>
      <c r="L604">
        <f>IF(HeartData[[#This Row],[ca]]&gt;0,1,0)</f>
        <v>0</v>
      </c>
      <c r="M604">
        <f t="shared" si="28"/>
        <v>1</v>
      </c>
      <c r="N604">
        <f t="shared" si="29"/>
        <v>1</v>
      </c>
    </row>
    <row r="605" spans="1:14" x14ac:dyDescent="0.3">
      <c r="A605">
        <f>HeartData[[#This Row],[id]]</f>
        <v>604</v>
      </c>
      <c r="B605" s="4">
        <f>HeartData[[#This Row],[age]]</f>
        <v>38</v>
      </c>
      <c r="C605" t="str">
        <f>HeartData[[#This Row],[sex]]</f>
        <v>Male</v>
      </c>
      <c r="D605" t="str">
        <f t="shared" si="27"/>
        <v>Under 45</v>
      </c>
      <c r="E605" t="str">
        <f>HeartData[[#This Row],[cp]]</f>
        <v>non-anginal</v>
      </c>
      <c r="F605" t="str">
        <f>IF(HeartData[[#This Row],[num]]&gt;0, "Diseased", "Healthy")</f>
        <v>Healthy</v>
      </c>
      <c r="G605">
        <f>IF(HeartData[[#This Row],[chol]]&gt;$P$3, 1, 0)</f>
        <v>0</v>
      </c>
      <c r="H605">
        <f>IF(HeartData[[#This Row],[trestbps]]&gt;$P$4, 1, 0)</f>
        <v>1</v>
      </c>
      <c r="I605">
        <f>IF(HeartData[[#This Row],[oldpeak]]&gt;$P$5,1,0)</f>
        <v>0</v>
      </c>
      <c r="J605">
        <f>IF(HeartData[[#This Row],[exang]]="TRUE",1,0)</f>
        <v>0</v>
      </c>
      <c r="K605">
        <f>IF(HeartData[[#This Row],[fbs]]="TRUE",1,0)</f>
        <v>0</v>
      </c>
      <c r="L605">
        <f>IF(HeartData[[#This Row],[ca]]&gt;0,1,0)</f>
        <v>0</v>
      </c>
      <c r="M605">
        <f t="shared" si="28"/>
        <v>1</v>
      </c>
      <c r="N605">
        <f t="shared" si="29"/>
        <v>0</v>
      </c>
    </row>
    <row r="606" spans="1:14" x14ac:dyDescent="0.3">
      <c r="A606">
        <f>HeartData[[#This Row],[id]]</f>
        <v>605</v>
      </c>
      <c r="B606" s="4">
        <f>HeartData[[#This Row],[age]]</f>
        <v>38</v>
      </c>
      <c r="C606" t="str">
        <f>HeartData[[#This Row],[sex]]</f>
        <v>Male</v>
      </c>
      <c r="D606" t="str">
        <f t="shared" si="27"/>
        <v>Under 45</v>
      </c>
      <c r="E606" t="str">
        <f>HeartData[[#This Row],[cp]]</f>
        <v>non-anginal</v>
      </c>
      <c r="F606" t="str">
        <f>IF(HeartData[[#This Row],[num]]&gt;0, "Diseased", "Healthy")</f>
        <v>Diseased</v>
      </c>
      <c r="G606">
        <f>IF(HeartData[[#This Row],[chol]]&gt;$P$3, 1, 0)</f>
        <v>0</v>
      </c>
      <c r="H606">
        <f>IF(HeartData[[#This Row],[trestbps]]&gt;$P$4, 1, 0)</f>
        <v>1</v>
      </c>
      <c r="I606">
        <f>IF(HeartData[[#This Row],[oldpeak]]&gt;$P$5,1,0)</f>
        <v>0</v>
      </c>
      <c r="J606">
        <f>IF(HeartData[[#This Row],[exang]]="TRUE",1,0)</f>
        <v>1</v>
      </c>
      <c r="K606">
        <f>IF(HeartData[[#This Row],[fbs]]="TRUE",1,0)</f>
        <v>0</v>
      </c>
      <c r="L606">
        <f>IF(HeartData[[#This Row],[ca]]&gt;0,1,0)</f>
        <v>0</v>
      </c>
      <c r="M606">
        <f t="shared" si="28"/>
        <v>2</v>
      </c>
      <c r="N606">
        <f t="shared" si="29"/>
        <v>1</v>
      </c>
    </row>
    <row r="607" spans="1:14" x14ac:dyDescent="0.3">
      <c r="A607">
        <f>HeartData[[#This Row],[id]]</f>
        <v>606</v>
      </c>
      <c r="B607" s="4">
        <f>HeartData[[#This Row],[age]]</f>
        <v>38</v>
      </c>
      <c r="C607" t="str">
        <f>HeartData[[#This Row],[sex]]</f>
        <v>Male</v>
      </c>
      <c r="D607" t="str">
        <f t="shared" si="27"/>
        <v>Under 45</v>
      </c>
      <c r="E607" t="str">
        <f>HeartData[[#This Row],[cp]]</f>
        <v>asymptomatic</v>
      </c>
      <c r="F607" t="str">
        <f>IF(HeartData[[#This Row],[num]]&gt;0, "Diseased", "Healthy")</f>
        <v>Diseased</v>
      </c>
      <c r="G607">
        <f>IF(HeartData[[#This Row],[chol]]&gt;$P$3, 1, 0)</f>
        <v>0</v>
      </c>
      <c r="H607">
        <f>IF(HeartData[[#This Row],[trestbps]]&gt;$P$4, 1, 0)</f>
        <v>1</v>
      </c>
      <c r="I607">
        <f>IF(HeartData[[#This Row],[oldpeak]]&gt;$P$5,1,0)</f>
        <v>0</v>
      </c>
      <c r="J607">
        <f>IF(HeartData[[#This Row],[exang]]="TRUE",1,0)</f>
        <v>0</v>
      </c>
      <c r="K607">
        <f>IF(HeartData[[#This Row],[fbs]]="TRUE",1,0)</f>
        <v>0</v>
      </c>
      <c r="L607">
        <f>IF(HeartData[[#This Row],[ca]]&gt;0,1,0)</f>
        <v>0</v>
      </c>
      <c r="M607">
        <f t="shared" si="28"/>
        <v>1</v>
      </c>
      <c r="N607">
        <f t="shared" si="29"/>
        <v>1</v>
      </c>
    </row>
    <row r="608" spans="1:14" x14ac:dyDescent="0.3">
      <c r="A608">
        <f>HeartData[[#This Row],[id]]</f>
        <v>607</v>
      </c>
      <c r="B608" s="4">
        <f>HeartData[[#This Row],[age]]</f>
        <v>38</v>
      </c>
      <c r="C608" t="str">
        <f>HeartData[[#This Row],[sex]]</f>
        <v>Male</v>
      </c>
      <c r="D608" t="str">
        <f t="shared" si="27"/>
        <v>Under 45</v>
      </c>
      <c r="E608" t="str">
        <f>HeartData[[#This Row],[cp]]</f>
        <v>asymptomatic</v>
      </c>
      <c r="F608" t="str">
        <f>IF(HeartData[[#This Row],[num]]&gt;0, "Diseased", "Healthy")</f>
        <v>Diseased</v>
      </c>
      <c r="G608">
        <f>IF(HeartData[[#This Row],[chol]]&gt;$P$3, 1, 0)</f>
        <v>0</v>
      </c>
      <c r="H608">
        <f>IF(HeartData[[#This Row],[trestbps]]&gt;$P$4, 1, 0)</f>
        <v>1</v>
      </c>
      <c r="I608">
        <f>IF(HeartData[[#This Row],[oldpeak]]&gt;$P$5,1,0)</f>
        <v>0</v>
      </c>
      <c r="J608">
        <f>IF(HeartData[[#This Row],[exang]]="TRUE",1,0)</f>
        <v>1</v>
      </c>
      <c r="K608">
        <f>IF(HeartData[[#This Row],[fbs]]="TRUE",1,0)</f>
        <v>0</v>
      </c>
      <c r="L608">
        <f>IF(HeartData[[#This Row],[ca]]&gt;0,1,0)</f>
        <v>0</v>
      </c>
      <c r="M608">
        <f t="shared" si="28"/>
        <v>2</v>
      </c>
      <c r="N608">
        <f t="shared" si="29"/>
        <v>1</v>
      </c>
    </row>
    <row r="609" spans="1:14" x14ac:dyDescent="0.3">
      <c r="A609">
        <f>HeartData[[#This Row],[id]]</f>
        <v>608</v>
      </c>
      <c r="B609" s="4">
        <f>HeartData[[#This Row],[age]]</f>
        <v>40</v>
      </c>
      <c r="C609" t="str">
        <f>HeartData[[#This Row],[sex]]</f>
        <v>Male</v>
      </c>
      <c r="D609" t="str">
        <f t="shared" si="27"/>
        <v>Under 45</v>
      </c>
      <c r="E609" t="str">
        <f>HeartData[[#This Row],[cp]]</f>
        <v>asymptomatic</v>
      </c>
      <c r="F609" t="str">
        <f>IF(HeartData[[#This Row],[num]]&gt;0, "Diseased", "Healthy")</f>
        <v>Diseased</v>
      </c>
      <c r="G609">
        <f>IF(HeartData[[#This Row],[chol]]&gt;$P$3, 1, 0)</f>
        <v>0</v>
      </c>
      <c r="H609">
        <f>IF(HeartData[[#This Row],[trestbps]]&gt;$P$4, 1, 0)</f>
        <v>1</v>
      </c>
      <c r="I609">
        <f>IF(HeartData[[#This Row],[oldpeak]]&gt;$P$5,1,0)</f>
        <v>0</v>
      </c>
      <c r="J609">
        <f>IF(HeartData[[#This Row],[exang]]="TRUE",1,0)</f>
        <v>0</v>
      </c>
      <c r="K609">
        <f>IF(HeartData[[#This Row],[fbs]]="TRUE",1,0)</f>
        <v>0</v>
      </c>
      <c r="L609">
        <f>IF(HeartData[[#This Row],[ca]]&gt;0,1,0)</f>
        <v>0</v>
      </c>
      <c r="M609">
        <f t="shared" si="28"/>
        <v>1</v>
      </c>
      <c r="N609">
        <f t="shared" si="29"/>
        <v>1</v>
      </c>
    </row>
    <row r="610" spans="1:14" x14ac:dyDescent="0.3">
      <c r="A610">
        <f>HeartData[[#This Row],[id]]</f>
        <v>609</v>
      </c>
      <c r="B610" s="4">
        <f>HeartData[[#This Row],[age]]</f>
        <v>41</v>
      </c>
      <c r="C610" t="str">
        <f>HeartData[[#This Row],[sex]]</f>
        <v>Male</v>
      </c>
      <c r="D610" t="str">
        <f t="shared" si="27"/>
        <v>Under 45</v>
      </c>
      <c r="E610" t="str">
        <f>HeartData[[#This Row],[cp]]</f>
        <v>asymptomatic</v>
      </c>
      <c r="F610" t="str">
        <f>IF(HeartData[[#This Row],[num]]&gt;0, "Diseased", "Healthy")</f>
        <v>Diseased</v>
      </c>
      <c r="G610">
        <f>IF(HeartData[[#This Row],[chol]]&gt;$P$3, 1, 0)</f>
        <v>0</v>
      </c>
      <c r="H610">
        <f>IF(HeartData[[#This Row],[trestbps]]&gt;$P$4, 1, 0)</f>
        <v>1</v>
      </c>
      <c r="I610">
        <f>IF(HeartData[[#This Row],[oldpeak]]&gt;$P$5,1,0)</f>
        <v>1</v>
      </c>
      <c r="J610">
        <f>IF(HeartData[[#This Row],[exang]]="TRUE",1,0)</f>
        <v>0</v>
      </c>
      <c r="K610">
        <f>IF(HeartData[[#This Row],[fbs]]="TRUE",1,0)</f>
        <v>0</v>
      </c>
      <c r="L610">
        <f>IF(HeartData[[#This Row],[ca]]&gt;0,1,0)</f>
        <v>0</v>
      </c>
      <c r="M610">
        <f t="shared" si="28"/>
        <v>2</v>
      </c>
      <c r="N610">
        <f t="shared" si="29"/>
        <v>1</v>
      </c>
    </row>
    <row r="611" spans="1:14" x14ac:dyDescent="0.3">
      <c r="A611">
        <f>HeartData[[#This Row],[id]]</f>
        <v>610</v>
      </c>
      <c r="B611" s="4">
        <f>HeartData[[#This Row],[age]]</f>
        <v>42</v>
      </c>
      <c r="C611" t="str">
        <f>HeartData[[#This Row],[sex]]</f>
        <v>Male</v>
      </c>
      <c r="D611" t="str">
        <f t="shared" si="27"/>
        <v>Under 45</v>
      </c>
      <c r="E611" t="str">
        <f>HeartData[[#This Row],[cp]]</f>
        <v>asymptomatic</v>
      </c>
      <c r="F611" t="str">
        <f>IF(HeartData[[#This Row],[num]]&gt;0, "Diseased", "Healthy")</f>
        <v>Diseased</v>
      </c>
      <c r="G611">
        <f>IF(HeartData[[#This Row],[chol]]&gt;$P$3, 1, 0)</f>
        <v>0</v>
      </c>
      <c r="H611">
        <f>IF(HeartData[[#This Row],[trestbps]]&gt;$P$4, 1, 0)</f>
        <v>1</v>
      </c>
      <c r="I611">
        <f>IF(HeartData[[#This Row],[oldpeak]]&gt;$P$5,1,0)</f>
        <v>0</v>
      </c>
      <c r="J611">
        <f>IF(HeartData[[#This Row],[exang]]="TRUE",1,0)</f>
        <v>1</v>
      </c>
      <c r="K611">
        <f>IF(HeartData[[#This Row],[fbs]]="TRUE",1,0)</f>
        <v>0</v>
      </c>
      <c r="L611">
        <f>IF(HeartData[[#This Row],[ca]]&gt;0,1,0)</f>
        <v>0</v>
      </c>
      <c r="M611">
        <f t="shared" si="28"/>
        <v>2</v>
      </c>
      <c r="N611">
        <f t="shared" si="29"/>
        <v>1</v>
      </c>
    </row>
    <row r="612" spans="1:14" x14ac:dyDescent="0.3">
      <c r="A612">
        <f>HeartData[[#This Row],[id]]</f>
        <v>611</v>
      </c>
      <c r="B612" s="4">
        <f>HeartData[[#This Row],[age]]</f>
        <v>42</v>
      </c>
      <c r="C612" t="str">
        <f>HeartData[[#This Row],[sex]]</f>
        <v>Male</v>
      </c>
      <c r="D612" t="str">
        <f t="shared" si="27"/>
        <v>Under 45</v>
      </c>
      <c r="E612" t="str">
        <f>HeartData[[#This Row],[cp]]</f>
        <v>asymptomatic</v>
      </c>
      <c r="F612" t="str">
        <f>IF(HeartData[[#This Row],[num]]&gt;0, "Diseased", "Healthy")</f>
        <v>Diseased</v>
      </c>
      <c r="G612">
        <f>IF(HeartData[[#This Row],[chol]]&gt;$P$3, 1, 0)</f>
        <v>0</v>
      </c>
      <c r="H612">
        <f>IF(HeartData[[#This Row],[trestbps]]&gt;$P$4, 1, 0)</f>
        <v>1</v>
      </c>
      <c r="I612">
        <f>IF(HeartData[[#This Row],[oldpeak]]&gt;$P$5,1,0)</f>
        <v>0</v>
      </c>
      <c r="J612">
        <f>IF(HeartData[[#This Row],[exang]]="TRUE",1,0)</f>
        <v>1</v>
      </c>
      <c r="K612">
        <f>IF(HeartData[[#This Row],[fbs]]="TRUE",1,0)</f>
        <v>0</v>
      </c>
      <c r="L612">
        <f>IF(HeartData[[#This Row],[ca]]&gt;0,1,0)</f>
        <v>0</v>
      </c>
      <c r="M612">
        <f t="shared" si="28"/>
        <v>2</v>
      </c>
      <c r="N612">
        <f t="shared" si="29"/>
        <v>1</v>
      </c>
    </row>
    <row r="613" spans="1:14" x14ac:dyDescent="0.3">
      <c r="A613">
        <f>HeartData[[#This Row],[id]]</f>
        <v>612</v>
      </c>
      <c r="B613" s="4">
        <f>HeartData[[#This Row],[age]]</f>
        <v>43</v>
      </c>
      <c r="C613" t="str">
        <f>HeartData[[#This Row],[sex]]</f>
        <v>Male</v>
      </c>
      <c r="D613" t="str">
        <f t="shared" si="27"/>
        <v>Under 45</v>
      </c>
      <c r="E613" t="str">
        <f>HeartData[[#This Row],[cp]]</f>
        <v>asymptomatic</v>
      </c>
      <c r="F613" t="str">
        <f>IF(HeartData[[#This Row],[num]]&gt;0, "Diseased", "Healthy")</f>
        <v>Diseased</v>
      </c>
      <c r="G613">
        <f>IF(HeartData[[#This Row],[chol]]&gt;$P$3, 1, 0)</f>
        <v>0</v>
      </c>
      <c r="H613">
        <f>IF(HeartData[[#This Row],[trestbps]]&gt;$P$4, 1, 0)</f>
        <v>1</v>
      </c>
      <c r="I613">
        <f>IF(HeartData[[#This Row],[oldpeak]]&gt;$P$5,1,0)</f>
        <v>1</v>
      </c>
      <c r="J613">
        <f>IF(HeartData[[#This Row],[exang]]="TRUE",1,0)</f>
        <v>0</v>
      </c>
      <c r="K613">
        <f>IF(HeartData[[#This Row],[fbs]]="TRUE",1,0)</f>
        <v>0</v>
      </c>
      <c r="L613">
        <f>IF(HeartData[[#This Row],[ca]]&gt;0,1,0)</f>
        <v>0</v>
      </c>
      <c r="M613">
        <f t="shared" si="28"/>
        <v>2</v>
      </c>
      <c r="N613">
        <f t="shared" si="29"/>
        <v>1</v>
      </c>
    </row>
    <row r="614" spans="1:14" x14ac:dyDescent="0.3">
      <c r="A614">
        <f>HeartData[[#This Row],[id]]</f>
        <v>613</v>
      </c>
      <c r="B614" s="4">
        <f>HeartData[[#This Row],[age]]</f>
        <v>43</v>
      </c>
      <c r="C614" t="str">
        <f>HeartData[[#This Row],[sex]]</f>
        <v>Male</v>
      </c>
      <c r="D614" t="str">
        <f t="shared" si="27"/>
        <v>Under 45</v>
      </c>
      <c r="E614" t="str">
        <f>HeartData[[#This Row],[cp]]</f>
        <v>asymptomatic</v>
      </c>
      <c r="F614" t="str">
        <f>IF(HeartData[[#This Row],[num]]&gt;0, "Diseased", "Healthy")</f>
        <v>Diseased</v>
      </c>
      <c r="G614">
        <f>IF(HeartData[[#This Row],[chol]]&gt;$P$3, 1, 0)</f>
        <v>0</v>
      </c>
      <c r="H614">
        <f>IF(HeartData[[#This Row],[trestbps]]&gt;$P$4, 1, 0)</f>
        <v>1</v>
      </c>
      <c r="I614">
        <f>IF(HeartData[[#This Row],[oldpeak]]&gt;$P$5,1,0)</f>
        <v>1</v>
      </c>
      <c r="J614">
        <f>IF(HeartData[[#This Row],[exang]]="TRUE",1,0)</f>
        <v>1</v>
      </c>
      <c r="K614">
        <f>IF(HeartData[[#This Row],[fbs]]="TRUE",1,0)</f>
        <v>0</v>
      </c>
      <c r="L614">
        <f>IF(HeartData[[#This Row],[ca]]&gt;0,1,0)</f>
        <v>0</v>
      </c>
      <c r="M614">
        <f t="shared" si="28"/>
        <v>3</v>
      </c>
      <c r="N614">
        <f t="shared" si="29"/>
        <v>1</v>
      </c>
    </row>
    <row r="615" spans="1:14" x14ac:dyDescent="0.3">
      <c r="A615">
        <f>HeartData[[#This Row],[id]]</f>
        <v>614</v>
      </c>
      <c r="B615" s="4">
        <f>HeartData[[#This Row],[age]]</f>
        <v>43</v>
      </c>
      <c r="C615" t="str">
        <f>HeartData[[#This Row],[sex]]</f>
        <v>Male</v>
      </c>
      <c r="D615" t="str">
        <f t="shared" si="27"/>
        <v>Under 45</v>
      </c>
      <c r="E615" t="str">
        <f>HeartData[[#This Row],[cp]]</f>
        <v>asymptomatic</v>
      </c>
      <c r="F615" t="str">
        <f>IF(HeartData[[#This Row],[num]]&gt;0, "Diseased", "Healthy")</f>
        <v>Diseased</v>
      </c>
      <c r="G615">
        <f>IF(HeartData[[#This Row],[chol]]&gt;$P$3, 1, 0)</f>
        <v>0</v>
      </c>
      <c r="H615">
        <f>IF(HeartData[[#This Row],[trestbps]]&gt;$P$4, 1, 0)</f>
        <v>1</v>
      </c>
      <c r="I615">
        <f>IF(HeartData[[#This Row],[oldpeak]]&gt;$P$5,1,0)</f>
        <v>1</v>
      </c>
      <c r="J615">
        <f>IF(HeartData[[#This Row],[exang]]="TRUE",1,0)</f>
        <v>1</v>
      </c>
      <c r="K615">
        <f>IF(HeartData[[#This Row],[fbs]]="TRUE",1,0)</f>
        <v>0</v>
      </c>
      <c r="L615">
        <f>IF(HeartData[[#This Row],[ca]]&gt;0,1,0)</f>
        <v>0</v>
      </c>
      <c r="M615">
        <f t="shared" si="28"/>
        <v>3</v>
      </c>
      <c r="N615">
        <f t="shared" si="29"/>
        <v>1</v>
      </c>
    </row>
    <row r="616" spans="1:14" x14ac:dyDescent="0.3">
      <c r="A616">
        <f>HeartData[[#This Row],[id]]</f>
        <v>615</v>
      </c>
      <c r="B616" s="4">
        <f>HeartData[[#This Row],[age]]</f>
        <v>45</v>
      </c>
      <c r="C616" t="str">
        <f>HeartData[[#This Row],[sex]]</f>
        <v>Male</v>
      </c>
      <c r="D616" t="str">
        <f t="shared" si="27"/>
        <v>45-54</v>
      </c>
      <c r="E616" t="str">
        <f>HeartData[[#This Row],[cp]]</f>
        <v>non-anginal</v>
      </c>
      <c r="F616" t="str">
        <f>IF(HeartData[[#This Row],[num]]&gt;0, "Diseased", "Healthy")</f>
        <v>Healthy</v>
      </c>
      <c r="G616">
        <f>IF(HeartData[[#This Row],[chol]]&gt;$P$3, 1, 0)</f>
        <v>0</v>
      </c>
      <c r="H616">
        <f>IF(HeartData[[#This Row],[trestbps]]&gt;$P$4, 1, 0)</f>
        <v>1</v>
      </c>
      <c r="I616">
        <f>IF(HeartData[[#This Row],[oldpeak]]&gt;$P$5,1,0)</f>
        <v>0</v>
      </c>
      <c r="J616">
        <f>IF(HeartData[[#This Row],[exang]]="TRUE",1,0)</f>
        <v>0</v>
      </c>
      <c r="K616">
        <f>IF(HeartData[[#This Row],[fbs]]="TRUE",1,0)</f>
        <v>0</v>
      </c>
      <c r="L616">
        <f>IF(HeartData[[#This Row],[ca]]&gt;0,1,0)</f>
        <v>0</v>
      </c>
      <c r="M616">
        <f t="shared" si="28"/>
        <v>1</v>
      </c>
      <c r="N616">
        <f t="shared" si="29"/>
        <v>0</v>
      </c>
    </row>
    <row r="617" spans="1:14" x14ac:dyDescent="0.3">
      <c r="A617">
        <f>HeartData[[#This Row],[id]]</f>
        <v>616</v>
      </c>
      <c r="B617" s="4">
        <f>HeartData[[#This Row],[age]]</f>
        <v>46</v>
      </c>
      <c r="C617" t="str">
        <f>HeartData[[#This Row],[sex]]</f>
        <v>Male</v>
      </c>
      <c r="D617" t="str">
        <f t="shared" si="27"/>
        <v>45-54</v>
      </c>
      <c r="E617" t="str">
        <f>HeartData[[#This Row],[cp]]</f>
        <v>asymptomatic</v>
      </c>
      <c r="F617" t="str">
        <f>IF(HeartData[[#This Row],[num]]&gt;0, "Diseased", "Healthy")</f>
        <v>Diseased</v>
      </c>
      <c r="G617">
        <f>IF(HeartData[[#This Row],[chol]]&gt;$P$3, 1, 0)</f>
        <v>0</v>
      </c>
      <c r="H617">
        <f>IF(HeartData[[#This Row],[trestbps]]&gt;$P$4, 1, 0)</f>
        <v>1</v>
      </c>
      <c r="I617">
        <f>IF(HeartData[[#This Row],[oldpeak]]&gt;$P$5,1,0)</f>
        <v>0</v>
      </c>
      <c r="J617">
        <f>IF(HeartData[[#This Row],[exang]]="TRUE",1,0)</f>
        <v>0</v>
      </c>
      <c r="K617">
        <f>IF(HeartData[[#This Row],[fbs]]="TRUE",1,0)</f>
        <v>0</v>
      </c>
      <c r="L617">
        <f>IF(HeartData[[#This Row],[ca]]&gt;0,1,0)</f>
        <v>0</v>
      </c>
      <c r="M617">
        <f t="shared" si="28"/>
        <v>1</v>
      </c>
      <c r="N617">
        <f t="shared" si="29"/>
        <v>1</v>
      </c>
    </row>
    <row r="618" spans="1:14" x14ac:dyDescent="0.3">
      <c r="A618">
        <f>HeartData[[#This Row],[id]]</f>
        <v>617</v>
      </c>
      <c r="B618" s="4">
        <f>HeartData[[#This Row],[age]]</f>
        <v>46</v>
      </c>
      <c r="C618" t="str">
        <f>HeartData[[#This Row],[sex]]</f>
        <v>Male</v>
      </c>
      <c r="D618" t="str">
        <f t="shared" si="27"/>
        <v>45-54</v>
      </c>
      <c r="E618" t="str">
        <f>HeartData[[#This Row],[cp]]</f>
        <v>asymptomatic</v>
      </c>
      <c r="F618" t="str">
        <f>IF(HeartData[[#This Row],[num]]&gt;0, "Diseased", "Healthy")</f>
        <v>Diseased</v>
      </c>
      <c r="G618">
        <f>IF(HeartData[[#This Row],[chol]]&gt;$P$3, 1, 0)</f>
        <v>0</v>
      </c>
      <c r="H618">
        <f>IF(HeartData[[#This Row],[trestbps]]&gt;$P$4, 1, 0)</f>
        <v>1</v>
      </c>
      <c r="I618">
        <f>IF(HeartData[[#This Row],[oldpeak]]&gt;$P$5,1,0)</f>
        <v>1</v>
      </c>
      <c r="J618">
        <f>IF(HeartData[[#This Row],[exang]]="TRUE",1,0)</f>
        <v>1</v>
      </c>
      <c r="K618">
        <f>IF(HeartData[[#This Row],[fbs]]="TRUE",1,0)</f>
        <v>0</v>
      </c>
      <c r="L618">
        <f>IF(HeartData[[#This Row],[ca]]&gt;0,1,0)</f>
        <v>0</v>
      </c>
      <c r="M618">
        <f t="shared" si="28"/>
        <v>3</v>
      </c>
      <c r="N618">
        <f t="shared" si="29"/>
        <v>1</v>
      </c>
    </row>
    <row r="619" spans="1:14" x14ac:dyDescent="0.3">
      <c r="A619">
        <f>HeartData[[#This Row],[id]]</f>
        <v>618</v>
      </c>
      <c r="B619" s="4">
        <f>HeartData[[#This Row],[age]]</f>
        <v>47</v>
      </c>
      <c r="C619" t="str">
        <f>HeartData[[#This Row],[sex]]</f>
        <v>Male</v>
      </c>
      <c r="D619" t="str">
        <f t="shared" si="27"/>
        <v>45-54</v>
      </c>
      <c r="E619" t="str">
        <f>HeartData[[#This Row],[cp]]</f>
        <v>non-anginal</v>
      </c>
      <c r="F619" t="str">
        <f>IF(HeartData[[#This Row],[num]]&gt;0, "Diseased", "Healthy")</f>
        <v>Diseased</v>
      </c>
      <c r="G619">
        <f>IF(HeartData[[#This Row],[chol]]&gt;$P$3, 1, 0)</f>
        <v>0</v>
      </c>
      <c r="H619">
        <f>IF(HeartData[[#This Row],[trestbps]]&gt;$P$4, 1, 0)</f>
        <v>1</v>
      </c>
      <c r="I619">
        <f>IF(HeartData[[#This Row],[oldpeak]]&gt;$P$5,1,0)</f>
        <v>0</v>
      </c>
      <c r="J619">
        <f>IF(HeartData[[#This Row],[exang]]="TRUE",1,0)</f>
        <v>1</v>
      </c>
      <c r="K619">
        <f>IF(HeartData[[#This Row],[fbs]]="TRUE",1,0)</f>
        <v>0</v>
      </c>
      <c r="L619">
        <f>IF(HeartData[[#This Row],[ca]]&gt;0,1,0)</f>
        <v>0</v>
      </c>
      <c r="M619">
        <f t="shared" si="28"/>
        <v>2</v>
      </c>
      <c r="N619">
        <f t="shared" si="29"/>
        <v>1</v>
      </c>
    </row>
    <row r="620" spans="1:14" x14ac:dyDescent="0.3">
      <c r="A620">
        <f>HeartData[[#This Row],[id]]</f>
        <v>619</v>
      </c>
      <c r="B620" s="4">
        <f>HeartData[[#This Row],[age]]</f>
        <v>47</v>
      </c>
      <c r="C620" t="str">
        <f>HeartData[[#This Row],[sex]]</f>
        <v>Male</v>
      </c>
      <c r="D620" t="str">
        <f t="shared" si="27"/>
        <v>45-54</v>
      </c>
      <c r="E620" t="str">
        <f>HeartData[[#This Row],[cp]]</f>
        <v>non-anginal</v>
      </c>
      <c r="F620" t="str">
        <f>IF(HeartData[[#This Row],[num]]&gt;0, "Diseased", "Healthy")</f>
        <v>Diseased</v>
      </c>
      <c r="G620">
        <f>IF(HeartData[[#This Row],[chol]]&gt;$P$3, 1, 0)</f>
        <v>0</v>
      </c>
      <c r="H620">
        <f>IF(HeartData[[#This Row],[trestbps]]&gt;$P$4, 1, 0)</f>
        <v>1</v>
      </c>
      <c r="I620">
        <f>IF(HeartData[[#This Row],[oldpeak]]&gt;$P$5,1,0)</f>
        <v>1</v>
      </c>
      <c r="J620">
        <f>IF(HeartData[[#This Row],[exang]]="TRUE",1,0)</f>
        <v>1</v>
      </c>
      <c r="K620">
        <f>IF(HeartData[[#This Row],[fbs]]="TRUE",1,0)</f>
        <v>0</v>
      </c>
      <c r="L620">
        <f>IF(HeartData[[#This Row],[ca]]&gt;0,1,0)</f>
        <v>0</v>
      </c>
      <c r="M620">
        <f t="shared" si="28"/>
        <v>3</v>
      </c>
      <c r="N620">
        <f t="shared" si="29"/>
        <v>1</v>
      </c>
    </row>
    <row r="621" spans="1:14" x14ac:dyDescent="0.3">
      <c r="A621">
        <f>HeartData[[#This Row],[id]]</f>
        <v>620</v>
      </c>
      <c r="B621" s="4">
        <f>HeartData[[#This Row],[age]]</f>
        <v>47</v>
      </c>
      <c r="C621" t="str">
        <f>HeartData[[#This Row],[sex]]</f>
        <v>Male</v>
      </c>
      <c r="D621" t="str">
        <f t="shared" si="27"/>
        <v>45-54</v>
      </c>
      <c r="E621" t="str">
        <f>HeartData[[#This Row],[cp]]</f>
        <v>asymptomatic</v>
      </c>
      <c r="F621" t="str">
        <f>IF(HeartData[[#This Row],[num]]&gt;0, "Diseased", "Healthy")</f>
        <v>Diseased</v>
      </c>
      <c r="G621">
        <f>IF(HeartData[[#This Row],[chol]]&gt;$P$3, 1, 0)</f>
        <v>0</v>
      </c>
      <c r="H621">
        <f>IF(HeartData[[#This Row],[trestbps]]&gt;$P$4, 1, 0)</f>
        <v>1</v>
      </c>
      <c r="I621">
        <f>IF(HeartData[[#This Row],[oldpeak]]&gt;$P$5,1,0)</f>
        <v>1</v>
      </c>
      <c r="J621">
        <f>IF(HeartData[[#This Row],[exang]]="TRUE",1,0)</f>
        <v>0</v>
      </c>
      <c r="K621">
        <f>IF(HeartData[[#This Row],[fbs]]="TRUE",1,0)</f>
        <v>0</v>
      </c>
      <c r="L621">
        <f>IF(HeartData[[#This Row],[ca]]&gt;0,1,0)</f>
        <v>0</v>
      </c>
      <c r="M621">
        <f t="shared" si="28"/>
        <v>2</v>
      </c>
      <c r="N621">
        <f t="shared" si="29"/>
        <v>1</v>
      </c>
    </row>
    <row r="622" spans="1:14" x14ac:dyDescent="0.3">
      <c r="A622">
        <f>HeartData[[#This Row],[id]]</f>
        <v>621</v>
      </c>
      <c r="B622" s="4">
        <f>HeartData[[#This Row],[age]]</f>
        <v>47</v>
      </c>
      <c r="C622" t="str">
        <f>HeartData[[#This Row],[sex]]</f>
        <v>Male</v>
      </c>
      <c r="D622" t="str">
        <f t="shared" si="27"/>
        <v>45-54</v>
      </c>
      <c r="E622" t="str">
        <f>HeartData[[#This Row],[cp]]</f>
        <v>asymptomatic</v>
      </c>
      <c r="F622" t="str">
        <f>IF(HeartData[[#This Row],[num]]&gt;0, "Diseased", "Healthy")</f>
        <v>Diseased</v>
      </c>
      <c r="G622">
        <f>IF(HeartData[[#This Row],[chol]]&gt;$P$3, 1, 0)</f>
        <v>0</v>
      </c>
      <c r="H622">
        <f>IF(HeartData[[#This Row],[trestbps]]&gt;$P$4, 1, 0)</f>
        <v>1</v>
      </c>
      <c r="I622">
        <f>IF(HeartData[[#This Row],[oldpeak]]&gt;$P$5,1,0)</f>
        <v>0</v>
      </c>
      <c r="J622">
        <f>IF(HeartData[[#This Row],[exang]]="TRUE",1,0)</f>
        <v>1</v>
      </c>
      <c r="K622">
        <f>IF(HeartData[[#This Row],[fbs]]="TRUE",1,0)</f>
        <v>0</v>
      </c>
      <c r="L622">
        <f>IF(HeartData[[#This Row],[ca]]&gt;0,1,0)</f>
        <v>0</v>
      </c>
      <c r="M622">
        <f t="shared" si="28"/>
        <v>2</v>
      </c>
      <c r="N622">
        <f t="shared" si="29"/>
        <v>1</v>
      </c>
    </row>
    <row r="623" spans="1:14" x14ac:dyDescent="0.3">
      <c r="A623">
        <f>HeartData[[#This Row],[id]]</f>
        <v>622</v>
      </c>
      <c r="B623" s="4">
        <f>HeartData[[#This Row],[age]]</f>
        <v>48</v>
      </c>
      <c r="C623" t="str">
        <f>HeartData[[#This Row],[sex]]</f>
        <v>Male</v>
      </c>
      <c r="D623" t="str">
        <f t="shared" si="27"/>
        <v>45-54</v>
      </c>
      <c r="E623" t="str">
        <f>HeartData[[#This Row],[cp]]</f>
        <v>asymptomatic</v>
      </c>
      <c r="F623" t="str">
        <f>IF(HeartData[[#This Row],[num]]&gt;0, "Diseased", "Healthy")</f>
        <v>Diseased</v>
      </c>
      <c r="G623">
        <f>IF(HeartData[[#This Row],[chol]]&gt;$P$3, 1, 0)</f>
        <v>0</v>
      </c>
      <c r="H623">
        <f>IF(HeartData[[#This Row],[trestbps]]&gt;$P$4, 1, 0)</f>
        <v>1</v>
      </c>
      <c r="I623">
        <f>IF(HeartData[[#This Row],[oldpeak]]&gt;$P$5,1,0)</f>
        <v>0</v>
      </c>
      <c r="J623">
        <f>IF(HeartData[[#This Row],[exang]]="TRUE",1,0)</f>
        <v>0</v>
      </c>
      <c r="K623">
        <f>IF(HeartData[[#This Row],[fbs]]="TRUE",1,0)</f>
        <v>0</v>
      </c>
      <c r="L623">
        <f>IF(HeartData[[#This Row],[ca]]&gt;0,1,0)</f>
        <v>0</v>
      </c>
      <c r="M623">
        <f t="shared" si="28"/>
        <v>1</v>
      </c>
      <c r="N623">
        <f t="shared" si="29"/>
        <v>1</v>
      </c>
    </row>
    <row r="624" spans="1:14" x14ac:dyDescent="0.3">
      <c r="A624">
        <f>HeartData[[#This Row],[id]]</f>
        <v>623</v>
      </c>
      <c r="B624" s="4">
        <f>HeartData[[#This Row],[age]]</f>
        <v>50</v>
      </c>
      <c r="C624" t="str">
        <f>HeartData[[#This Row],[sex]]</f>
        <v>Female</v>
      </c>
      <c r="D624" t="str">
        <f t="shared" si="27"/>
        <v>45-54</v>
      </c>
      <c r="E624" t="str">
        <f>HeartData[[#This Row],[cp]]</f>
        <v>asymptomatic</v>
      </c>
      <c r="F624" t="str">
        <f>IF(HeartData[[#This Row],[num]]&gt;0, "Diseased", "Healthy")</f>
        <v>Diseased</v>
      </c>
      <c r="G624">
        <f>IF(HeartData[[#This Row],[chol]]&gt;$P$3, 1, 0)</f>
        <v>0</v>
      </c>
      <c r="H624">
        <f>IF(HeartData[[#This Row],[trestbps]]&gt;$P$4, 1, 0)</f>
        <v>1</v>
      </c>
      <c r="I624">
        <f>IF(HeartData[[#This Row],[oldpeak]]&gt;$P$5,1,0)</f>
        <v>0</v>
      </c>
      <c r="J624">
        <f>IF(HeartData[[#This Row],[exang]]="TRUE",1,0)</f>
        <v>0</v>
      </c>
      <c r="K624">
        <f>IF(HeartData[[#This Row],[fbs]]="TRUE",1,0)</f>
        <v>0</v>
      </c>
      <c r="L624">
        <f>IF(HeartData[[#This Row],[ca]]&gt;0,1,0)</f>
        <v>0</v>
      </c>
      <c r="M624">
        <f t="shared" si="28"/>
        <v>1</v>
      </c>
      <c r="N624">
        <f t="shared" si="29"/>
        <v>1</v>
      </c>
    </row>
    <row r="625" spans="1:14" x14ac:dyDescent="0.3">
      <c r="A625">
        <f>HeartData[[#This Row],[id]]</f>
        <v>624</v>
      </c>
      <c r="B625" s="4">
        <f>HeartData[[#This Row],[age]]</f>
        <v>50</v>
      </c>
      <c r="C625" t="str">
        <f>HeartData[[#This Row],[sex]]</f>
        <v>Male</v>
      </c>
      <c r="D625" t="str">
        <f t="shared" si="27"/>
        <v>45-54</v>
      </c>
      <c r="E625" t="str">
        <f>HeartData[[#This Row],[cp]]</f>
        <v>asymptomatic</v>
      </c>
      <c r="F625" t="str">
        <f>IF(HeartData[[#This Row],[num]]&gt;0, "Diseased", "Healthy")</f>
        <v>Diseased</v>
      </c>
      <c r="G625">
        <f>IF(HeartData[[#This Row],[chol]]&gt;$P$3, 1, 0)</f>
        <v>0</v>
      </c>
      <c r="H625">
        <f>IF(HeartData[[#This Row],[trestbps]]&gt;$P$4, 1, 0)</f>
        <v>1</v>
      </c>
      <c r="I625">
        <f>IF(HeartData[[#This Row],[oldpeak]]&gt;$P$5,1,0)</f>
        <v>1</v>
      </c>
      <c r="J625">
        <f>IF(HeartData[[#This Row],[exang]]="TRUE",1,0)</f>
        <v>1</v>
      </c>
      <c r="K625">
        <f>IF(HeartData[[#This Row],[fbs]]="TRUE",1,0)</f>
        <v>0</v>
      </c>
      <c r="L625">
        <f>IF(HeartData[[#This Row],[ca]]&gt;0,1,0)</f>
        <v>0</v>
      </c>
      <c r="M625">
        <f t="shared" si="28"/>
        <v>3</v>
      </c>
      <c r="N625">
        <f t="shared" si="29"/>
        <v>1</v>
      </c>
    </row>
    <row r="626" spans="1:14" x14ac:dyDescent="0.3">
      <c r="A626">
        <f>HeartData[[#This Row],[id]]</f>
        <v>625</v>
      </c>
      <c r="B626" s="4">
        <f>HeartData[[#This Row],[age]]</f>
        <v>50</v>
      </c>
      <c r="C626" t="str">
        <f>HeartData[[#This Row],[sex]]</f>
        <v>Male</v>
      </c>
      <c r="D626" t="str">
        <f t="shared" si="27"/>
        <v>45-54</v>
      </c>
      <c r="E626" t="str">
        <f>HeartData[[#This Row],[cp]]</f>
        <v>asymptomatic</v>
      </c>
      <c r="F626" t="str">
        <f>IF(HeartData[[#This Row],[num]]&gt;0, "Diseased", "Healthy")</f>
        <v>Diseased</v>
      </c>
      <c r="G626">
        <f>IF(HeartData[[#This Row],[chol]]&gt;$P$3, 1, 0)</f>
        <v>0</v>
      </c>
      <c r="H626">
        <f>IF(HeartData[[#This Row],[trestbps]]&gt;$P$4, 1, 0)</f>
        <v>1</v>
      </c>
      <c r="I626">
        <f>IF(HeartData[[#This Row],[oldpeak]]&gt;$P$5,1,0)</f>
        <v>0</v>
      </c>
      <c r="J626">
        <f>IF(HeartData[[#This Row],[exang]]="TRUE",1,0)</f>
        <v>1</v>
      </c>
      <c r="K626">
        <f>IF(HeartData[[#This Row],[fbs]]="TRUE",1,0)</f>
        <v>0</v>
      </c>
      <c r="L626">
        <f>IF(HeartData[[#This Row],[ca]]&gt;0,1,0)</f>
        <v>0</v>
      </c>
      <c r="M626">
        <f t="shared" si="28"/>
        <v>2</v>
      </c>
      <c r="N626">
        <f t="shared" si="29"/>
        <v>1</v>
      </c>
    </row>
    <row r="627" spans="1:14" x14ac:dyDescent="0.3">
      <c r="A627">
        <f>HeartData[[#This Row],[id]]</f>
        <v>626</v>
      </c>
      <c r="B627" s="4">
        <f>HeartData[[#This Row],[age]]</f>
        <v>50</v>
      </c>
      <c r="C627" t="str">
        <f>HeartData[[#This Row],[sex]]</f>
        <v>Male</v>
      </c>
      <c r="D627" t="str">
        <f t="shared" si="27"/>
        <v>45-54</v>
      </c>
      <c r="E627" t="str">
        <f>HeartData[[#This Row],[cp]]</f>
        <v>asymptomatic</v>
      </c>
      <c r="F627" t="str">
        <f>IF(HeartData[[#This Row],[num]]&gt;0, "Diseased", "Healthy")</f>
        <v>Diseased</v>
      </c>
      <c r="G627">
        <f>IF(HeartData[[#This Row],[chol]]&gt;$P$3, 1, 0)</f>
        <v>0</v>
      </c>
      <c r="H627">
        <f>IF(HeartData[[#This Row],[trestbps]]&gt;$P$4, 1, 0)</f>
        <v>1</v>
      </c>
      <c r="I627">
        <f>IF(HeartData[[#This Row],[oldpeak]]&gt;$P$5,1,0)</f>
        <v>1</v>
      </c>
      <c r="J627">
        <f>IF(HeartData[[#This Row],[exang]]="TRUE",1,0)</f>
        <v>1</v>
      </c>
      <c r="K627">
        <f>IF(HeartData[[#This Row],[fbs]]="TRUE",1,0)</f>
        <v>0</v>
      </c>
      <c r="L627">
        <f>IF(HeartData[[#This Row],[ca]]&gt;0,1,0)</f>
        <v>0</v>
      </c>
      <c r="M627">
        <f t="shared" si="28"/>
        <v>3</v>
      </c>
      <c r="N627">
        <f t="shared" si="29"/>
        <v>1</v>
      </c>
    </row>
    <row r="628" spans="1:14" x14ac:dyDescent="0.3">
      <c r="A628">
        <f>HeartData[[#This Row],[id]]</f>
        <v>627</v>
      </c>
      <c r="B628" s="4">
        <f>HeartData[[#This Row],[age]]</f>
        <v>51</v>
      </c>
      <c r="C628" t="str">
        <f>HeartData[[#This Row],[sex]]</f>
        <v>Female</v>
      </c>
      <c r="D628" t="str">
        <f t="shared" si="27"/>
        <v>45-54</v>
      </c>
      <c r="E628" t="str">
        <f>HeartData[[#This Row],[cp]]</f>
        <v>asymptomatic</v>
      </c>
      <c r="F628" t="str">
        <f>IF(HeartData[[#This Row],[num]]&gt;0, "Diseased", "Healthy")</f>
        <v>Diseased</v>
      </c>
      <c r="G628">
        <f>IF(HeartData[[#This Row],[chol]]&gt;$P$3, 1, 0)</f>
        <v>0</v>
      </c>
      <c r="H628">
        <f>IF(HeartData[[#This Row],[trestbps]]&gt;$P$4, 1, 0)</f>
        <v>1</v>
      </c>
      <c r="I628">
        <f>IF(HeartData[[#This Row],[oldpeak]]&gt;$P$5,1,0)</f>
        <v>1</v>
      </c>
      <c r="J628">
        <f>IF(HeartData[[#This Row],[exang]]="TRUE",1,0)</f>
        <v>1</v>
      </c>
      <c r="K628">
        <f>IF(HeartData[[#This Row],[fbs]]="TRUE",1,0)</f>
        <v>0</v>
      </c>
      <c r="L628">
        <f>IF(HeartData[[#This Row],[ca]]&gt;0,1,0)</f>
        <v>0</v>
      </c>
      <c r="M628">
        <f t="shared" si="28"/>
        <v>3</v>
      </c>
      <c r="N628">
        <f t="shared" si="29"/>
        <v>1</v>
      </c>
    </row>
    <row r="629" spans="1:14" x14ac:dyDescent="0.3">
      <c r="A629">
        <f>HeartData[[#This Row],[id]]</f>
        <v>628</v>
      </c>
      <c r="B629" s="4">
        <f>HeartData[[#This Row],[age]]</f>
        <v>51</v>
      </c>
      <c r="C629" t="str">
        <f>HeartData[[#This Row],[sex]]</f>
        <v>Male</v>
      </c>
      <c r="D629" t="str">
        <f t="shared" si="27"/>
        <v>45-54</v>
      </c>
      <c r="E629" t="str">
        <f>HeartData[[#This Row],[cp]]</f>
        <v>asymptomatic</v>
      </c>
      <c r="F629" t="str">
        <f>IF(HeartData[[#This Row],[num]]&gt;0, "Diseased", "Healthy")</f>
        <v>Diseased</v>
      </c>
      <c r="G629">
        <f>IF(HeartData[[#This Row],[chol]]&gt;$P$3, 1, 0)</f>
        <v>0</v>
      </c>
      <c r="H629">
        <f>IF(HeartData[[#This Row],[trestbps]]&gt;$P$4, 1, 0)</f>
        <v>1</v>
      </c>
      <c r="I629">
        <f>IF(HeartData[[#This Row],[oldpeak]]&gt;$P$5,1,0)</f>
        <v>0</v>
      </c>
      <c r="J629">
        <f>IF(HeartData[[#This Row],[exang]]="TRUE",1,0)</f>
        <v>0</v>
      </c>
      <c r="K629">
        <f>IF(HeartData[[#This Row],[fbs]]="TRUE",1,0)</f>
        <v>0</v>
      </c>
      <c r="L629">
        <f>IF(HeartData[[#This Row],[ca]]&gt;0,1,0)</f>
        <v>0</v>
      </c>
      <c r="M629">
        <f t="shared" si="28"/>
        <v>1</v>
      </c>
      <c r="N629">
        <f t="shared" si="29"/>
        <v>1</v>
      </c>
    </row>
    <row r="630" spans="1:14" x14ac:dyDescent="0.3">
      <c r="A630">
        <f>HeartData[[#This Row],[id]]</f>
        <v>629</v>
      </c>
      <c r="B630" s="4">
        <f>HeartData[[#This Row],[age]]</f>
        <v>51</v>
      </c>
      <c r="C630" t="str">
        <f>HeartData[[#This Row],[sex]]</f>
        <v>Male</v>
      </c>
      <c r="D630" t="str">
        <f t="shared" si="27"/>
        <v>45-54</v>
      </c>
      <c r="E630" t="str">
        <f>HeartData[[#This Row],[cp]]</f>
        <v>asymptomatic</v>
      </c>
      <c r="F630" t="str">
        <f>IF(HeartData[[#This Row],[num]]&gt;0, "Diseased", "Healthy")</f>
        <v>Diseased</v>
      </c>
      <c r="G630">
        <f>IF(HeartData[[#This Row],[chol]]&gt;$P$3, 1, 0)</f>
        <v>0</v>
      </c>
      <c r="H630">
        <f>IF(HeartData[[#This Row],[trestbps]]&gt;$P$4, 1, 0)</f>
        <v>1</v>
      </c>
      <c r="I630">
        <f>IF(HeartData[[#This Row],[oldpeak]]&gt;$P$5,1,0)</f>
        <v>0</v>
      </c>
      <c r="J630">
        <f>IF(HeartData[[#This Row],[exang]]="TRUE",1,0)</f>
        <v>0</v>
      </c>
      <c r="K630">
        <f>IF(HeartData[[#This Row],[fbs]]="TRUE",1,0)</f>
        <v>1</v>
      </c>
      <c r="L630">
        <f>IF(HeartData[[#This Row],[ca]]&gt;0,1,0)</f>
        <v>0</v>
      </c>
      <c r="M630">
        <f t="shared" si="28"/>
        <v>2</v>
      </c>
      <c r="N630">
        <f t="shared" si="29"/>
        <v>1</v>
      </c>
    </row>
    <row r="631" spans="1:14" x14ac:dyDescent="0.3">
      <c r="A631">
        <f>HeartData[[#This Row],[id]]</f>
        <v>630</v>
      </c>
      <c r="B631" s="4">
        <f>HeartData[[#This Row],[age]]</f>
        <v>51</v>
      </c>
      <c r="C631" t="str">
        <f>HeartData[[#This Row],[sex]]</f>
        <v>Male</v>
      </c>
      <c r="D631" t="str">
        <f t="shared" si="27"/>
        <v>45-54</v>
      </c>
      <c r="E631" t="str">
        <f>HeartData[[#This Row],[cp]]</f>
        <v>asymptomatic</v>
      </c>
      <c r="F631" t="str">
        <f>IF(HeartData[[#This Row],[num]]&gt;0, "Diseased", "Healthy")</f>
        <v>Diseased</v>
      </c>
      <c r="G631">
        <f>IF(HeartData[[#This Row],[chol]]&gt;$P$3, 1, 0)</f>
        <v>0</v>
      </c>
      <c r="H631">
        <f>IF(HeartData[[#This Row],[trestbps]]&gt;$P$4, 1, 0)</f>
        <v>1</v>
      </c>
      <c r="I631">
        <f>IF(HeartData[[#This Row],[oldpeak]]&gt;$P$5,1,0)</f>
        <v>0</v>
      </c>
      <c r="J631">
        <f>IF(HeartData[[#This Row],[exang]]="TRUE",1,0)</f>
        <v>0</v>
      </c>
      <c r="K631">
        <f>IF(HeartData[[#This Row],[fbs]]="TRUE",1,0)</f>
        <v>0</v>
      </c>
      <c r="L631">
        <f>IF(HeartData[[#This Row],[ca]]&gt;0,1,0)</f>
        <v>0</v>
      </c>
      <c r="M631">
        <f t="shared" si="28"/>
        <v>1</v>
      </c>
      <c r="N631">
        <f t="shared" si="29"/>
        <v>1</v>
      </c>
    </row>
    <row r="632" spans="1:14" x14ac:dyDescent="0.3">
      <c r="A632">
        <f>HeartData[[#This Row],[id]]</f>
        <v>631</v>
      </c>
      <c r="B632" s="4">
        <f>HeartData[[#This Row],[age]]</f>
        <v>51</v>
      </c>
      <c r="C632" t="str">
        <f>HeartData[[#This Row],[sex]]</f>
        <v>Male</v>
      </c>
      <c r="D632" t="str">
        <f t="shared" si="27"/>
        <v>45-54</v>
      </c>
      <c r="E632" t="str">
        <f>HeartData[[#This Row],[cp]]</f>
        <v>asymptomatic</v>
      </c>
      <c r="F632" t="str">
        <f>IF(HeartData[[#This Row],[num]]&gt;0, "Diseased", "Healthy")</f>
        <v>Diseased</v>
      </c>
      <c r="G632">
        <f>IF(HeartData[[#This Row],[chol]]&gt;$P$3, 1, 0)</f>
        <v>0</v>
      </c>
      <c r="H632">
        <f>IF(HeartData[[#This Row],[trestbps]]&gt;$P$4, 1, 0)</f>
        <v>1</v>
      </c>
      <c r="I632">
        <f>IF(HeartData[[#This Row],[oldpeak]]&gt;$P$5,1,0)</f>
        <v>0</v>
      </c>
      <c r="J632">
        <f>IF(HeartData[[#This Row],[exang]]="TRUE",1,0)</f>
        <v>0</v>
      </c>
      <c r="K632">
        <f>IF(HeartData[[#This Row],[fbs]]="TRUE",1,0)</f>
        <v>0</v>
      </c>
      <c r="L632">
        <f>IF(HeartData[[#This Row],[ca]]&gt;0,1,0)</f>
        <v>0</v>
      </c>
      <c r="M632">
        <f t="shared" si="28"/>
        <v>1</v>
      </c>
      <c r="N632">
        <f t="shared" si="29"/>
        <v>1</v>
      </c>
    </row>
    <row r="633" spans="1:14" x14ac:dyDescent="0.3">
      <c r="A633">
        <f>HeartData[[#This Row],[id]]</f>
        <v>632</v>
      </c>
      <c r="B633" s="4">
        <f>HeartData[[#This Row],[age]]</f>
        <v>51</v>
      </c>
      <c r="C633" t="str">
        <f>HeartData[[#This Row],[sex]]</f>
        <v>Male</v>
      </c>
      <c r="D633" t="str">
        <f t="shared" si="27"/>
        <v>45-54</v>
      </c>
      <c r="E633" t="str">
        <f>HeartData[[#This Row],[cp]]</f>
        <v>asymptomatic</v>
      </c>
      <c r="F633" t="str">
        <f>IF(HeartData[[#This Row],[num]]&gt;0, "Diseased", "Healthy")</f>
        <v>Diseased</v>
      </c>
      <c r="G633">
        <f>IF(HeartData[[#This Row],[chol]]&gt;$P$3, 1, 0)</f>
        <v>0</v>
      </c>
      <c r="H633">
        <f>IF(HeartData[[#This Row],[trestbps]]&gt;$P$4, 1, 0)</f>
        <v>1</v>
      </c>
      <c r="I633">
        <f>IF(HeartData[[#This Row],[oldpeak]]&gt;$P$5,1,0)</f>
        <v>0</v>
      </c>
      <c r="J633">
        <f>IF(HeartData[[#This Row],[exang]]="TRUE",1,0)</f>
        <v>0</v>
      </c>
      <c r="K633">
        <f>IF(HeartData[[#This Row],[fbs]]="TRUE",1,0)</f>
        <v>0</v>
      </c>
      <c r="L633">
        <f>IF(HeartData[[#This Row],[ca]]&gt;0,1,0)</f>
        <v>0</v>
      </c>
      <c r="M633">
        <f t="shared" si="28"/>
        <v>1</v>
      </c>
      <c r="N633">
        <f t="shared" si="29"/>
        <v>1</v>
      </c>
    </row>
    <row r="634" spans="1:14" x14ac:dyDescent="0.3">
      <c r="A634">
        <f>HeartData[[#This Row],[id]]</f>
        <v>633</v>
      </c>
      <c r="B634" s="4">
        <f>HeartData[[#This Row],[age]]</f>
        <v>51</v>
      </c>
      <c r="C634" t="str">
        <f>HeartData[[#This Row],[sex]]</f>
        <v>Male</v>
      </c>
      <c r="D634" t="str">
        <f t="shared" si="27"/>
        <v>45-54</v>
      </c>
      <c r="E634" t="str">
        <f>HeartData[[#This Row],[cp]]</f>
        <v>asymptomatic</v>
      </c>
      <c r="F634" t="str">
        <f>IF(HeartData[[#This Row],[num]]&gt;0, "Diseased", "Healthy")</f>
        <v>Diseased</v>
      </c>
      <c r="G634">
        <f>IF(HeartData[[#This Row],[chol]]&gt;$P$3, 1, 0)</f>
        <v>0</v>
      </c>
      <c r="H634">
        <f>IF(HeartData[[#This Row],[trestbps]]&gt;$P$4, 1, 0)</f>
        <v>1</v>
      </c>
      <c r="I634">
        <f>IF(HeartData[[#This Row],[oldpeak]]&gt;$P$5,1,0)</f>
        <v>1</v>
      </c>
      <c r="J634">
        <f>IF(HeartData[[#This Row],[exang]]="TRUE",1,0)</f>
        <v>0</v>
      </c>
      <c r="K634">
        <f>IF(HeartData[[#This Row],[fbs]]="TRUE",1,0)</f>
        <v>0</v>
      </c>
      <c r="L634">
        <f>IF(HeartData[[#This Row],[ca]]&gt;0,1,0)</f>
        <v>0</v>
      </c>
      <c r="M634">
        <f t="shared" si="28"/>
        <v>2</v>
      </c>
      <c r="N634">
        <f t="shared" si="29"/>
        <v>1</v>
      </c>
    </row>
    <row r="635" spans="1:14" x14ac:dyDescent="0.3">
      <c r="A635">
        <f>HeartData[[#This Row],[id]]</f>
        <v>634</v>
      </c>
      <c r="B635" s="4">
        <f>HeartData[[#This Row],[age]]</f>
        <v>52</v>
      </c>
      <c r="C635" t="str">
        <f>HeartData[[#This Row],[sex]]</f>
        <v>Male</v>
      </c>
      <c r="D635" t="str">
        <f t="shared" si="27"/>
        <v>45-54</v>
      </c>
      <c r="E635" t="str">
        <f>HeartData[[#This Row],[cp]]</f>
        <v>asymptomatic</v>
      </c>
      <c r="F635" t="str">
        <f>IF(HeartData[[#This Row],[num]]&gt;0, "Diseased", "Healthy")</f>
        <v>Diseased</v>
      </c>
      <c r="G635">
        <f>IF(HeartData[[#This Row],[chol]]&gt;$P$3, 1, 0)</f>
        <v>0</v>
      </c>
      <c r="H635">
        <f>IF(HeartData[[#This Row],[trestbps]]&gt;$P$4, 1, 0)</f>
        <v>1</v>
      </c>
      <c r="I635">
        <f>IF(HeartData[[#This Row],[oldpeak]]&gt;$P$5,1,0)</f>
        <v>0</v>
      </c>
      <c r="J635">
        <f>IF(HeartData[[#This Row],[exang]]="TRUE",1,0)</f>
        <v>0</v>
      </c>
      <c r="K635">
        <f>IF(HeartData[[#This Row],[fbs]]="TRUE",1,0)</f>
        <v>0</v>
      </c>
      <c r="L635">
        <f>IF(HeartData[[#This Row],[ca]]&gt;0,1,0)</f>
        <v>0</v>
      </c>
      <c r="M635">
        <f t="shared" si="28"/>
        <v>1</v>
      </c>
      <c r="N635">
        <f t="shared" si="29"/>
        <v>1</v>
      </c>
    </row>
    <row r="636" spans="1:14" x14ac:dyDescent="0.3">
      <c r="A636">
        <f>HeartData[[#This Row],[id]]</f>
        <v>635</v>
      </c>
      <c r="B636" s="4">
        <f>HeartData[[#This Row],[age]]</f>
        <v>52</v>
      </c>
      <c r="C636" t="str">
        <f>HeartData[[#This Row],[sex]]</f>
        <v>Male</v>
      </c>
      <c r="D636" t="str">
        <f t="shared" si="27"/>
        <v>45-54</v>
      </c>
      <c r="E636" t="str">
        <f>HeartData[[#This Row],[cp]]</f>
        <v>asymptomatic</v>
      </c>
      <c r="F636" t="str">
        <f>IF(HeartData[[#This Row],[num]]&gt;0, "Diseased", "Healthy")</f>
        <v>Diseased</v>
      </c>
      <c r="G636">
        <f>IF(HeartData[[#This Row],[chol]]&gt;$P$3, 1, 0)</f>
        <v>0</v>
      </c>
      <c r="H636">
        <f>IF(HeartData[[#This Row],[trestbps]]&gt;$P$4, 1, 0)</f>
        <v>1</v>
      </c>
      <c r="I636">
        <f>IF(HeartData[[#This Row],[oldpeak]]&gt;$P$5,1,0)</f>
        <v>1</v>
      </c>
      <c r="J636">
        <f>IF(HeartData[[#This Row],[exang]]="TRUE",1,0)</f>
        <v>1</v>
      </c>
      <c r="K636">
        <f>IF(HeartData[[#This Row],[fbs]]="TRUE",1,0)</f>
        <v>0</v>
      </c>
      <c r="L636">
        <f>IF(HeartData[[#This Row],[ca]]&gt;0,1,0)</f>
        <v>0</v>
      </c>
      <c r="M636">
        <f t="shared" si="28"/>
        <v>3</v>
      </c>
      <c r="N636">
        <f t="shared" si="29"/>
        <v>1</v>
      </c>
    </row>
    <row r="637" spans="1:14" x14ac:dyDescent="0.3">
      <c r="A637">
        <f>HeartData[[#This Row],[id]]</f>
        <v>636</v>
      </c>
      <c r="B637" s="4">
        <f>HeartData[[#This Row],[age]]</f>
        <v>52</v>
      </c>
      <c r="C637" t="str">
        <f>HeartData[[#This Row],[sex]]</f>
        <v>Male</v>
      </c>
      <c r="D637" t="str">
        <f t="shared" si="27"/>
        <v>45-54</v>
      </c>
      <c r="E637" t="str">
        <f>HeartData[[#This Row],[cp]]</f>
        <v>asymptomatic</v>
      </c>
      <c r="F637" t="str">
        <f>IF(HeartData[[#This Row],[num]]&gt;0, "Diseased", "Healthy")</f>
        <v>Diseased</v>
      </c>
      <c r="G637">
        <f>IF(HeartData[[#This Row],[chol]]&gt;$P$3, 1, 0)</f>
        <v>0</v>
      </c>
      <c r="H637">
        <f>IF(HeartData[[#This Row],[trestbps]]&gt;$P$4, 1, 0)</f>
        <v>1</v>
      </c>
      <c r="I637">
        <f>IF(HeartData[[#This Row],[oldpeak]]&gt;$P$5,1,0)</f>
        <v>1</v>
      </c>
      <c r="J637">
        <f>IF(HeartData[[#This Row],[exang]]="TRUE",1,0)</f>
        <v>1</v>
      </c>
      <c r="K637">
        <f>IF(HeartData[[#This Row],[fbs]]="TRUE",1,0)</f>
        <v>0</v>
      </c>
      <c r="L637">
        <f>IF(HeartData[[#This Row],[ca]]&gt;0,1,0)</f>
        <v>0</v>
      </c>
      <c r="M637">
        <f t="shared" si="28"/>
        <v>3</v>
      </c>
      <c r="N637">
        <f t="shared" si="29"/>
        <v>1</v>
      </c>
    </row>
    <row r="638" spans="1:14" x14ac:dyDescent="0.3">
      <c r="A638">
        <f>HeartData[[#This Row],[id]]</f>
        <v>637</v>
      </c>
      <c r="B638" s="4">
        <f>HeartData[[#This Row],[age]]</f>
        <v>52</v>
      </c>
      <c r="C638" t="str">
        <f>HeartData[[#This Row],[sex]]</f>
        <v>Male</v>
      </c>
      <c r="D638" t="str">
        <f t="shared" si="27"/>
        <v>45-54</v>
      </c>
      <c r="E638" t="str">
        <f>HeartData[[#This Row],[cp]]</f>
        <v>asymptomatic</v>
      </c>
      <c r="F638" t="str">
        <f>IF(HeartData[[#This Row],[num]]&gt;0, "Diseased", "Healthy")</f>
        <v>Diseased</v>
      </c>
      <c r="G638">
        <f>IF(HeartData[[#This Row],[chol]]&gt;$P$3, 1, 0)</f>
        <v>0</v>
      </c>
      <c r="H638">
        <f>IF(HeartData[[#This Row],[trestbps]]&gt;$P$4, 1, 0)</f>
        <v>1</v>
      </c>
      <c r="I638">
        <f>IF(HeartData[[#This Row],[oldpeak]]&gt;$P$5,1,0)</f>
        <v>0</v>
      </c>
      <c r="J638">
        <f>IF(HeartData[[#This Row],[exang]]="TRUE",1,0)</f>
        <v>1</v>
      </c>
      <c r="K638">
        <f>IF(HeartData[[#This Row],[fbs]]="TRUE",1,0)</f>
        <v>0</v>
      </c>
      <c r="L638">
        <f>IF(HeartData[[#This Row],[ca]]&gt;0,1,0)</f>
        <v>0</v>
      </c>
      <c r="M638">
        <f t="shared" si="28"/>
        <v>2</v>
      </c>
      <c r="N638">
        <f t="shared" si="29"/>
        <v>1</v>
      </c>
    </row>
    <row r="639" spans="1:14" x14ac:dyDescent="0.3">
      <c r="A639">
        <f>HeartData[[#This Row],[id]]</f>
        <v>638</v>
      </c>
      <c r="B639" s="4">
        <f>HeartData[[#This Row],[age]]</f>
        <v>53</v>
      </c>
      <c r="C639" t="str">
        <f>HeartData[[#This Row],[sex]]</f>
        <v>Male</v>
      </c>
      <c r="D639" t="str">
        <f t="shared" si="27"/>
        <v>45-54</v>
      </c>
      <c r="E639" t="str">
        <f>HeartData[[#This Row],[cp]]</f>
        <v>atypical angina</v>
      </c>
      <c r="F639" t="str">
        <f>IF(HeartData[[#This Row],[num]]&gt;0, "Diseased", "Healthy")</f>
        <v>Diseased</v>
      </c>
      <c r="G639">
        <f>IF(HeartData[[#This Row],[chol]]&gt;$P$3, 1, 0)</f>
        <v>0</v>
      </c>
      <c r="H639">
        <f>IF(HeartData[[#This Row],[trestbps]]&gt;$P$4, 1, 0)</f>
        <v>1</v>
      </c>
      <c r="I639">
        <f>IF(HeartData[[#This Row],[oldpeak]]&gt;$P$5,1,0)</f>
        <v>0</v>
      </c>
      <c r="J639">
        <f>IF(HeartData[[#This Row],[exang]]="TRUE",1,0)</f>
        <v>0</v>
      </c>
      <c r="K639">
        <f>IF(HeartData[[#This Row],[fbs]]="TRUE",1,0)</f>
        <v>0</v>
      </c>
      <c r="L639">
        <f>IF(HeartData[[#This Row],[ca]]&gt;0,1,0)</f>
        <v>0</v>
      </c>
      <c r="M639">
        <f t="shared" si="28"/>
        <v>1</v>
      </c>
      <c r="N639">
        <f t="shared" si="29"/>
        <v>1</v>
      </c>
    </row>
    <row r="640" spans="1:14" x14ac:dyDescent="0.3">
      <c r="A640">
        <f>HeartData[[#This Row],[id]]</f>
        <v>639</v>
      </c>
      <c r="B640" s="4">
        <f>HeartData[[#This Row],[age]]</f>
        <v>53</v>
      </c>
      <c r="C640" t="str">
        <f>HeartData[[#This Row],[sex]]</f>
        <v>Male</v>
      </c>
      <c r="D640" t="str">
        <f t="shared" si="27"/>
        <v>45-54</v>
      </c>
      <c r="E640" t="str">
        <f>HeartData[[#This Row],[cp]]</f>
        <v>atypical angina</v>
      </c>
      <c r="F640" t="str">
        <f>IF(HeartData[[#This Row],[num]]&gt;0, "Diseased", "Healthy")</f>
        <v>Healthy</v>
      </c>
      <c r="G640">
        <f>IF(HeartData[[#This Row],[chol]]&gt;$P$3, 1, 0)</f>
        <v>0</v>
      </c>
      <c r="H640">
        <f>IF(HeartData[[#This Row],[trestbps]]&gt;$P$4, 1, 0)</f>
        <v>1</v>
      </c>
      <c r="I640">
        <f>IF(HeartData[[#This Row],[oldpeak]]&gt;$P$5,1,0)</f>
        <v>1</v>
      </c>
      <c r="J640">
        <f>IF(HeartData[[#This Row],[exang]]="TRUE",1,0)</f>
        <v>0</v>
      </c>
      <c r="K640">
        <f>IF(HeartData[[#This Row],[fbs]]="TRUE",1,0)</f>
        <v>0</v>
      </c>
      <c r="L640">
        <f>IF(HeartData[[#This Row],[ca]]&gt;0,1,0)</f>
        <v>0</v>
      </c>
      <c r="M640">
        <f t="shared" si="28"/>
        <v>2</v>
      </c>
      <c r="N640">
        <f t="shared" si="29"/>
        <v>0</v>
      </c>
    </row>
    <row r="641" spans="1:14" x14ac:dyDescent="0.3">
      <c r="A641">
        <f>HeartData[[#This Row],[id]]</f>
        <v>640</v>
      </c>
      <c r="B641" s="4">
        <f>HeartData[[#This Row],[age]]</f>
        <v>53</v>
      </c>
      <c r="C641" t="str">
        <f>HeartData[[#This Row],[sex]]</f>
        <v>Male</v>
      </c>
      <c r="D641" t="str">
        <f t="shared" si="27"/>
        <v>45-54</v>
      </c>
      <c r="E641" t="str">
        <f>HeartData[[#This Row],[cp]]</f>
        <v>non-anginal</v>
      </c>
      <c r="F641" t="str">
        <f>IF(HeartData[[#This Row],[num]]&gt;0, "Diseased", "Healthy")</f>
        <v>Diseased</v>
      </c>
      <c r="G641">
        <f>IF(HeartData[[#This Row],[chol]]&gt;$P$3, 1, 0)</f>
        <v>0</v>
      </c>
      <c r="H641">
        <f>IF(HeartData[[#This Row],[trestbps]]&gt;$P$4, 1, 0)</f>
        <v>1</v>
      </c>
      <c r="I641">
        <f>IF(HeartData[[#This Row],[oldpeak]]&gt;$P$5,1,0)</f>
        <v>0</v>
      </c>
      <c r="J641">
        <f>IF(HeartData[[#This Row],[exang]]="TRUE",1,0)</f>
        <v>0</v>
      </c>
      <c r="K641">
        <f>IF(HeartData[[#This Row],[fbs]]="TRUE",1,0)</f>
        <v>0</v>
      </c>
      <c r="L641">
        <f>IF(HeartData[[#This Row],[ca]]&gt;0,1,0)</f>
        <v>0</v>
      </c>
      <c r="M641">
        <f t="shared" si="28"/>
        <v>1</v>
      </c>
      <c r="N641">
        <f t="shared" si="29"/>
        <v>1</v>
      </c>
    </row>
    <row r="642" spans="1:14" x14ac:dyDescent="0.3">
      <c r="A642">
        <f>HeartData[[#This Row],[id]]</f>
        <v>641</v>
      </c>
      <c r="B642" s="4">
        <f>HeartData[[#This Row],[age]]</f>
        <v>53</v>
      </c>
      <c r="C642" t="str">
        <f>HeartData[[#This Row],[sex]]</f>
        <v>Male</v>
      </c>
      <c r="D642" t="str">
        <f t="shared" ref="D642:D705" si="30">IF(B642&lt;45,"Under 45",IF(B642&lt;=54,"45-54",IF(B642&lt;=64,"55-64","65+")))</f>
        <v>45-54</v>
      </c>
      <c r="E642" t="str">
        <f>HeartData[[#This Row],[cp]]</f>
        <v>non-anginal</v>
      </c>
      <c r="F642" t="str">
        <f>IF(HeartData[[#This Row],[num]]&gt;0, "Diseased", "Healthy")</f>
        <v>Diseased</v>
      </c>
      <c r="G642">
        <f>IF(HeartData[[#This Row],[chol]]&gt;$P$3, 1, 0)</f>
        <v>0</v>
      </c>
      <c r="H642">
        <f>IF(HeartData[[#This Row],[trestbps]]&gt;$P$4, 1, 0)</f>
        <v>1</v>
      </c>
      <c r="I642">
        <f>IF(HeartData[[#This Row],[oldpeak]]&gt;$P$5,1,0)</f>
        <v>0</v>
      </c>
      <c r="J642">
        <f>IF(HeartData[[#This Row],[exang]]="TRUE",1,0)</f>
        <v>1</v>
      </c>
      <c r="K642">
        <f>IF(HeartData[[#This Row],[fbs]]="TRUE",1,0)</f>
        <v>0</v>
      </c>
      <c r="L642">
        <f>IF(HeartData[[#This Row],[ca]]&gt;0,1,0)</f>
        <v>0</v>
      </c>
      <c r="M642">
        <f t="shared" si="28"/>
        <v>2</v>
      </c>
      <c r="N642">
        <f t="shared" si="29"/>
        <v>1</v>
      </c>
    </row>
    <row r="643" spans="1:14" x14ac:dyDescent="0.3">
      <c r="A643">
        <f>HeartData[[#This Row],[id]]</f>
        <v>642</v>
      </c>
      <c r="B643" s="4">
        <f>HeartData[[#This Row],[age]]</f>
        <v>53</v>
      </c>
      <c r="C643" t="str">
        <f>HeartData[[#This Row],[sex]]</f>
        <v>Male</v>
      </c>
      <c r="D643" t="str">
        <f t="shared" si="30"/>
        <v>45-54</v>
      </c>
      <c r="E643" t="str">
        <f>HeartData[[#This Row],[cp]]</f>
        <v>asymptomatic</v>
      </c>
      <c r="F643" t="str">
        <f>IF(HeartData[[#This Row],[num]]&gt;0, "Diseased", "Healthy")</f>
        <v>Diseased</v>
      </c>
      <c r="G643">
        <f>IF(HeartData[[#This Row],[chol]]&gt;$P$3, 1, 0)</f>
        <v>0</v>
      </c>
      <c r="H643">
        <f>IF(HeartData[[#This Row],[trestbps]]&gt;$P$4, 1, 0)</f>
        <v>1</v>
      </c>
      <c r="I643">
        <f>IF(HeartData[[#This Row],[oldpeak]]&gt;$P$5,1,0)</f>
        <v>0</v>
      </c>
      <c r="J643">
        <f>IF(HeartData[[#This Row],[exang]]="TRUE",1,0)</f>
        <v>0</v>
      </c>
      <c r="K643">
        <f>IF(HeartData[[#This Row],[fbs]]="TRUE",1,0)</f>
        <v>0</v>
      </c>
      <c r="L643">
        <f>IF(HeartData[[#This Row],[ca]]&gt;0,1,0)</f>
        <v>0</v>
      </c>
      <c r="M643">
        <f t="shared" ref="M643:M706" si="31">G643+H643+I643+J643+K643+L643</f>
        <v>1</v>
      </c>
      <c r="N643">
        <f t="shared" ref="N643:N706" si="32">IF(F643="Diseased",1,0)</f>
        <v>1</v>
      </c>
    </row>
    <row r="644" spans="1:14" x14ac:dyDescent="0.3">
      <c r="A644">
        <f>HeartData[[#This Row],[id]]</f>
        <v>643</v>
      </c>
      <c r="B644" s="4">
        <f>HeartData[[#This Row],[age]]</f>
        <v>53</v>
      </c>
      <c r="C644" t="str">
        <f>HeartData[[#This Row],[sex]]</f>
        <v>Male</v>
      </c>
      <c r="D644" t="str">
        <f t="shared" si="30"/>
        <v>45-54</v>
      </c>
      <c r="E644" t="str">
        <f>HeartData[[#This Row],[cp]]</f>
        <v>asymptomatic</v>
      </c>
      <c r="F644" t="str">
        <f>IF(HeartData[[#This Row],[num]]&gt;0, "Diseased", "Healthy")</f>
        <v>Diseased</v>
      </c>
      <c r="G644">
        <f>IF(HeartData[[#This Row],[chol]]&gt;$P$3, 1, 0)</f>
        <v>0</v>
      </c>
      <c r="H644">
        <f>IF(HeartData[[#This Row],[trestbps]]&gt;$P$4, 1, 0)</f>
        <v>1</v>
      </c>
      <c r="I644">
        <f>IF(HeartData[[#This Row],[oldpeak]]&gt;$P$5,1,0)</f>
        <v>1</v>
      </c>
      <c r="J644">
        <f>IF(HeartData[[#This Row],[exang]]="TRUE",1,0)</f>
        <v>0</v>
      </c>
      <c r="K644">
        <f>IF(HeartData[[#This Row],[fbs]]="TRUE",1,0)</f>
        <v>0</v>
      </c>
      <c r="L644">
        <f>IF(HeartData[[#This Row],[ca]]&gt;0,1,0)</f>
        <v>0</v>
      </c>
      <c r="M644">
        <f t="shared" si="31"/>
        <v>2</v>
      </c>
      <c r="N644">
        <f t="shared" si="32"/>
        <v>1</v>
      </c>
    </row>
    <row r="645" spans="1:14" x14ac:dyDescent="0.3">
      <c r="A645">
        <f>HeartData[[#This Row],[id]]</f>
        <v>644</v>
      </c>
      <c r="B645" s="4">
        <f>HeartData[[#This Row],[age]]</f>
        <v>53</v>
      </c>
      <c r="C645" t="str">
        <f>HeartData[[#This Row],[sex]]</f>
        <v>Male</v>
      </c>
      <c r="D645" t="str">
        <f t="shared" si="30"/>
        <v>45-54</v>
      </c>
      <c r="E645" t="str">
        <f>HeartData[[#This Row],[cp]]</f>
        <v>asymptomatic</v>
      </c>
      <c r="F645" t="str">
        <f>IF(HeartData[[#This Row],[num]]&gt;0, "Diseased", "Healthy")</f>
        <v>Diseased</v>
      </c>
      <c r="G645">
        <f>IF(HeartData[[#This Row],[chol]]&gt;$P$3, 1, 0)</f>
        <v>0</v>
      </c>
      <c r="H645">
        <f>IF(HeartData[[#This Row],[trestbps]]&gt;$P$4, 1, 0)</f>
        <v>1</v>
      </c>
      <c r="I645">
        <f>IF(HeartData[[#This Row],[oldpeak]]&gt;$P$5,1,0)</f>
        <v>1</v>
      </c>
      <c r="J645">
        <f>IF(HeartData[[#This Row],[exang]]="TRUE",1,0)</f>
        <v>1</v>
      </c>
      <c r="K645">
        <f>IF(HeartData[[#This Row],[fbs]]="TRUE",1,0)</f>
        <v>0</v>
      </c>
      <c r="L645">
        <f>IF(HeartData[[#This Row],[ca]]&gt;0,1,0)</f>
        <v>0</v>
      </c>
      <c r="M645">
        <f t="shared" si="31"/>
        <v>3</v>
      </c>
      <c r="N645">
        <f t="shared" si="32"/>
        <v>1</v>
      </c>
    </row>
    <row r="646" spans="1:14" x14ac:dyDescent="0.3">
      <c r="A646">
        <f>HeartData[[#This Row],[id]]</f>
        <v>645</v>
      </c>
      <c r="B646" s="4">
        <f>HeartData[[#This Row],[age]]</f>
        <v>53</v>
      </c>
      <c r="C646" t="str">
        <f>HeartData[[#This Row],[sex]]</f>
        <v>Male</v>
      </c>
      <c r="D646" t="str">
        <f t="shared" si="30"/>
        <v>45-54</v>
      </c>
      <c r="E646" t="str">
        <f>HeartData[[#This Row],[cp]]</f>
        <v>asymptomatic</v>
      </c>
      <c r="F646" t="str">
        <f>IF(HeartData[[#This Row],[num]]&gt;0, "Diseased", "Healthy")</f>
        <v>Healthy</v>
      </c>
      <c r="G646">
        <f>IF(HeartData[[#This Row],[chol]]&gt;$P$3, 1, 0)</f>
        <v>0</v>
      </c>
      <c r="H646">
        <f>IF(HeartData[[#This Row],[trestbps]]&gt;$P$4, 1, 0)</f>
        <v>1</v>
      </c>
      <c r="I646">
        <f>IF(HeartData[[#This Row],[oldpeak]]&gt;$P$5,1,0)</f>
        <v>1</v>
      </c>
      <c r="J646">
        <f>IF(HeartData[[#This Row],[exang]]="TRUE",1,0)</f>
        <v>1</v>
      </c>
      <c r="K646">
        <f>IF(HeartData[[#This Row],[fbs]]="TRUE",1,0)</f>
        <v>0</v>
      </c>
      <c r="L646">
        <f>IF(HeartData[[#This Row],[ca]]&gt;0,1,0)</f>
        <v>0</v>
      </c>
      <c r="M646">
        <f t="shared" si="31"/>
        <v>3</v>
      </c>
      <c r="N646">
        <f t="shared" si="32"/>
        <v>0</v>
      </c>
    </row>
    <row r="647" spans="1:14" x14ac:dyDescent="0.3">
      <c r="A647">
        <f>HeartData[[#This Row],[id]]</f>
        <v>646</v>
      </c>
      <c r="B647" s="4">
        <f>HeartData[[#This Row],[age]]</f>
        <v>54</v>
      </c>
      <c r="C647" t="str">
        <f>HeartData[[#This Row],[sex]]</f>
        <v>Male</v>
      </c>
      <c r="D647" t="str">
        <f t="shared" si="30"/>
        <v>45-54</v>
      </c>
      <c r="E647" t="str">
        <f>HeartData[[#This Row],[cp]]</f>
        <v>asymptomatic</v>
      </c>
      <c r="F647" t="str">
        <f>IF(HeartData[[#This Row],[num]]&gt;0, "Diseased", "Healthy")</f>
        <v>Diseased</v>
      </c>
      <c r="G647">
        <f>IF(HeartData[[#This Row],[chol]]&gt;$P$3, 1, 0)</f>
        <v>0</v>
      </c>
      <c r="H647">
        <f>IF(HeartData[[#This Row],[trestbps]]&gt;$P$4, 1, 0)</f>
        <v>1</v>
      </c>
      <c r="I647">
        <f>IF(HeartData[[#This Row],[oldpeak]]&gt;$P$5,1,0)</f>
        <v>0</v>
      </c>
      <c r="J647">
        <f>IF(HeartData[[#This Row],[exang]]="TRUE",1,0)</f>
        <v>0</v>
      </c>
      <c r="K647">
        <f>IF(HeartData[[#This Row],[fbs]]="TRUE",1,0)</f>
        <v>0</v>
      </c>
      <c r="L647">
        <f>IF(HeartData[[#This Row],[ca]]&gt;0,1,0)</f>
        <v>0</v>
      </c>
      <c r="M647">
        <f t="shared" si="31"/>
        <v>1</v>
      </c>
      <c r="N647">
        <f t="shared" si="32"/>
        <v>1</v>
      </c>
    </row>
    <row r="648" spans="1:14" x14ac:dyDescent="0.3">
      <c r="A648">
        <f>HeartData[[#This Row],[id]]</f>
        <v>647</v>
      </c>
      <c r="B648" s="4">
        <f>HeartData[[#This Row],[age]]</f>
        <v>54</v>
      </c>
      <c r="C648" t="str">
        <f>HeartData[[#This Row],[sex]]</f>
        <v>Male</v>
      </c>
      <c r="D648" t="str">
        <f t="shared" si="30"/>
        <v>45-54</v>
      </c>
      <c r="E648" t="str">
        <f>HeartData[[#This Row],[cp]]</f>
        <v>asymptomatic</v>
      </c>
      <c r="F648" t="str">
        <f>IF(HeartData[[#This Row],[num]]&gt;0, "Diseased", "Healthy")</f>
        <v>Diseased</v>
      </c>
      <c r="G648">
        <f>IF(HeartData[[#This Row],[chol]]&gt;$P$3, 1, 0)</f>
        <v>0</v>
      </c>
      <c r="H648">
        <f>IF(HeartData[[#This Row],[trestbps]]&gt;$P$4, 1, 0)</f>
        <v>1</v>
      </c>
      <c r="I648">
        <f>IF(HeartData[[#This Row],[oldpeak]]&gt;$P$5,1,0)</f>
        <v>1</v>
      </c>
      <c r="J648">
        <f>IF(HeartData[[#This Row],[exang]]="TRUE",1,0)</f>
        <v>1</v>
      </c>
      <c r="K648">
        <f>IF(HeartData[[#This Row],[fbs]]="TRUE",1,0)</f>
        <v>0</v>
      </c>
      <c r="L648">
        <f>IF(HeartData[[#This Row],[ca]]&gt;0,1,0)</f>
        <v>0</v>
      </c>
      <c r="M648">
        <f t="shared" si="31"/>
        <v>3</v>
      </c>
      <c r="N648">
        <f t="shared" si="32"/>
        <v>1</v>
      </c>
    </row>
    <row r="649" spans="1:14" x14ac:dyDescent="0.3">
      <c r="A649">
        <f>HeartData[[#This Row],[id]]</f>
        <v>648</v>
      </c>
      <c r="B649" s="4">
        <f>HeartData[[#This Row],[age]]</f>
        <v>54</v>
      </c>
      <c r="C649" t="str">
        <f>HeartData[[#This Row],[sex]]</f>
        <v>Male</v>
      </c>
      <c r="D649" t="str">
        <f t="shared" si="30"/>
        <v>45-54</v>
      </c>
      <c r="E649" t="str">
        <f>HeartData[[#This Row],[cp]]</f>
        <v>asymptomatic</v>
      </c>
      <c r="F649" t="str">
        <f>IF(HeartData[[#This Row],[num]]&gt;0, "Diseased", "Healthy")</f>
        <v>Diseased</v>
      </c>
      <c r="G649">
        <f>IF(HeartData[[#This Row],[chol]]&gt;$P$3, 1, 0)</f>
        <v>0</v>
      </c>
      <c r="H649">
        <f>IF(HeartData[[#This Row],[trestbps]]&gt;$P$4, 1, 0)</f>
        <v>1</v>
      </c>
      <c r="I649">
        <f>IF(HeartData[[#This Row],[oldpeak]]&gt;$P$5,1,0)</f>
        <v>1</v>
      </c>
      <c r="J649">
        <f>IF(HeartData[[#This Row],[exang]]="TRUE",1,0)</f>
        <v>0</v>
      </c>
      <c r="K649">
        <f>IF(HeartData[[#This Row],[fbs]]="TRUE",1,0)</f>
        <v>0</v>
      </c>
      <c r="L649">
        <f>IF(HeartData[[#This Row],[ca]]&gt;0,1,0)</f>
        <v>0</v>
      </c>
      <c r="M649">
        <f t="shared" si="31"/>
        <v>2</v>
      </c>
      <c r="N649">
        <f t="shared" si="32"/>
        <v>1</v>
      </c>
    </row>
    <row r="650" spans="1:14" x14ac:dyDescent="0.3">
      <c r="A650">
        <f>HeartData[[#This Row],[id]]</f>
        <v>649</v>
      </c>
      <c r="B650" s="4">
        <f>HeartData[[#This Row],[age]]</f>
        <v>55</v>
      </c>
      <c r="C650" t="str">
        <f>HeartData[[#This Row],[sex]]</f>
        <v>Male</v>
      </c>
      <c r="D650" t="str">
        <f t="shared" si="30"/>
        <v>55-64</v>
      </c>
      <c r="E650" t="str">
        <f>HeartData[[#This Row],[cp]]</f>
        <v>atypical angina</v>
      </c>
      <c r="F650" t="str">
        <f>IF(HeartData[[#This Row],[num]]&gt;0, "Diseased", "Healthy")</f>
        <v>Healthy</v>
      </c>
      <c r="G650">
        <f>IF(HeartData[[#This Row],[chol]]&gt;$P$3, 1, 0)</f>
        <v>0</v>
      </c>
      <c r="H650">
        <f>IF(HeartData[[#This Row],[trestbps]]&gt;$P$4, 1, 0)</f>
        <v>1</v>
      </c>
      <c r="I650">
        <f>IF(HeartData[[#This Row],[oldpeak]]&gt;$P$5,1,0)</f>
        <v>1</v>
      </c>
      <c r="J650">
        <f>IF(HeartData[[#This Row],[exang]]="TRUE",1,0)</f>
        <v>0</v>
      </c>
      <c r="K650">
        <f>IF(HeartData[[#This Row],[fbs]]="TRUE",1,0)</f>
        <v>0</v>
      </c>
      <c r="L650">
        <f>IF(HeartData[[#This Row],[ca]]&gt;0,1,0)</f>
        <v>0</v>
      </c>
      <c r="M650">
        <f t="shared" si="31"/>
        <v>2</v>
      </c>
      <c r="N650">
        <f t="shared" si="32"/>
        <v>0</v>
      </c>
    </row>
    <row r="651" spans="1:14" x14ac:dyDescent="0.3">
      <c r="A651">
        <f>HeartData[[#This Row],[id]]</f>
        <v>650</v>
      </c>
      <c r="B651" s="4">
        <f>HeartData[[#This Row],[age]]</f>
        <v>55</v>
      </c>
      <c r="C651" t="str">
        <f>HeartData[[#This Row],[sex]]</f>
        <v>Male</v>
      </c>
      <c r="D651" t="str">
        <f t="shared" si="30"/>
        <v>55-64</v>
      </c>
      <c r="E651" t="str">
        <f>HeartData[[#This Row],[cp]]</f>
        <v>asymptomatic</v>
      </c>
      <c r="F651" t="str">
        <f>IF(HeartData[[#This Row],[num]]&gt;0, "Diseased", "Healthy")</f>
        <v>Diseased</v>
      </c>
      <c r="G651">
        <f>IF(HeartData[[#This Row],[chol]]&gt;$P$3, 1, 0)</f>
        <v>0</v>
      </c>
      <c r="H651">
        <f>IF(HeartData[[#This Row],[trestbps]]&gt;$P$4, 1, 0)</f>
        <v>1</v>
      </c>
      <c r="I651">
        <f>IF(HeartData[[#This Row],[oldpeak]]&gt;$P$5,1,0)</f>
        <v>1</v>
      </c>
      <c r="J651">
        <f>IF(HeartData[[#This Row],[exang]]="TRUE",1,0)</f>
        <v>0</v>
      </c>
      <c r="K651">
        <f>IF(HeartData[[#This Row],[fbs]]="TRUE",1,0)</f>
        <v>0</v>
      </c>
      <c r="L651">
        <f>IF(HeartData[[#This Row],[ca]]&gt;0,1,0)</f>
        <v>0</v>
      </c>
      <c r="M651">
        <f t="shared" si="31"/>
        <v>2</v>
      </c>
      <c r="N651">
        <f t="shared" si="32"/>
        <v>1</v>
      </c>
    </row>
    <row r="652" spans="1:14" x14ac:dyDescent="0.3">
      <c r="A652">
        <f>HeartData[[#This Row],[id]]</f>
        <v>651</v>
      </c>
      <c r="B652" s="4">
        <f>HeartData[[#This Row],[age]]</f>
        <v>55</v>
      </c>
      <c r="C652" t="str">
        <f>HeartData[[#This Row],[sex]]</f>
        <v>Male</v>
      </c>
      <c r="D652" t="str">
        <f t="shared" si="30"/>
        <v>55-64</v>
      </c>
      <c r="E652" t="str">
        <f>HeartData[[#This Row],[cp]]</f>
        <v>asymptomatic</v>
      </c>
      <c r="F652" t="str">
        <f>IF(HeartData[[#This Row],[num]]&gt;0, "Diseased", "Healthy")</f>
        <v>Diseased</v>
      </c>
      <c r="G652">
        <f>IF(HeartData[[#This Row],[chol]]&gt;$P$3, 1, 0)</f>
        <v>0</v>
      </c>
      <c r="H652">
        <f>IF(HeartData[[#This Row],[trestbps]]&gt;$P$4, 1, 0)</f>
        <v>1</v>
      </c>
      <c r="I652">
        <f>IF(HeartData[[#This Row],[oldpeak]]&gt;$P$5,1,0)</f>
        <v>1</v>
      </c>
      <c r="J652">
        <f>IF(HeartData[[#This Row],[exang]]="TRUE",1,0)</f>
        <v>0</v>
      </c>
      <c r="K652">
        <f>IF(HeartData[[#This Row],[fbs]]="TRUE",1,0)</f>
        <v>0</v>
      </c>
      <c r="L652">
        <f>IF(HeartData[[#This Row],[ca]]&gt;0,1,0)</f>
        <v>0</v>
      </c>
      <c r="M652">
        <f t="shared" si="31"/>
        <v>2</v>
      </c>
      <c r="N652">
        <f t="shared" si="32"/>
        <v>1</v>
      </c>
    </row>
    <row r="653" spans="1:14" x14ac:dyDescent="0.3">
      <c r="A653">
        <f>HeartData[[#This Row],[id]]</f>
        <v>652</v>
      </c>
      <c r="B653" s="4">
        <f>HeartData[[#This Row],[age]]</f>
        <v>55</v>
      </c>
      <c r="C653" t="str">
        <f>HeartData[[#This Row],[sex]]</f>
        <v>Male</v>
      </c>
      <c r="D653" t="str">
        <f t="shared" si="30"/>
        <v>55-64</v>
      </c>
      <c r="E653" t="str">
        <f>HeartData[[#This Row],[cp]]</f>
        <v>asymptomatic</v>
      </c>
      <c r="F653" t="str">
        <f>IF(HeartData[[#This Row],[num]]&gt;0, "Diseased", "Healthy")</f>
        <v>Diseased</v>
      </c>
      <c r="G653">
        <f>IF(HeartData[[#This Row],[chol]]&gt;$P$3, 1, 0)</f>
        <v>0</v>
      </c>
      <c r="H653">
        <f>IF(HeartData[[#This Row],[trestbps]]&gt;$P$4, 1, 0)</f>
        <v>1</v>
      </c>
      <c r="I653">
        <f>IF(HeartData[[#This Row],[oldpeak]]&gt;$P$5,1,0)</f>
        <v>0</v>
      </c>
      <c r="J653">
        <f>IF(HeartData[[#This Row],[exang]]="TRUE",1,0)</f>
        <v>0</v>
      </c>
      <c r="K653">
        <f>IF(HeartData[[#This Row],[fbs]]="TRUE",1,0)</f>
        <v>0</v>
      </c>
      <c r="L653">
        <f>IF(HeartData[[#This Row],[ca]]&gt;0,1,0)</f>
        <v>0</v>
      </c>
      <c r="M653">
        <f t="shared" si="31"/>
        <v>1</v>
      </c>
      <c r="N653">
        <f t="shared" si="32"/>
        <v>1</v>
      </c>
    </row>
    <row r="654" spans="1:14" x14ac:dyDescent="0.3">
      <c r="A654">
        <f>HeartData[[#This Row],[id]]</f>
        <v>653</v>
      </c>
      <c r="B654" s="4">
        <f>HeartData[[#This Row],[age]]</f>
        <v>56</v>
      </c>
      <c r="C654" t="str">
        <f>HeartData[[#This Row],[sex]]</f>
        <v>Male</v>
      </c>
      <c r="D654" t="str">
        <f t="shared" si="30"/>
        <v>55-64</v>
      </c>
      <c r="E654" t="str">
        <f>HeartData[[#This Row],[cp]]</f>
        <v>non-anginal</v>
      </c>
      <c r="F654" t="str">
        <f>IF(HeartData[[#This Row],[num]]&gt;0, "Diseased", "Healthy")</f>
        <v>Healthy</v>
      </c>
      <c r="G654">
        <f>IF(HeartData[[#This Row],[chol]]&gt;$P$3, 1, 0)</f>
        <v>0</v>
      </c>
      <c r="H654">
        <f>IF(HeartData[[#This Row],[trestbps]]&gt;$P$4, 1, 0)</f>
        <v>1</v>
      </c>
      <c r="I654">
        <f>IF(HeartData[[#This Row],[oldpeak]]&gt;$P$5,1,0)</f>
        <v>0</v>
      </c>
      <c r="J654">
        <f>IF(HeartData[[#This Row],[exang]]="TRUE",1,0)</f>
        <v>0</v>
      </c>
      <c r="K654">
        <f>IF(HeartData[[#This Row],[fbs]]="TRUE",1,0)</f>
        <v>0</v>
      </c>
      <c r="L654">
        <f>IF(HeartData[[#This Row],[ca]]&gt;0,1,0)</f>
        <v>0</v>
      </c>
      <c r="M654">
        <f t="shared" si="31"/>
        <v>1</v>
      </c>
      <c r="N654">
        <f t="shared" si="32"/>
        <v>0</v>
      </c>
    </row>
    <row r="655" spans="1:14" x14ac:dyDescent="0.3">
      <c r="A655">
        <f>HeartData[[#This Row],[id]]</f>
        <v>654</v>
      </c>
      <c r="B655" s="4">
        <f>HeartData[[#This Row],[age]]</f>
        <v>56</v>
      </c>
      <c r="C655" t="str">
        <f>HeartData[[#This Row],[sex]]</f>
        <v>Male</v>
      </c>
      <c r="D655" t="str">
        <f t="shared" si="30"/>
        <v>55-64</v>
      </c>
      <c r="E655" t="str">
        <f>HeartData[[#This Row],[cp]]</f>
        <v>non-anginal</v>
      </c>
      <c r="F655" t="str">
        <f>IF(HeartData[[#This Row],[num]]&gt;0, "Diseased", "Healthy")</f>
        <v>Diseased</v>
      </c>
      <c r="G655">
        <f>IF(HeartData[[#This Row],[chol]]&gt;$P$3, 1, 0)</f>
        <v>0</v>
      </c>
      <c r="H655">
        <f>IF(HeartData[[#This Row],[trestbps]]&gt;$P$4, 1, 0)</f>
        <v>1</v>
      </c>
      <c r="I655">
        <f>IF(HeartData[[#This Row],[oldpeak]]&gt;$P$5,1,0)</f>
        <v>0</v>
      </c>
      <c r="J655">
        <f>IF(HeartData[[#This Row],[exang]]="TRUE",1,0)</f>
        <v>0</v>
      </c>
      <c r="K655">
        <f>IF(HeartData[[#This Row],[fbs]]="TRUE",1,0)</f>
        <v>0</v>
      </c>
      <c r="L655">
        <f>IF(HeartData[[#This Row],[ca]]&gt;0,1,0)</f>
        <v>0</v>
      </c>
      <c r="M655">
        <f t="shared" si="31"/>
        <v>1</v>
      </c>
      <c r="N655">
        <f t="shared" si="32"/>
        <v>1</v>
      </c>
    </row>
    <row r="656" spans="1:14" x14ac:dyDescent="0.3">
      <c r="A656">
        <f>HeartData[[#This Row],[id]]</f>
        <v>655</v>
      </c>
      <c r="B656" s="4">
        <f>HeartData[[#This Row],[age]]</f>
        <v>56</v>
      </c>
      <c r="C656" t="str">
        <f>HeartData[[#This Row],[sex]]</f>
        <v>Male</v>
      </c>
      <c r="D656" t="str">
        <f t="shared" si="30"/>
        <v>55-64</v>
      </c>
      <c r="E656" t="str">
        <f>HeartData[[#This Row],[cp]]</f>
        <v>non-anginal</v>
      </c>
      <c r="F656" t="str">
        <f>IF(HeartData[[#This Row],[num]]&gt;0, "Diseased", "Healthy")</f>
        <v>Diseased</v>
      </c>
      <c r="G656">
        <f>IF(HeartData[[#This Row],[chol]]&gt;$P$3, 1, 0)</f>
        <v>0</v>
      </c>
      <c r="H656">
        <f>IF(HeartData[[#This Row],[trestbps]]&gt;$P$4, 1, 0)</f>
        <v>1</v>
      </c>
      <c r="I656">
        <f>IF(HeartData[[#This Row],[oldpeak]]&gt;$P$5,1,0)</f>
        <v>0</v>
      </c>
      <c r="J656">
        <f>IF(HeartData[[#This Row],[exang]]="TRUE",1,0)</f>
        <v>0</v>
      </c>
      <c r="K656">
        <f>IF(HeartData[[#This Row],[fbs]]="TRUE",1,0)</f>
        <v>0</v>
      </c>
      <c r="L656">
        <f>IF(HeartData[[#This Row],[ca]]&gt;0,1,0)</f>
        <v>0</v>
      </c>
      <c r="M656">
        <f t="shared" si="31"/>
        <v>1</v>
      </c>
      <c r="N656">
        <f t="shared" si="32"/>
        <v>1</v>
      </c>
    </row>
    <row r="657" spans="1:14" x14ac:dyDescent="0.3">
      <c r="A657">
        <f>HeartData[[#This Row],[id]]</f>
        <v>656</v>
      </c>
      <c r="B657" s="4">
        <f>HeartData[[#This Row],[age]]</f>
        <v>56</v>
      </c>
      <c r="C657" t="str">
        <f>HeartData[[#This Row],[sex]]</f>
        <v>Male</v>
      </c>
      <c r="D657" t="str">
        <f t="shared" si="30"/>
        <v>55-64</v>
      </c>
      <c r="E657" t="str">
        <f>HeartData[[#This Row],[cp]]</f>
        <v>asymptomatic</v>
      </c>
      <c r="F657" t="str">
        <f>IF(HeartData[[#This Row],[num]]&gt;0, "Diseased", "Healthy")</f>
        <v>Diseased</v>
      </c>
      <c r="G657">
        <f>IF(HeartData[[#This Row],[chol]]&gt;$P$3, 1, 0)</f>
        <v>0</v>
      </c>
      <c r="H657">
        <f>IF(HeartData[[#This Row],[trestbps]]&gt;$P$4, 1, 0)</f>
        <v>1</v>
      </c>
      <c r="I657">
        <f>IF(HeartData[[#This Row],[oldpeak]]&gt;$P$5,1,0)</f>
        <v>0</v>
      </c>
      <c r="J657">
        <f>IF(HeartData[[#This Row],[exang]]="TRUE",1,0)</f>
        <v>0</v>
      </c>
      <c r="K657">
        <f>IF(HeartData[[#This Row],[fbs]]="TRUE",1,0)</f>
        <v>0</v>
      </c>
      <c r="L657">
        <f>IF(HeartData[[#This Row],[ca]]&gt;0,1,0)</f>
        <v>0</v>
      </c>
      <c r="M657">
        <f t="shared" si="31"/>
        <v>1</v>
      </c>
      <c r="N657">
        <f t="shared" si="32"/>
        <v>1</v>
      </c>
    </row>
    <row r="658" spans="1:14" x14ac:dyDescent="0.3">
      <c r="A658">
        <f>HeartData[[#This Row],[id]]</f>
        <v>657</v>
      </c>
      <c r="B658" s="4">
        <f>HeartData[[#This Row],[age]]</f>
        <v>56</v>
      </c>
      <c r="C658" t="str">
        <f>HeartData[[#This Row],[sex]]</f>
        <v>Male</v>
      </c>
      <c r="D658" t="str">
        <f t="shared" si="30"/>
        <v>55-64</v>
      </c>
      <c r="E658" t="str">
        <f>HeartData[[#This Row],[cp]]</f>
        <v>asymptomatic</v>
      </c>
      <c r="F658" t="str">
        <f>IF(HeartData[[#This Row],[num]]&gt;0, "Diseased", "Healthy")</f>
        <v>Diseased</v>
      </c>
      <c r="G658">
        <f>IF(HeartData[[#This Row],[chol]]&gt;$P$3, 1, 0)</f>
        <v>0</v>
      </c>
      <c r="H658">
        <f>IF(HeartData[[#This Row],[trestbps]]&gt;$P$4, 1, 0)</f>
        <v>1</v>
      </c>
      <c r="I658">
        <f>IF(HeartData[[#This Row],[oldpeak]]&gt;$P$5,1,0)</f>
        <v>0</v>
      </c>
      <c r="J658">
        <f>IF(HeartData[[#This Row],[exang]]="TRUE",1,0)</f>
        <v>1</v>
      </c>
      <c r="K658">
        <f>IF(HeartData[[#This Row],[fbs]]="TRUE",1,0)</f>
        <v>0</v>
      </c>
      <c r="L658">
        <f>IF(HeartData[[#This Row],[ca]]&gt;0,1,0)</f>
        <v>0</v>
      </c>
      <c r="M658">
        <f t="shared" si="31"/>
        <v>2</v>
      </c>
      <c r="N658">
        <f t="shared" si="32"/>
        <v>1</v>
      </c>
    </row>
    <row r="659" spans="1:14" x14ac:dyDescent="0.3">
      <c r="A659">
        <f>HeartData[[#This Row],[id]]</f>
        <v>658</v>
      </c>
      <c r="B659" s="4">
        <f>HeartData[[#This Row],[age]]</f>
        <v>56</v>
      </c>
      <c r="C659" t="str">
        <f>HeartData[[#This Row],[sex]]</f>
        <v>Male</v>
      </c>
      <c r="D659" t="str">
        <f t="shared" si="30"/>
        <v>55-64</v>
      </c>
      <c r="E659" t="str">
        <f>HeartData[[#This Row],[cp]]</f>
        <v>asymptomatic</v>
      </c>
      <c r="F659" t="str">
        <f>IF(HeartData[[#This Row],[num]]&gt;0, "Diseased", "Healthy")</f>
        <v>Diseased</v>
      </c>
      <c r="G659">
        <f>IF(HeartData[[#This Row],[chol]]&gt;$P$3, 1, 0)</f>
        <v>0</v>
      </c>
      <c r="H659">
        <f>IF(HeartData[[#This Row],[trestbps]]&gt;$P$4, 1, 0)</f>
        <v>1</v>
      </c>
      <c r="I659">
        <f>IF(HeartData[[#This Row],[oldpeak]]&gt;$P$5,1,0)</f>
        <v>0</v>
      </c>
      <c r="J659">
        <f>IF(HeartData[[#This Row],[exang]]="TRUE",1,0)</f>
        <v>0</v>
      </c>
      <c r="K659">
        <f>IF(HeartData[[#This Row],[fbs]]="TRUE",1,0)</f>
        <v>0</v>
      </c>
      <c r="L659">
        <f>IF(HeartData[[#This Row],[ca]]&gt;0,1,0)</f>
        <v>0</v>
      </c>
      <c r="M659">
        <f t="shared" si="31"/>
        <v>1</v>
      </c>
      <c r="N659">
        <f t="shared" si="32"/>
        <v>1</v>
      </c>
    </row>
    <row r="660" spans="1:14" x14ac:dyDescent="0.3">
      <c r="A660">
        <f>HeartData[[#This Row],[id]]</f>
        <v>659</v>
      </c>
      <c r="B660" s="4">
        <f>HeartData[[#This Row],[age]]</f>
        <v>56</v>
      </c>
      <c r="C660" t="str">
        <f>HeartData[[#This Row],[sex]]</f>
        <v>Male</v>
      </c>
      <c r="D660" t="str">
        <f t="shared" si="30"/>
        <v>55-64</v>
      </c>
      <c r="E660" t="str">
        <f>HeartData[[#This Row],[cp]]</f>
        <v>asymptomatic</v>
      </c>
      <c r="F660" t="str">
        <f>IF(HeartData[[#This Row],[num]]&gt;0, "Diseased", "Healthy")</f>
        <v>Diseased</v>
      </c>
      <c r="G660">
        <f>IF(HeartData[[#This Row],[chol]]&gt;$P$3, 1, 0)</f>
        <v>0</v>
      </c>
      <c r="H660">
        <f>IF(HeartData[[#This Row],[trestbps]]&gt;$P$4, 1, 0)</f>
        <v>1</v>
      </c>
      <c r="I660">
        <f>IF(HeartData[[#This Row],[oldpeak]]&gt;$P$5,1,0)</f>
        <v>1</v>
      </c>
      <c r="J660">
        <f>IF(HeartData[[#This Row],[exang]]="TRUE",1,0)</f>
        <v>1</v>
      </c>
      <c r="K660">
        <f>IF(HeartData[[#This Row],[fbs]]="TRUE",1,0)</f>
        <v>1</v>
      </c>
      <c r="L660">
        <f>IF(HeartData[[#This Row],[ca]]&gt;0,1,0)</f>
        <v>0</v>
      </c>
      <c r="M660">
        <f t="shared" si="31"/>
        <v>4</v>
      </c>
      <c r="N660">
        <f t="shared" si="32"/>
        <v>1</v>
      </c>
    </row>
    <row r="661" spans="1:14" x14ac:dyDescent="0.3">
      <c r="A661">
        <f>HeartData[[#This Row],[id]]</f>
        <v>660</v>
      </c>
      <c r="B661" s="4">
        <f>HeartData[[#This Row],[age]]</f>
        <v>56</v>
      </c>
      <c r="C661" t="str">
        <f>HeartData[[#This Row],[sex]]</f>
        <v>Male</v>
      </c>
      <c r="D661" t="str">
        <f t="shared" si="30"/>
        <v>55-64</v>
      </c>
      <c r="E661" t="str">
        <f>HeartData[[#This Row],[cp]]</f>
        <v>asymptomatic</v>
      </c>
      <c r="F661" t="str">
        <f>IF(HeartData[[#This Row],[num]]&gt;0, "Diseased", "Healthy")</f>
        <v>Diseased</v>
      </c>
      <c r="G661">
        <f>IF(HeartData[[#This Row],[chol]]&gt;$P$3, 1, 0)</f>
        <v>0</v>
      </c>
      <c r="H661">
        <f>IF(HeartData[[#This Row],[trestbps]]&gt;$P$4, 1, 0)</f>
        <v>1</v>
      </c>
      <c r="I661">
        <f>IF(HeartData[[#This Row],[oldpeak]]&gt;$P$5,1,0)</f>
        <v>1</v>
      </c>
      <c r="J661">
        <f>IF(HeartData[[#This Row],[exang]]="TRUE",1,0)</f>
        <v>1</v>
      </c>
      <c r="K661">
        <f>IF(HeartData[[#This Row],[fbs]]="TRUE",1,0)</f>
        <v>0</v>
      </c>
      <c r="L661">
        <f>IF(HeartData[[#This Row],[ca]]&gt;0,1,0)</f>
        <v>0</v>
      </c>
      <c r="M661">
        <f t="shared" si="31"/>
        <v>3</v>
      </c>
      <c r="N661">
        <f t="shared" si="32"/>
        <v>1</v>
      </c>
    </row>
    <row r="662" spans="1:14" x14ac:dyDescent="0.3">
      <c r="A662">
        <f>HeartData[[#This Row],[id]]</f>
        <v>661</v>
      </c>
      <c r="B662" s="4">
        <f>HeartData[[#This Row],[age]]</f>
        <v>57</v>
      </c>
      <c r="C662" t="str">
        <f>HeartData[[#This Row],[sex]]</f>
        <v>Male</v>
      </c>
      <c r="D662" t="str">
        <f t="shared" si="30"/>
        <v>55-64</v>
      </c>
      <c r="E662" t="str">
        <f>HeartData[[#This Row],[cp]]</f>
        <v>non-anginal</v>
      </c>
      <c r="F662" t="str">
        <f>IF(HeartData[[#This Row],[num]]&gt;0, "Diseased", "Healthy")</f>
        <v>Diseased</v>
      </c>
      <c r="G662">
        <f>IF(HeartData[[#This Row],[chol]]&gt;$P$3, 1, 0)</f>
        <v>0</v>
      </c>
      <c r="H662">
        <f>IF(HeartData[[#This Row],[trestbps]]&gt;$P$4, 1, 0)</f>
        <v>1</v>
      </c>
      <c r="I662">
        <f>IF(HeartData[[#This Row],[oldpeak]]&gt;$P$5,1,0)</f>
        <v>1</v>
      </c>
      <c r="J662">
        <f>IF(HeartData[[#This Row],[exang]]="TRUE",1,0)</f>
        <v>0</v>
      </c>
      <c r="K662">
        <f>IF(HeartData[[#This Row],[fbs]]="TRUE",1,0)</f>
        <v>0</v>
      </c>
      <c r="L662">
        <f>IF(HeartData[[#This Row],[ca]]&gt;0,1,0)</f>
        <v>0</v>
      </c>
      <c r="M662">
        <f t="shared" si="31"/>
        <v>2</v>
      </c>
      <c r="N662">
        <f t="shared" si="32"/>
        <v>1</v>
      </c>
    </row>
    <row r="663" spans="1:14" x14ac:dyDescent="0.3">
      <c r="A663">
        <f>HeartData[[#This Row],[id]]</f>
        <v>662</v>
      </c>
      <c r="B663" s="4">
        <f>HeartData[[#This Row],[age]]</f>
        <v>57</v>
      </c>
      <c r="C663" t="str">
        <f>HeartData[[#This Row],[sex]]</f>
        <v>Male</v>
      </c>
      <c r="D663" t="str">
        <f t="shared" si="30"/>
        <v>55-64</v>
      </c>
      <c r="E663" t="str">
        <f>HeartData[[#This Row],[cp]]</f>
        <v>asymptomatic</v>
      </c>
      <c r="F663" t="str">
        <f>IF(HeartData[[#This Row],[num]]&gt;0, "Diseased", "Healthy")</f>
        <v>Diseased</v>
      </c>
      <c r="G663">
        <f>IF(HeartData[[#This Row],[chol]]&gt;$P$3, 1, 0)</f>
        <v>0</v>
      </c>
      <c r="H663">
        <f>IF(HeartData[[#This Row],[trestbps]]&gt;$P$4, 1, 0)</f>
        <v>1</v>
      </c>
      <c r="I663">
        <f>IF(HeartData[[#This Row],[oldpeak]]&gt;$P$5,1,0)</f>
        <v>1</v>
      </c>
      <c r="J663">
        <f>IF(HeartData[[#This Row],[exang]]="TRUE",1,0)</f>
        <v>1</v>
      </c>
      <c r="K663">
        <f>IF(HeartData[[#This Row],[fbs]]="TRUE",1,0)</f>
        <v>0</v>
      </c>
      <c r="L663">
        <f>IF(HeartData[[#This Row],[ca]]&gt;0,1,0)</f>
        <v>1</v>
      </c>
      <c r="M663">
        <f t="shared" si="31"/>
        <v>4</v>
      </c>
      <c r="N663">
        <f t="shared" si="32"/>
        <v>1</v>
      </c>
    </row>
    <row r="664" spans="1:14" x14ac:dyDescent="0.3">
      <c r="A664">
        <f>HeartData[[#This Row],[id]]</f>
        <v>663</v>
      </c>
      <c r="B664" s="4">
        <f>HeartData[[#This Row],[age]]</f>
        <v>57</v>
      </c>
      <c r="C664" t="str">
        <f>HeartData[[#This Row],[sex]]</f>
        <v>Male</v>
      </c>
      <c r="D664" t="str">
        <f t="shared" si="30"/>
        <v>55-64</v>
      </c>
      <c r="E664" t="str">
        <f>HeartData[[#This Row],[cp]]</f>
        <v>asymptomatic</v>
      </c>
      <c r="F664" t="str">
        <f>IF(HeartData[[#This Row],[num]]&gt;0, "Diseased", "Healthy")</f>
        <v>Diseased</v>
      </c>
      <c r="G664">
        <f>IF(HeartData[[#This Row],[chol]]&gt;$P$3, 1, 0)</f>
        <v>0</v>
      </c>
      <c r="H664">
        <f>IF(HeartData[[#This Row],[trestbps]]&gt;$P$4, 1, 0)</f>
        <v>1</v>
      </c>
      <c r="I664">
        <f>IF(HeartData[[#This Row],[oldpeak]]&gt;$P$5,1,0)</f>
        <v>1</v>
      </c>
      <c r="J664">
        <f>IF(HeartData[[#This Row],[exang]]="TRUE",1,0)</f>
        <v>1</v>
      </c>
      <c r="K664">
        <f>IF(HeartData[[#This Row],[fbs]]="TRUE",1,0)</f>
        <v>0</v>
      </c>
      <c r="L664">
        <f>IF(HeartData[[#This Row],[ca]]&gt;0,1,0)</f>
        <v>0</v>
      </c>
      <c r="M664">
        <f t="shared" si="31"/>
        <v>3</v>
      </c>
      <c r="N664">
        <f t="shared" si="32"/>
        <v>1</v>
      </c>
    </row>
    <row r="665" spans="1:14" x14ac:dyDescent="0.3">
      <c r="A665">
        <f>HeartData[[#This Row],[id]]</f>
        <v>664</v>
      </c>
      <c r="B665" s="4">
        <f>HeartData[[#This Row],[age]]</f>
        <v>57</v>
      </c>
      <c r="C665" t="str">
        <f>HeartData[[#This Row],[sex]]</f>
        <v>Male</v>
      </c>
      <c r="D665" t="str">
        <f t="shared" si="30"/>
        <v>55-64</v>
      </c>
      <c r="E665" t="str">
        <f>HeartData[[#This Row],[cp]]</f>
        <v>asymptomatic</v>
      </c>
      <c r="F665" t="str">
        <f>IF(HeartData[[#This Row],[num]]&gt;0, "Diseased", "Healthy")</f>
        <v>Diseased</v>
      </c>
      <c r="G665">
        <f>IF(HeartData[[#This Row],[chol]]&gt;$P$3, 1, 0)</f>
        <v>0</v>
      </c>
      <c r="H665">
        <f>IF(HeartData[[#This Row],[trestbps]]&gt;$P$4, 1, 0)</f>
        <v>1</v>
      </c>
      <c r="I665">
        <f>IF(HeartData[[#This Row],[oldpeak]]&gt;$P$5,1,0)</f>
        <v>0</v>
      </c>
      <c r="J665">
        <f>IF(HeartData[[#This Row],[exang]]="TRUE",1,0)</f>
        <v>1</v>
      </c>
      <c r="K665">
        <f>IF(HeartData[[#This Row],[fbs]]="TRUE",1,0)</f>
        <v>0</v>
      </c>
      <c r="L665">
        <f>IF(HeartData[[#This Row],[ca]]&gt;0,1,0)</f>
        <v>0</v>
      </c>
      <c r="M665">
        <f t="shared" si="31"/>
        <v>2</v>
      </c>
      <c r="N665">
        <f t="shared" si="32"/>
        <v>1</v>
      </c>
    </row>
    <row r="666" spans="1:14" x14ac:dyDescent="0.3">
      <c r="A666">
        <f>HeartData[[#This Row],[id]]</f>
        <v>665</v>
      </c>
      <c r="B666" s="4">
        <f>HeartData[[#This Row],[age]]</f>
        <v>57</v>
      </c>
      <c r="C666" t="str">
        <f>HeartData[[#This Row],[sex]]</f>
        <v>Male</v>
      </c>
      <c r="D666" t="str">
        <f t="shared" si="30"/>
        <v>55-64</v>
      </c>
      <c r="E666" t="str">
        <f>HeartData[[#This Row],[cp]]</f>
        <v>asymptomatic</v>
      </c>
      <c r="F666" t="str">
        <f>IF(HeartData[[#This Row],[num]]&gt;0, "Diseased", "Healthy")</f>
        <v>Diseased</v>
      </c>
      <c r="G666">
        <f>IF(HeartData[[#This Row],[chol]]&gt;$P$3, 1, 0)</f>
        <v>0</v>
      </c>
      <c r="H666">
        <f>IF(HeartData[[#This Row],[trestbps]]&gt;$P$4, 1, 0)</f>
        <v>1</v>
      </c>
      <c r="I666">
        <f>IF(HeartData[[#This Row],[oldpeak]]&gt;$P$5,1,0)</f>
        <v>1</v>
      </c>
      <c r="J666">
        <f>IF(HeartData[[#This Row],[exang]]="TRUE",1,0)</f>
        <v>1</v>
      </c>
      <c r="K666">
        <f>IF(HeartData[[#This Row],[fbs]]="TRUE",1,0)</f>
        <v>0</v>
      </c>
      <c r="L666">
        <f>IF(HeartData[[#This Row],[ca]]&gt;0,1,0)</f>
        <v>0</v>
      </c>
      <c r="M666">
        <f t="shared" si="31"/>
        <v>3</v>
      </c>
      <c r="N666">
        <f t="shared" si="32"/>
        <v>1</v>
      </c>
    </row>
    <row r="667" spans="1:14" x14ac:dyDescent="0.3">
      <c r="A667">
        <f>HeartData[[#This Row],[id]]</f>
        <v>666</v>
      </c>
      <c r="B667" s="4">
        <f>HeartData[[#This Row],[age]]</f>
        <v>57</v>
      </c>
      <c r="C667" t="str">
        <f>HeartData[[#This Row],[sex]]</f>
        <v>Male</v>
      </c>
      <c r="D667" t="str">
        <f t="shared" si="30"/>
        <v>55-64</v>
      </c>
      <c r="E667" t="str">
        <f>HeartData[[#This Row],[cp]]</f>
        <v>asymptomatic</v>
      </c>
      <c r="F667" t="str">
        <f>IF(HeartData[[#This Row],[num]]&gt;0, "Diseased", "Healthy")</f>
        <v>Diseased</v>
      </c>
      <c r="G667">
        <f>IF(HeartData[[#This Row],[chol]]&gt;$P$3, 1, 0)</f>
        <v>0</v>
      </c>
      <c r="H667">
        <f>IF(HeartData[[#This Row],[trestbps]]&gt;$P$4, 1, 0)</f>
        <v>1</v>
      </c>
      <c r="I667">
        <f>IF(HeartData[[#This Row],[oldpeak]]&gt;$P$5,1,0)</f>
        <v>1</v>
      </c>
      <c r="J667">
        <f>IF(HeartData[[#This Row],[exang]]="TRUE",1,0)</f>
        <v>0</v>
      </c>
      <c r="K667">
        <f>IF(HeartData[[#This Row],[fbs]]="TRUE",1,0)</f>
        <v>0</v>
      </c>
      <c r="L667">
        <f>IF(HeartData[[#This Row],[ca]]&gt;0,1,0)</f>
        <v>0</v>
      </c>
      <c r="M667">
        <f t="shared" si="31"/>
        <v>2</v>
      </c>
      <c r="N667">
        <f t="shared" si="32"/>
        <v>1</v>
      </c>
    </row>
    <row r="668" spans="1:14" x14ac:dyDescent="0.3">
      <c r="A668">
        <f>HeartData[[#This Row],[id]]</f>
        <v>667</v>
      </c>
      <c r="B668" s="4">
        <f>HeartData[[#This Row],[age]]</f>
        <v>58</v>
      </c>
      <c r="C668" t="str">
        <f>HeartData[[#This Row],[sex]]</f>
        <v>Male</v>
      </c>
      <c r="D668" t="str">
        <f t="shared" si="30"/>
        <v>55-64</v>
      </c>
      <c r="E668" t="str">
        <f>HeartData[[#This Row],[cp]]</f>
        <v>asymptomatic</v>
      </c>
      <c r="F668" t="str">
        <f>IF(HeartData[[#This Row],[num]]&gt;0, "Diseased", "Healthy")</f>
        <v>Diseased</v>
      </c>
      <c r="G668">
        <f>IF(HeartData[[#This Row],[chol]]&gt;$P$3, 1, 0)</f>
        <v>0</v>
      </c>
      <c r="H668">
        <f>IF(HeartData[[#This Row],[trestbps]]&gt;$P$4, 1, 0)</f>
        <v>1</v>
      </c>
      <c r="I668">
        <f>IF(HeartData[[#This Row],[oldpeak]]&gt;$P$5,1,0)</f>
        <v>1</v>
      </c>
      <c r="J668">
        <f>IF(HeartData[[#This Row],[exang]]="TRUE",1,0)</f>
        <v>0</v>
      </c>
      <c r="K668">
        <f>IF(HeartData[[#This Row],[fbs]]="TRUE",1,0)</f>
        <v>0</v>
      </c>
      <c r="L668">
        <f>IF(HeartData[[#This Row],[ca]]&gt;0,1,0)</f>
        <v>0</v>
      </c>
      <c r="M668">
        <f t="shared" si="31"/>
        <v>2</v>
      </c>
      <c r="N668">
        <f t="shared" si="32"/>
        <v>1</v>
      </c>
    </row>
    <row r="669" spans="1:14" x14ac:dyDescent="0.3">
      <c r="A669">
        <f>HeartData[[#This Row],[id]]</f>
        <v>668</v>
      </c>
      <c r="B669" s="4">
        <f>HeartData[[#This Row],[age]]</f>
        <v>58</v>
      </c>
      <c r="C669" t="str">
        <f>HeartData[[#This Row],[sex]]</f>
        <v>Male</v>
      </c>
      <c r="D669" t="str">
        <f t="shared" si="30"/>
        <v>55-64</v>
      </c>
      <c r="E669" t="str">
        <f>HeartData[[#This Row],[cp]]</f>
        <v>asymptomatic</v>
      </c>
      <c r="F669" t="str">
        <f>IF(HeartData[[#This Row],[num]]&gt;0, "Diseased", "Healthy")</f>
        <v>Diseased</v>
      </c>
      <c r="G669">
        <f>IF(HeartData[[#This Row],[chol]]&gt;$P$3, 1, 0)</f>
        <v>0</v>
      </c>
      <c r="H669">
        <f>IF(HeartData[[#This Row],[trestbps]]&gt;$P$4, 1, 0)</f>
        <v>1</v>
      </c>
      <c r="I669">
        <f>IF(HeartData[[#This Row],[oldpeak]]&gt;$P$5,1,0)</f>
        <v>1</v>
      </c>
      <c r="J669">
        <f>IF(HeartData[[#This Row],[exang]]="TRUE",1,0)</f>
        <v>1</v>
      </c>
      <c r="K669">
        <f>IF(HeartData[[#This Row],[fbs]]="TRUE",1,0)</f>
        <v>0</v>
      </c>
      <c r="L669">
        <f>IF(HeartData[[#This Row],[ca]]&gt;0,1,0)</f>
        <v>0</v>
      </c>
      <c r="M669">
        <f t="shared" si="31"/>
        <v>3</v>
      </c>
      <c r="N669">
        <f t="shared" si="32"/>
        <v>1</v>
      </c>
    </row>
    <row r="670" spans="1:14" x14ac:dyDescent="0.3">
      <c r="A670">
        <f>HeartData[[#This Row],[id]]</f>
        <v>669</v>
      </c>
      <c r="B670" s="4">
        <f>HeartData[[#This Row],[age]]</f>
        <v>58</v>
      </c>
      <c r="C670" t="str">
        <f>HeartData[[#This Row],[sex]]</f>
        <v>Male</v>
      </c>
      <c r="D670" t="str">
        <f t="shared" si="30"/>
        <v>55-64</v>
      </c>
      <c r="E670" t="str">
        <f>HeartData[[#This Row],[cp]]</f>
        <v>asymptomatic</v>
      </c>
      <c r="F670" t="str">
        <f>IF(HeartData[[#This Row],[num]]&gt;0, "Diseased", "Healthy")</f>
        <v>Diseased</v>
      </c>
      <c r="G670">
        <f>IF(HeartData[[#This Row],[chol]]&gt;$P$3, 1, 0)</f>
        <v>0</v>
      </c>
      <c r="H670">
        <f>IF(HeartData[[#This Row],[trestbps]]&gt;$P$4, 1, 0)</f>
        <v>1</v>
      </c>
      <c r="I670">
        <f>IF(HeartData[[#This Row],[oldpeak]]&gt;$P$5,1,0)</f>
        <v>0</v>
      </c>
      <c r="J670">
        <f>IF(HeartData[[#This Row],[exang]]="TRUE",1,0)</f>
        <v>1</v>
      </c>
      <c r="K670">
        <f>IF(HeartData[[#This Row],[fbs]]="TRUE",1,0)</f>
        <v>0</v>
      </c>
      <c r="L670">
        <f>IF(HeartData[[#This Row],[ca]]&gt;0,1,0)</f>
        <v>0</v>
      </c>
      <c r="M670">
        <f t="shared" si="31"/>
        <v>2</v>
      </c>
      <c r="N670">
        <f t="shared" si="32"/>
        <v>1</v>
      </c>
    </row>
    <row r="671" spans="1:14" x14ac:dyDescent="0.3">
      <c r="A671">
        <f>HeartData[[#This Row],[id]]</f>
        <v>670</v>
      </c>
      <c r="B671" s="4">
        <f>HeartData[[#This Row],[age]]</f>
        <v>59</v>
      </c>
      <c r="C671" t="str">
        <f>HeartData[[#This Row],[sex]]</f>
        <v>Male</v>
      </c>
      <c r="D671" t="str">
        <f t="shared" si="30"/>
        <v>55-64</v>
      </c>
      <c r="E671" t="str">
        <f>HeartData[[#This Row],[cp]]</f>
        <v>non-anginal</v>
      </c>
      <c r="F671" t="str">
        <f>IF(HeartData[[#This Row],[num]]&gt;0, "Diseased", "Healthy")</f>
        <v>Diseased</v>
      </c>
      <c r="G671">
        <f>IF(HeartData[[#This Row],[chol]]&gt;$P$3, 1, 0)</f>
        <v>0</v>
      </c>
      <c r="H671">
        <f>IF(HeartData[[#This Row],[trestbps]]&gt;$P$4, 1, 0)</f>
        <v>1</v>
      </c>
      <c r="I671">
        <f>IF(HeartData[[#This Row],[oldpeak]]&gt;$P$5,1,0)</f>
        <v>1</v>
      </c>
      <c r="J671">
        <f>IF(HeartData[[#This Row],[exang]]="TRUE",1,0)</f>
        <v>0</v>
      </c>
      <c r="K671">
        <f>IF(HeartData[[#This Row],[fbs]]="TRUE",1,0)</f>
        <v>0</v>
      </c>
      <c r="L671">
        <f>IF(HeartData[[#This Row],[ca]]&gt;0,1,0)</f>
        <v>0</v>
      </c>
      <c r="M671">
        <f t="shared" si="31"/>
        <v>2</v>
      </c>
      <c r="N671">
        <f t="shared" si="32"/>
        <v>1</v>
      </c>
    </row>
    <row r="672" spans="1:14" x14ac:dyDescent="0.3">
      <c r="A672">
        <f>HeartData[[#This Row],[id]]</f>
        <v>671</v>
      </c>
      <c r="B672" s="4">
        <f>HeartData[[#This Row],[age]]</f>
        <v>59</v>
      </c>
      <c r="C672" t="str">
        <f>HeartData[[#This Row],[sex]]</f>
        <v>Male</v>
      </c>
      <c r="D672" t="str">
        <f t="shared" si="30"/>
        <v>55-64</v>
      </c>
      <c r="E672" t="str">
        <f>HeartData[[#This Row],[cp]]</f>
        <v>asymptomatic</v>
      </c>
      <c r="F672" t="str">
        <f>IF(HeartData[[#This Row],[num]]&gt;0, "Diseased", "Healthy")</f>
        <v>Diseased</v>
      </c>
      <c r="G672">
        <f>IF(HeartData[[#This Row],[chol]]&gt;$P$3, 1, 0)</f>
        <v>0</v>
      </c>
      <c r="H672">
        <f>IF(HeartData[[#This Row],[trestbps]]&gt;$P$4, 1, 0)</f>
        <v>1</v>
      </c>
      <c r="I672">
        <f>IF(HeartData[[#This Row],[oldpeak]]&gt;$P$5,1,0)</f>
        <v>0</v>
      </c>
      <c r="J672">
        <f>IF(HeartData[[#This Row],[exang]]="TRUE",1,0)</f>
        <v>0</v>
      </c>
      <c r="K672">
        <f>IF(HeartData[[#This Row],[fbs]]="TRUE",1,0)</f>
        <v>0</v>
      </c>
      <c r="L672">
        <f>IF(HeartData[[#This Row],[ca]]&gt;0,1,0)</f>
        <v>0</v>
      </c>
      <c r="M672">
        <f t="shared" si="31"/>
        <v>1</v>
      </c>
      <c r="N672">
        <f t="shared" si="32"/>
        <v>1</v>
      </c>
    </row>
    <row r="673" spans="1:14" x14ac:dyDescent="0.3">
      <c r="A673">
        <f>HeartData[[#This Row],[id]]</f>
        <v>672</v>
      </c>
      <c r="B673" s="4">
        <f>HeartData[[#This Row],[age]]</f>
        <v>59</v>
      </c>
      <c r="C673" t="str">
        <f>HeartData[[#This Row],[sex]]</f>
        <v>Male</v>
      </c>
      <c r="D673" t="str">
        <f t="shared" si="30"/>
        <v>55-64</v>
      </c>
      <c r="E673" t="str">
        <f>HeartData[[#This Row],[cp]]</f>
        <v>asymptomatic</v>
      </c>
      <c r="F673" t="str">
        <f>IF(HeartData[[#This Row],[num]]&gt;0, "Diseased", "Healthy")</f>
        <v>Diseased</v>
      </c>
      <c r="G673">
        <f>IF(HeartData[[#This Row],[chol]]&gt;$P$3, 1, 0)</f>
        <v>0</v>
      </c>
      <c r="H673">
        <f>IF(HeartData[[#This Row],[trestbps]]&gt;$P$4, 1, 0)</f>
        <v>1</v>
      </c>
      <c r="I673">
        <f>IF(HeartData[[#This Row],[oldpeak]]&gt;$P$5,1,0)</f>
        <v>0</v>
      </c>
      <c r="J673">
        <f>IF(HeartData[[#This Row],[exang]]="TRUE",1,0)</f>
        <v>0</v>
      </c>
      <c r="K673">
        <f>IF(HeartData[[#This Row],[fbs]]="TRUE",1,0)</f>
        <v>0</v>
      </c>
      <c r="L673">
        <f>IF(HeartData[[#This Row],[ca]]&gt;0,1,0)</f>
        <v>0</v>
      </c>
      <c r="M673">
        <f t="shared" si="31"/>
        <v>1</v>
      </c>
      <c r="N673">
        <f t="shared" si="32"/>
        <v>1</v>
      </c>
    </row>
    <row r="674" spans="1:14" x14ac:dyDescent="0.3">
      <c r="A674">
        <f>HeartData[[#This Row],[id]]</f>
        <v>673</v>
      </c>
      <c r="B674" s="4">
        <f>HeartData[[#This Row],[age]]</f>
        <v>59</v>
      </c>
      <c r="C674" t="str">
        <f>HeartData[[#This Row],[sex]]</f>
        <v>Male</v>
      </c>
      <c r="D674" t="str">
        <f t="shared" si="30"/>
        <v>55-64</v>
      </c>
      <c r="E674" t="str">
        <f>HeartData[[#This Row],[cp]]</f>
        <v>asymptomatic</v>
      </c>
      <c r="F674" t="str">
        <f>IF(HeartData[[#This Row],[num]]&gt;0, "Diseased", "Healthy")</f>
        <v>Diseased</v>
      </c>
      <c r="G674">
        <f>IF(HeartData[[#This Row],[chol]]&gt;$P$3, 1, 0)</f>
        <v>0</v>
      </c>
      <c r="H674">
        <f>IF(HeartData[[#This Row],[trestbps]]&gt;$P$4, 1, 0)</f>
        <v>1</v>
      </c>
      <c r="I674">
        <f>IF(HeartData[[#This Row],[oldpeak]]&gt;$P$5,1,0)</f>
        <v>1</v>
      </c>
      <c r="J674">
        <f>IF(HeartData[[#This Row],[exang]]="TRUE",1,0)</f>
        <v>1</v>
      </c>
      <c r="K674">
        <f>IF(HeartData[[#This Row],[fbs]]="TRUE",1,0)</f>
        <v>0</v>
      </c>
      <c r="L674">
        <f>IF(HeartData[[#This Row],[ca]]&gt;0,1,0)</f>
        <v>0</v>
      </c>
      <c r="M674">
        <f t="shared" si="31"/>
        <v>3</v>
      </c>
      <c r="N674">
        <f t="shared" si="32"/>
        <v>1</v>
      </c>
    </row>
    <row r="675" spans="1:14" x14ac:dyDescent="0.3">
      <c r="A675">
        <f>HeartData[[#This Row],[id]]</f>
        <v>674</v>
      </c>
      <c r="B675" s="4">
        <f>HeartData[[#This Row],[age]]</f>
        <v>59</v>
      </c>
      <c r="C675" t="str">
        <f>HeartData[[#This Row],[sex]]</f>
        <v>Male</v>
      </c>
      <c r="D675" t="str">
        <f t="shared" si="30"/>
        <v>55-64</v>
      </c>
      <c r="E675" t="str">
        <f>HeartData[[#This Row],[cp]]</f>
        <v>asymptomatic</v>
      </c>
      <c r="F675" t="str">
        <f>IF(HeartData[[#This Row],[num]]&gt;0, "Diseased", "Healthy")</f>
        <v>Diseased</v>
      </c>
      <c r="G675">
        <f>IF(HeartData[[#This Row],[chol]]&gt;$P$3, 1, 0)</f>
        <v>0</v>
      </c>
      <c r="H675">
        <f>IF(HeartData[[#This Row],[trestbps]]&gt;$P$4, 1, 0)</f>
        <v>1</v>
      </c>
      <c r="I675">
        <f>IF(HeartData[[#This Row],[oldpeak]]&gt;$P$5,1,0)</f>
        <v>1</v>
      </c>
      <c r="J675">
        <f>IF(HeartData[[#This Row],[exang]]="TRUE",1,0)</f>
        <v>1</v>
      </c>
      <c r="K675">
        <f>IF(HeartData[[#This Row],[fbs]]="TRUE",1,0)</f>
        <v>0</v>
      </c>
      <c r="L675">
        <f>IF(HeartData[[#This Row],[ca]]&gt;0,1,0)</f>
        <v>0</v>
      </c>
      <c r="M675">
        <f t="shared" si="31"/>
        <v>3</v>
      </c>
      <c r="N675">
        <f t="shared" si="32"/>
        <v>1</v>
      </c>
    </row>
    <row r="676" spans="1:14" x14ac:dyDescent="0.3">
      <c r="A676">
        <f>HeartData[[#This Row],[id]]</f>
        <v>675</v>
      </c>
      <c r="B676" s="4">
        <f>HeartData[[#This Row],[age]]</f>
        <v>60</v>
      </c>
      <c r="C676" t="str">
        <f>HeartData[[#This Row],[sex]]</f>
        <v>Male</v>
      </c>
      <c r="D676" t="str">
        <f t="shared" si="30"/>
        <v>55-64</v>
      </c>
      <c r="E676" t="str">
        <f>HeartData[[#This Row],[cp]]</f>
        <v>non-anginal</v>
      </c>
      <c r="F676" t="str">
        <f>IF(HeartData[[#This Row],[num]]&gt;0, "Diseased", "Healthy")</f>
        <v>Diseased</v>
      </c>
      <c r="G676">
        <f>IF(HeartData[[#This Row],[chol]]&gt;$P$3, 1, 0)</f>
        <v>0</v>
      </c>
      <c r="H676">
        <f>IF(HeartData[[#This Row],[trestbps]]&gt;$P$4, 1, 0)</f>
        <v>1</v>
      </c>
      <c r="I676">
        <f>IF(HeartData[[#This Row],[oldpeak]]&gt;$P$5,1,0)</f>
        <v>1</v>
      </c>
      <c r="J676">
        <f>IF(HeartData[[#This Row],[exang]]="TRUE",1,0)</f>
        <v>0</v>
      </c>
      <c r="K676">
        <f>IF(HeartData[[#This Row],[fbs]]="TRUE",1,0)</f>
        <v>0</v>
      </c>
      <c r="L676">
        <f>IF(HeartData[[#This Row],[ca]]&gt;0,1,0)</f>
        <v>0</v>
      </c>
      <c r="M676">
        <f t="shared" si="31"/>
        <v>2</v>
      </c>
      <c r="N676">
        <f t="shared" si="32"/>
        <v>1</v>
      </c>
    </row>
    <row r="677" spans="1:14" x14ac:dyDescent="0.3">
      <c r="A677">
        <f>HeartData[[#This Row],[id]]</f>
        <v>676</v>
      </c>
      <c r="B677" s="4">
        <f>HeartData[[#This Row],[age]]</f>
        <v>60</v>
      </c>
      <c r="C677" t="str">
        <f>HeartData[[#This Row],[sex]]</f>
        <v>Male</v>
      </c>
      <c r="D677" t="str">
        <f t="shared" si="30"/>
        <v>55-64</v>
      </c>
      <c r="E677" t="str">
        <f>HeartData[[#This Row],[cp]]</f>
        <v>asymptomatic</v>
      </c>
      <c r="F677" t="str">
        <f>IF(HeartData[[#This Row],[num]]&gt;0, "Diseased", "Healthy")</f>
        <v>Diseased</v>
      </c>
      <c r="G677">
        <f>IF(HeartData[[#This Row],[chol]]&gt;$P$3, 1, 0)</f>
        <v>0</v>
      </c>
      <c r="H677">
        <f>IF(HeartData[[#This Row],[trestbps]]&gt;$P$4, 1, 0)</f>
        <v>1</v>
      </c>
      <c r="I677">
        <f>IF(HeartData[[#This Row],[oldpeak]]&gt;$P$5,1,0)</f>
        <v>1</v>
      </c>
      <c r="J677">
        <f>IF(HeartData[[#This Row],[exang]]="TRUE",1,0)</f>
        <v>0</v>
      </c>
      <c r="K677">
        <f>IF(HeartData[[#This Row],[fbs]]="TRUE",1,0)</f>
        <v>0</v>
      </c>
      <c r="L677">
        <f>IF(HeartData[[#This Row],[ca]]&gt;0,1,0)</f>
        <v>1</v>
      </c>
      <c r="M677">
        <f t="shared" si="31"/>
        <v>3</v>
      </c>
      <c r="N677">
        <f t="shared" si="32"/>
        <v>1</v>
      </c>
    </row>
    <row r="678" spans="1:14" x14ac:dyDescent="0.3">
      <c r="A678">
        <f>HeartData[[#This Row],[id]]</f>
        <v>677</v>
      </c>
      <c r="B678" s="4">
        <f>HeartData[[#This Row],[age]]</f>
        <v>60</v>
      </c>
      <c r="C678" t="str">
        <f>HeartData[[#This Row],[sex]]</f>
        <v>Male</v>
      </c>
      <c r="D678" t="str">
        <f t="shared" si="30"/>
        <v>55-64</v>
      </c>
      <c r="E678" t="str">
        <f>HeartData[[#This Row],[cp]]</f>
        <v>asymptomatic</v>
      </c>
      <c r="F678" t="str">
        <f>IF(HeartData[[#This Row],[num]]&gt;0, "Diseased", "Healthy")</f>
        <v>Diseased</v>
      </c>
      <c r="G678">
        <f>IF(HeartData[[#This Row],[chol]]&gt;$P$3, 1, 0)</f>
        <v>0</v>
      </c>
      <c r="H678">
        <f>IF(HeartData[[#This Row],[trestbps]]&gt;$P$4, 1, 0)</f>
        <v>1</v>
      </c>
      <c r="I678">
        <f>IF(HeartData[[#This Row],[oldpeak]]&gt;$P$5,1,0)</f>
        <v>1</v>
      </c>
      <c r="J678">
        <f>IF(HeartData[[#This Row],[exang]]="TRUE",1,0)</f>
        <v>1</v>
      </c>
      <c r="K678">
        <f>IF(HeartData[[#This Row],[fbs]]="TRUE",1,0)</f>
        <v>0</v>
      </c>
      <c r="L678">
        <f>IF(HeartData[[#This Row],[ca]]&gt;0,1,0)</f>
        <v>1</v>
      </c>
      <c r="M678">
        <f t="shared" si="31"/>
        <v>4</v>
      </c>
      <c r="N678">
        <f t="shared" si="32"/>
        <v>1</v>
      </c>
    </row>
    <row r="679" spans="1:14" x14ac:dyDescent="0.3">
      <c r="A679">
        <f>HeartData[[#This Row],[id]]</f>
        <v>678</v>
      </c>
      <c r="B679" s="4">
        <f>HeartData[[#This Row],[age]]</f>
        <v>60</v>
      </c>
      <c r="C679" t="str">
        <f>HeartData[[#This Row],[sex]]</f>
        <v>Male</v>
      </c>
      <c r="D679" t="str">
        <f t="shared" si="30"/>
        <v>55-64</v>
      </c>
      <c r="E679" t="str">
        <f>HeartData[[#This Row],[cp]]</f>
        <v>asymptomatic</v>
      </c>
      <c r="F679" t="str">
        <f>IF(HeartData[[#This Row],[num]]&gt;0, "Diseased", "Healthy")</f>
        <v>Diseased</v>
      </c>
      <c r="G679">
        <f>IF(HeartData[[#This Row],[chol]]&gt;$P$3, 1, 0)</f>
        <v>0</v>
      </c>
      <c r="H679">
        <f>IF(HeartData[[#This Row],[trestbps]]&gt;$P$4, 1, 0)</f>
        <v>1</v>
      </c>
      <c r="I679">
        <f>IF(HeartData[[#This Row],[oldpeak]]&gt;$P$5,1,0)</f>
        <v>1</v>
      </c>
      <c r="J679">
        <f>IF(HeartData[[#This Row],[exang]]="TRUE",1,0)</f>
        <v>1</v>
      </c>
      <c r="K679">
        <f>IF(HeartData[[#This Row],[fbs]]="TRUE",1,0)</f>
        <v>0</v>
      </c>
      <c r="L679">
        <f>IF(HeartData[[#This Row],[ca]]&gt;0,1,0)</f>
        <v>0</v>
      </c>
      <c r="M679">
        <f t="shared" si="31"/>
        <v>3</v>
      </c>
      <c r="N679">
        <f t="shared" si="32"/>
        <v>1</v>
      </c>
    </row>
    <row r="680" spans="1:14" x14ac:dyDescent="0.3">
      <c r="A680">
        <f>HeartData[[#This Row],[id]]</f>
        <v>679</v>
      </c>
      <c r="B680" s="4">
        <f>HeartData[[#This Row],[age]]</f>
        <v>60</v>
      </c>
      <c r="C680" t="str">
        <f>HeartData[[#This Row],[sex]]</f>
        <v>Male</v>
      </c>
      <c r="D680" t="str">
        <f t="shared" si="30"/>
        <v>55-64</v>
      </c>
      <c r="E680" t="str">
        <f>HeartData[[#This Row],[cp]]</f>
        <v>asymptomatic</v>
      </c>
      <c r="F680" t="str">
        <f>IF(HeartData[[#This Row],[num]]&gt;0, "Diseased", "Healthy")</f>
        <v>Diseased</v>
      </c>
      <c r="G680">
        <f>IF(HeartData[[#This Row],[chol]]&gt;$P$3, 1, 0)</f>
        <v>0</v>
      </c>
      <c r="H680">
        <f>IF(HeartData[[#This Row],[trestbps]]&gt;$P$4, 1, 0)</f>
        <v>1</v>
      </c>
      <c r="I680">
        <f>IF(HeartData[[#This Row],[oldpeak]]&gt;$P$5,1,0)</f>
        <v>1</v>
      </c>
      <c r="J680">
        <f>IF(HeartData[[#This Row],[exang]]="TRUE",1,0)</f>
        <v>1</v>
      </c>
      <c r="K680">
        <f>IF(HeartData[[#This Row],[fbs]]="TRUE",1,0)</f>
        <v>0</v>
      </c>
      <c r="L680">
        <f>IF(HeartData[[#This Row],[ca]]&gt;0,1,0)</f>
        <v>0</v>
      </c>
      <c r="M680">
        <f t="shared" si="31"/>
        <v>3</v>
      </c>
      <c r="N680">
        <f t="shared" si="32"/>
        <v>1</v>
      </c>
    </row>
    <row r="681" spans="1:14" x14ac:dyDescent="0.3">
      <c r="A681">
        <f>HeartData[[#This Row],[id]]</f>
        <v>680</v>
      </c>
      <c r="B681" s="4">
        <f>HeartData[[#This Row],[age]]</f>
        <v>60</v>
      </c>
      <c r="C681" t="str">
        <f>HeartData[[#This Row],[sex]]</f>
        <v>Male</v>
      </c>
      <c r="D681" t="str">
        <f t="shared" si="30"/>
        <v>55-64</v>
      </c>
      <c r="E681" t="str">
        <f>HeartData[[#This Row],[cp]]</f>
        <v>asymptomatic</v>
      </c>
      <c r="F681" t="str">
        <f>IF(HeartData[[#This Row],[num]]&gt;0, "Diseased", "Healthy")</f>
        <v>Diseased</v>
      </c>
      <c r="G681">
        <f>IF(HeartData[[#This Row],[chol]]&gt;$P$3, 1, 0)</f>
        <v>0</v>
      </c>
      <c r="H681">
        <f>IF(HeartData[[#This Row],[trestbps]]&gt;$P$4, 1, 0)</f>
        <v>1</v>
      </c>
      <c r="I681">
        <f>IF(HeartData[[#This Row],[oldpeak]]&gt;$P$5,1,0)</f>
        <v>1</v>
      </c>
      <c r="J681">
        <f>IF(HeartData[[#This Row],[exang]]="TRUE",1,0)</f>
        <v>0</v>
      </c>
      <c r="K681">
        <f>IF(HeartData[[#This Row],[fbs]]="TRUE",1,0)</f>
        <v>0</v>
      </c>
      <c r="L681">
        <f>IF(HeartData[[#This Row],[ca]]&gt;0,1,0)</f>
        <v>0</v>
      </c>
      <c r="M681">
        <f t="shared" si="31"/>
        <v>2</v>
      </c>
      <c r="N681">
        <f t="shared" si="32"/>
        <v>1</v>
      </c>
    </row>
    <row r="682" spans="1:14" x14ac:dyDescent="0.3">
      <c r="A682">
        <f>HeartData[[#This Row],[id]]</f>
        <v>681</v>
      </c>
      <c r="B682" s="4">
        <f>HeartData[[#This Row],[age]]</f>
        <v>61</v>
      </c>
      <c r="C682" t="str">
        <f>HeartData[[#This Row],[sex]]</f>
        <v>Male</v>
      </c>
      <c r="D682" t="str">
        <f t="shared" si="30"/>
        <v>55-64</v>
      </c>
      <c r="E682" t="str">
        <f>HeartData[[#This Row],[cp]]</f>
        <v>non-anginal</v>
      </c>
      <c r="F682" t="str">
        <f>IF(HeartData[[#This Row],[num]]&gt;0, "Diseased", "Healthy")</f>
        <v>Diseased</v>
      </c>
      <c r="G682">
        <f>IF(HeartData[[#This Row],[chol]]&gt;$P$3, 1, 0)</f>
        <v>0</v>
      </c>
      <c r="H682">
        <f>IF(HeartData[[#This Row],[trestbps]]&gt;$P$4, 1, 0)</f>
        <v>1</v>
      </c>
      <c r="I682">
        <f>IF(HeartData[[#This Row],[oldpeak]]&gt;$P$5,1,0)</f>
        <v>0</v>
      </c>
      <c r="J682">
        <f>IF(HeartData[[#This Row],[exang]]="TRUE",1,0)</f>
        <v>0</v>
      </c>
      <c r="K682">
        <f>IF(HeartData[[#This Row],[fbs]]="TRUE",1,0)</f>
        <v>0</v>
      </c>
      <c r="L682">
        <f>IF(HeartData[[#This Row],[ca]]&gt;0,1,0)</f>
        <v>0</v>
      </c>
      <c r="M682">
        <f t="shared" si="31"/>
        <v>1</v>
      </c>
      <c r="N682">
        <f t="shared" si="32"/>
        <v>1</v>
      </c>
    </row>
    <row r="683" spans="1:14" x14ac:dyDescent="0.3">
      <c r="A683">
        <f>HeartData[[#This Row],[id]]</f>
        <v>682</v>
      </c>
      <c r="B683" s="4">
        <f>HeartData[[#This Row],[age]]</f>
        <v>61</v>
      </c>
      <c r="C683" t="str">
        <f>HeartData[[#This Row],[sex]]</f>
        <v>Male</v>
      </c>
      <c r="D683" t="str">
        <f t="shared" si="30"/>
        <v>55-64</v>
      </c>
      <c r="E683" t="str">
        <f>HeartData[[#This Row],[cp]]</f>
        <v>asymptomatic</v>
      </c>
      <c r="F683" t="str">
        <f>IF(HeartData[[#This Row],[num]]&gt;0, "Diseased", "Healthy")</f>
        <v>Diseased</v>
      </c>
      <c r="G683">
        <f>IF(HeartData[[#This Row],[chol]]&gt;$P$3, 1, 0)</f>
        <v>0</v>
      </c>
      <c r="H683">
        <f>IF(HeartData[[#This Row],[trestbps]]&gt;$P$4, 1, 0)</f>
        <v>1</v>
      </c>
      <c r="I683">
        <f>IF(HeartData[[#This Row],[oldpeak]]&gt;$P$5,1,0)</f>
        <v>1</v>
      </c>
      <c r="J683">
        <f>IF(HeartData[[#This Row],[exang]]="TRUE",1,0)</f>
        <v>1</v>
      </c>
      <c r="K683">
        <f>IF(HeartData[[#This Row],[fbs]]="TRUE",1,0)</f>
        <v>0</v>
      </c>
      <c r="L683">
        <f>IF(HeartData[[#This Row],[ca]]&gt;0,1,0)</f>
        <v>0</v>
      </c>
      <c r="M683">
        <f t="shared" si="31"/>
        <v>3</v>
      </c>
      <c r="N683">
        <f t="shared" si="32"/>
        <v>1</v>
      </c>
    </row>
    <row r="684" spans="1:14" x14ac:dyDescent="0.3">
      <c r="A684">
        <f>HeartData[[#This Row],[id]]</f>
        <v>683</v>
      </c>
      <c r="B684" s="4">
        <f>HeartData[[#This Row],[age]]</f>
        <v>61</v>
      </c>
      <c r="C684" t="str">
        <f>HeartData[[#This Row],[sex]]</f>
        <v>Male</v>
      </c>
      <c r="D684" t="str">
        <f t="shared" si="30"/>
        <v>55-64</v>
      </c>
      <c r="E684" t="str">
        <f>HeartData[[#This Row],[cp]]</f>
        <v>asymptomatic</v>
      </c>
      <c r="F684" t="str">
        <f>IF(HeartData[[#This Row],[num]]&gt;0, "Diseased", "Healthy")</f>
        <v>Diseased</v>
      </c>
      <c r="G684">
        <f>IF(HeartData[[#This Row],[chol]]&gt;$P$3, 1, 0)</f>
        <v>0</v>
      </c>
      <c r="H684">
        <f>IF(HeartData[[#This Row],[trestbps]]&gt;$P$4, 1, 0)</f>
        <v>1</v>
      </c>
      <c r="I684">
        <f>IF(HeartData[[#This Row],[oldpeak]]&gt;$P$5,1,0)</f>
        <v>1</v>
      </c>
      <c r="J684">
        <f>IF(HeartData[[#This Row],[exang]]="TRUE",1,0)</f>
        <v>0</v>
      </c>
      <c r="K684">
        <f>IF(HeartData[[#This Row],[fbs]]="TRUE",1,0)</f>
        <v>0</v>
      </c>
      <c r="L684">
        <f>IF(HeartData[[#This Row],[ca]]&gt;0,1,0)</f>
        <v>0</v>
      </c>
      <c r="M684">
        <f t="shared" si="31"/>
        <v>2</v>
      </c>
      <c r="N684">
        <f t="shared" si="32"/>
        <v>1</v>
      </c>
    </row>
    <row r="685" spans="1:14" x14ac:dyDescent="0.3">
      <c r="A685">
        <f>HeartData[[#This Row],[id]]</f>
        <v>684</v>
      </c>
      <c r="B685" s="4">
        <f>HeartData[[#This Row],[age]]</f>
        <v>61</v>
      </c>
      <c r="C685" t="str">
        <f>HeartData[[#This Row],[sex]]</f>
        <v>Male</v>
      </c>
      <c r="D685" t="str">
        <f t="shared" si="30"/>
        <v>55-64</v>
      </c>
      <c r="E685" t="str">
        <f>HeartData[[#This Row],[cp]]</f>
        <v>asymptomatic</v>
      </c>
      <c r="F685" t="str">
        <f>IF(HeartData[[#This Row],[num]]&gt;0, "Diseased", "Healthy")</f>
        <v>Diseased</v>
      </c>
      <c r="G685">
        <f>IF(HeartData[[#This Row],[chol]]&gt;$P$3, 1, 0)</f>
        <v>0</v>
      </c>
      <c r="H685">
        <f>IF(HeartData[[#This Row],[trestbps]]&gt;$P$4, 1, 0)</f>
        <v>1</v>
      </c>
      <c r="I685">
        <f>IF(HeartData[[#This Row],[oldpeak]]&gt;$P$5,1,0)</f>
        <v>0</v>
      </c>
      <c r="J685">
        <f>IF(HeartData[[#This Row],[exang]]="TRUE",1,0)</f>
        <v>1</v>
      </c>
      <c r="K685">
        <f>IF(HeartData[[#This Row],[fbs]]="TRUE",1,0)</f>
        <v>0</v>
      </c>
      <c r="L685">
        <f>IF(HeartData[[#This Row],[ca]]&gt;0,1,0)</f>
        <v>0</v>
      </c>
      <c r="M685">
        <f t="shared" si="31"/>
        <v>2</v>
      </c>
      <c r="N685">
        <f t="shared" si="32"/>
        <v>1</v>
      </c>
    </row>
    <row r="686" spans="1:14" x14ac:dyDescent="0.3">
      <c r="A686">
        <f>HeartData[[#This Row],[id]]</f>
        <v>685</v>
      </c>
      <c r="B686" s="4">
        <f>HeartData[[#This Row],[age]]</f>
        <v>61</v>
      </c>
      <c r="C686" t="str">
        <f>HeartData[[#This Row],[sex]]</f>
        <v>Male</v>
      </c>
      <c r="D686" t="str">
        <f t="shared" si="30"/>
        <v>55-64</v>
      </c>
      <c r="E686" t="str">
        <f>HeartData[[#This Row],[cp]]</f>
        <v>asymptomatic</v>
      </c>
      <c r="F686" t="str">
        <f>IF(HeartData[[#This Row],[num]]&gt;0, "Diseased", "Healthy")</f>
        <v>Diseased</v>
      </c>
      <c r="G686">
        <f>IF(HeartData[[#This Row],[chol]]&gt;$P$3, 1, 0)</f>
        <v>0</v>
      </c>
      <c r="H686">
        <f>IF(HeartData[[#This Row],[trestbps]]&gt;$P$4, 1, 0)</f>
        <v>1</v>
      </c>
      <c r="I686">
        <f>IF(HeartData[[#This Row],[oldpeak]]&gt;$P$5,1,0)</f>
        <v>0</v>
      </c>
      <c r="J686">
        <f>IF(HeartData[[#This Row],[exang]]="TRUE",1,0)</f>
        <v>0</v>
      </c>
      <c r="K686">
        <f>IF(HeartData[[#This Row],[fbs]]="TRUE",1,0)</f>
        <v>0</v>
      </c>
      <c r="L686">
        <f>IF(HeartData[[#This Row],[ca]]&gt;0,1,0)</f>
        <v>0</v>
      </c>
      <c r="M686">
        <f t="shared" si="31"/>
        <v>1</v>
      </c>
      <c r="N686">
        <f t="shared" si="32"/>
        <v>1</v>
      </c>
    </row>
    <row r="687" spans="1:14" x14ac:dyDescent="0.3">
      <c r="A687">
        <f>HeartData[[#This Row],[id]]</f>
        <v>686</v>
      </c>
      <c r="B687" s="4">
        <f>HeartData[[#This Row],[age]]</f>
        <v>61</v>
      </c>
      <c r="C687" t="str">
        <f>HeartData[[#This Row],[sex]]</f>
        <v>Male</v>
      </c>
      <c r="D687" t="str">
        <f t="shared" si="30"/>
        <v>55-64</v>
      </c>
      <c r="E687" t="str">
        <f>HeartData[[#This Row],[cp]]</f>
        <v>asymptomatic</v>
      </c>
      <c r="F687" t="str">
        <f>IF(HeartData[[#This Row],[num]]&gt;0, "Diseased", "Healthy")</f>
        <v>Diseased</v>
      </c>
      <c r="G687">
        <f>IF(HeartData[[#This Row],[chol]]&gt;$P$3, 1, 0)</f>
        <v>0</v>
      </c>
      <c r="H687">
        <f>IF(HeartData[[#This Row],[trestbps]]&gt;$P$4, 1, 0)</f>
        <v>1</v>
      </c>
      <c r="I687">
        <f>IF(HeartData[[#This Row],[oldpeak]]&gt;$P$5,1,0)</f>
        <v>1</v>
      </c>
      <c r="J687">
        <f>IF(HeartData[[#This Row],[exang]]="TRUE",1,0)</f>
        <v>0</v>
      </c>
      <c r="K687">
        <f>IF(HeartData[[#This Row],[fbs]]="TRUE",1,0)</f>
        <v>0</v>
      </c>
      <c r="L687">
        <f>IF(HeartData[[#This Row],[ca]]&gt;0,1,0)</f>
        <v>0</v>
      </c>
      <c r="M687">
        <f t="shared" si="31"/>
        <v>2</v>
      </c>
      <c r="N687">
        <f t="shared" si="32"/>
        <v>1</v>
      </c>
    </row>
    <row r="688" spans="1:14" x14ac:dyDescent="0.3">
      <c r="A688">
        <f>HeartData[[#This Row],[id]]</f>
        <v>687</v>
      </c>
      <c r="B688" s="4">
        <f>HeartData[[#This Row],[age]]</f>
        <v>61</v>
      </c>
      <c r="C688" t="str">
        <f>HeartData[[#This Row],[sex]]</f>
        <v>Male</v>
      </c>
      <c r="D688" t="str">
        <f t="shared" si="30"/>
        <v>55-64</v>
      </c>
      <c r="E688" t="str">
        <f>HeartData[[#This Row],[cp]]</f>
        <v>asymptomatic</v>
      </c>
      <c r="F688" t="str">
        <f>IF(HeartData[[#This Row],[num]]&gt;0, "Diseased", "Healthy")</f>
        <v>Diseased</v>
      </c>
      <c r="G688">
        <f>IF(HeartData[[#This Row],[chol]]&gt;$P$3, 1, 0)</f>
        <v>0</v>
      </c>
      <c r="H688">
        <f>IF(HeartData[[#This Row],[trestbps]]&gt;$P$4, 1, 0)</f>
        <v>1</v>
      </c>
      <c r="I688">
        <f>IF(HeartData[[#This Row],[oldpeak]]&gt;$P$5,1,0)</f>
        <v>0</v>
      </c>
      <c r="J688">
        <f>IF(HeartData[[#This Row],[exang]]="TRUE",1,0)</f>
        <v>1</v>
      </c>
      <c r="K688">
        <f>IF(HeartData[[#This Row],[fbs]]="TRUE",1,0)</f>
        <v>0</v>
      </c>
      <c r="L688">
        <f>IF(HeartData[[#This Row],[ca]]&gt;0,1,0)</f>
        <v>0</v>
      </c>
      <c r="M688">
        <f t="shared" si="31"/>
        <v>2</v>
      </c>
      <c r="N688">
        <f t="shared" si="32"/>
        <v>1</v>
      </c>
    </row>
    <row r="689" spans="1:14" x14ac:dyDescent="0.3">
      <c r="A689">
        <f>HeartData[[#This Row],[id]]</f>
        <v>688</v>
      </c>
      <c r="B689" s="4">
        <f>HeartData[[#This Row],[age]]</f>
        <v>61</v>
      </c>
      <c r="C689" t="str">
        <f>HeartData[[#This Row],[sex]]</f>
        <v>Male</v>
      </c>
      <c r="D689" t="str">
        <f t="shared" si="30"/>
        <v>55-64</v>
      </c>
      <c r="E689" t="str">
        <f>HeartData[[#This Row],[cp]]</f>
        <v>asymptomatic</v>
      </c>
      <c r="F689" t="str">
        <f>IF(HeartData[[#This Row],[num]]&gt;0, "Diseased", "Healthy")</f>
        <v>Diseased</v>
      </c>
      <c r="G689">
        <f>IF(HeartData[[#This Row],[chol]]&gt;$P$3, 1, 0)</f>
        <v>0</v>
      </c>
      <c r="H689">
        <f>IF(HeartData[[#This Row],[trestbps]]&gt;$P$4, 1, 0)</f>
        <v>1</v>
      </c>
      <c r="I689">
        <f>IF(HeartData[[#This Row],[oldpeak]]&gt;$P$5,1,0)</f>
        <v>1</v>
      </c>
      <c r="J689">
        <f>IF(HeartData[[#This Row],[exang]]="TRUE",1,0)</f>
        <v>1</v>
      </c>
      <c r="K689">
        <f>IF(HeartData[[#This Row],[fbs]]="TRUE",1,0)</f>
        <v>0</v>
      </c>
      <c r="L689">
        <f>IF(HeartData[[#This Row],[ca]]&gt;0,1,0)</f>
        <v>0</v>
      </c>
      <c r="M689">
        <f t="shared" si="31"/>
        <v>3</v>
      </c>
      <c r="N689">
        <f t="shared" si="32"/>
        <v>1</v>
      </c>
    </row>
    <row r="690" spans="1:14" x14ac:dyDescent="0.3">
      <c r="A690">
        <f>HeartData[[#This Row],[id]]</f>
        <v>689</v>
      </c>
      <c r="B690" s="4">
        <f>HeartData[[#This Row],[age]]</f>
        <v>61</v>
      </c>
      <c r="C690" t="str">
        <f>HeartData[[#This Row],[sex]]</f>
        <v>Male</v>
      </c>
      <c r="D690" t="str">
        <f t="shared" si="30"/>
        <v>55-64</v>
      </c>
      <c r="E690" t="str">
        <f>HeartData[[#This Row],[cp]]</f>
        <v>asymptomatic</v>
      </c>
      <c r="F690" t="str">
        <f>IF(HeartData[[#This Row],[num]]&gt;0, "Diseased", "Healthy")</f>
        <v>Diseased</v>
      </c>
      <c r="G690">
        <f>IF(HeartData[[#This Row],[chol]]&gt;$P$3, 1, 0)</f>
        <v>0</v>
      </c>
      <c r="H690">
        <f>IF(HeartData[[#This Row],[trestbps]]&gt;$P$4, 1, 0)</f>
        <v>1</v>
      </c>
      <c r="I690">
        <f>IF(HeartData[[#This Row],[oldpeak]]&gt;$P$5,1,0)</f>
        <v>1</v>
      </c>
      <c r="J690">
        <f>IF(HeartData[[#This Row],[exang]]="TRUE",1,0)</f>
        <v>0</v>
      </c>
      <c r="K690">
        <f>IF(HeartData[[#This Row],[fbs]]="TRUE",1,0)</f>
        <v>1</v>
      </c>
      <c r="L690">
        <f>IF(HeartData[[#This Row],[ca]]&gt;0,1,0)</f>
        <v>0</v>
      </c>
      <c r="M690">
        <f t="shared" si="31"/>
        <v>3</v>
      </c>
      <c r="N690">
        <f t="shared" si="32"/>
        <v>1</v>
      </c>
    </row>
    <row r="691" spans="1:14" x14ac:dyDescent="0.3">
      <c r="A691">
        <f>HeartData[[#This Row],[id]]</f>
        <v>690</v>
      </c>
      <c r="B691" s="4">
        <f>HeartData[[#This Row],[age]]</f>
        <v>62</v>
      </c>
      <c r="C691" t="str">
        <f>HeartData[[#This Row],[sex]]</f>
        <v>Female</v>
      </c>
      <c r="D691" t="str">
        <f t="shared" si="30"/>
        <v>55-64</v>
      </c>
      <c r="E691" t="str">
        <f>HeartData[[#This Row],[cp]]</f>
        <v>typical angina</v>
      </c>
      <c r="F691" t="str">
        <f>IF(HeartData[[#This Row],[num]]&gt;0, "Diseased", "Healthy")</f>
        <v>Diseased</v>
      </c>
      <c r="G691">
        <f>IF(HeartData[[#This Row],[chol]]&gt;$P$3, 1, 0)</f>
        <v>0</v>
      </c>
      <c r="H691">
        <f>IF(HeartData[[#This Row],[trestbps]]&gt;$P$4, 1, 0)</f>
        <v>1</v>
      </c>
      <c r="I691">
        <f>IF(HeartData[[#This Row],[oldpeak]]&gt;$P$5,1,0)</f>
        <v>0</v>
      </c>
      <c r="J691">
        <f>IF(HeartData[[#This Row],[exang]]="TRUE",1,0)</f>
        <v>0</v>
      </c>
      <c r="K691">
        <f>IF(HeartData[[#This Row],[fbs]]="TRUE",1,0)</f>
        <v>0</v>
      </c>
      <c r="L691">
        <f>IF(HeartData[[#This Row],[ca]]&gt;0,1,0)</f>
        <v>0</v>
      </c>
      <c r="M691">
        <f t="shared" si="31"/>
        <v>1</v>
      </c>
      <c r="N691">
        <f t="shared" si="32"/>
        <v>1</v>
      </c>
    </row>
    <row r="692" spans="1:14" x14ac:dyDescent="0.3">
      <c r="A692">
        <f>HeartData[[#This Row],[id]]</f>
        <v>691</v>
      </c>
      <c r="B692" s="4">
        <f>HeartData[[#This Row],[age]]</f>
        <v>62</v>
      </c>
      <c r="C692" t="str">
        <f>HeartData[[#This Row],[sex]]</f>
        <v>Female</v>
      </c>
      <c r="D692" t="str">
        <f t="shared" si="30"/>
        <v>55-64</v>
      </c>
      <c r="E692" t="str">
        <f>HeartData[[#This Row],[cp]]</f>
        <v>asymptomatic</v>
      </c>
      <c r="F692" t="str">
        <f>IF(HeartData[[#This Row],[num]]&gt;0, "Diseased", "Healthy")</f>
        <v>Diseased</v>
      </c>
      <c r="G692">
        <f>IF(HeartData[[#This Row],[chol]]&gt;$P$3, 1, 0)</f>
        <v>0</v>
      </c>
      <c r="H692">
        <f>IF(HeartData[[#This Row],[trestbps]]&gt;$P$4, 1, 0)</f>
        <v>1</v>
      </c>
      <c r="I692">
        <f>IF(HeartData[[#This Row],[oldpeak]]&gt;$P$5,1,0)</f>
        <v>1</v>
      </c>
      <c r="J692">
        <f>IF(HeartData[[#This Row],[exang]]="TRUE",1,0)</f>
        <v>1</v>
      </c>
      <c r="K692">
        <f>IF(HeartData[[#This Row],[fbs]]="TRUE",1,0)</f>
        <v>0</v>
      </c>
      <c r="L692">
        <f>IF(HeartData[[#This Row],[ca]]&gt;0,1,0)</f>
        <v>0</v>
      </c>
      <c r="M692">
        <f t="shared" si="31"/>
        <v>3</v>
      </c>
      <c r="N692">
        <f t="shared" si="32"/>
        <v>1</v>
      </c>
    </row>
    <row r="693" spans="1:14" x14ac:dyDescent="0.3">
      <c r="A693">
        <f>HeartData[[#This Row],[id]]</f>
        <v>692</v>
      </c>
      <c r="B693" s="4">
        <f>HeartData[[#This Row],[age]]</f>
        <v>62</v>
      </c>
      <c r="C693" t="str">
        <f>HeartData[[#This Row],[sex]]</f>
        <v>Male</v>
      </c>
      <c r="D693" t="str">
        <f t="shared" si="30"/>
        <v>55-64</v>
      </c>
      <c r="E693" t="str">
        <f>HeartData[[#This Row],[cp]]</f>
        <v>typical angina</v>
      </c>
      <c r="F693" t="str">
        <f>IF(HeartData[[#This Row],[num]]&gt;0, "Diseased", "Healthy")</f>
        <v>Diseased</v>
      </c>
      <c r="G693">
        <f>IF(HeartData[[#This Row],[chol]]&gt;$P$3, 1, 0)</f>
        <v>0</v>
      </c>
      <c r="H693">
        <f>IF(HeartData[[#This Row],[trestbps]]&gt;$P$4, 1, 0)</f>
        <v>1</v>
      </c>
      <c r="I693">
        <f>IF(HeartData[[#This Row],[oldpeak]]&gt;$P$5,1,0)</f>
        <v>0</v>
      </c>
      <c r="J693">
        <f>IF(HeartData[[#This Row],[exang]]="TRUE",1,0)</f>
        <v>0</v>
      </c>
      <c r="K693">
        <f>IF(HeartData[[#This Row],[fbs]]="TRUE",1,0)</f>
        <v>0</v>
      </c>
      <c r="L693">
        <f>IF(HeartData[[#This Row],[ca]]&gt;0,1,0)</f>
        <v>1</v>
      </c>
      <c r="M693">
        <f t="shared" si="31"/>
        <v>2</v>
      </c>
      <c r="N693">
        <f t="shared" si="32"/>
        <v>1</v>
      </c>
    </row>
    <row r="694" spans="1:14" x14ac:dyDescent="0.3">
      <c r="A694">
        <f>HeartData[[#This Row],[id]]</f>
        <v>693</v>
      </c>
      <c r="B694" s="4">
        <f>HeartData[[#This Row],[age]]</f>
        <v>62</v>
      </c>
      <c r="C694" t="str">
        <f>HeartData[[#This Row],[sex]]</f>
        <v>Male</v>
      </c>
      <c r="D694" t="str">
        <f t="shared" si="30"/>
        <v>55-64</v>
      </c>
      <c r="E694" t="str">
        <f>HeartData[[#This Row],[cp]]</f>
        <v>non-anginal</v>
      </c>
      <c r="F694" t="str">
        <f>IF(HeartData[[#This Row],[num]]&gt;0, "Diseased", "Healthy")</f>
        <v>Diseased</v>
      </c>
      <c r="G694">
        <f>IF(HeartData[[#This Row],[chol]]&gt;$P$3, 1, 0)</f>
        <v>0</v>
      </c>
      <c r="H694">
        <f>IF(HeartData[[#This Row],[trestbps]]&gt;$P$4, 1, 0)</f>
        <v>1</v>
      </c>
      <c r="I694">
        <f>IF(HeartData[[#This Row],[oldpeak]]&gt;$P$5,1,0)</f>
        <v>0</v>
      </c>
      <c r="J694">
        <f>IF(HeartData[[#This Row],[exang]]="TRUE",1,0)</f>
        <v>1</v>
      </c>
      <c r="K694">
        <f>IF(HeartData[[#This Row],[fbs]]="TRUE",1,0)</f>
        <v>0</v>
      </c>
      <c r="L694">
        <f>IF(HeartData[[#This Row],[ca]]&gt;0,1,0)</f>
        <v>0</v>
      </c>
      <c r="M694">
        <f t="shared" si="31"/>
        <v>2</v>
      </c>
      <c r="N694">
        <f t="shared" si="32"/>
        <v>1</v>
      </c>
    </row>
    <row r="695" spans="1:14" x14ac:dyDescent="0.3">
      <c r="A695">
        <f>HeartData[[#This Row],[id]]</f>
        <v>694</v>
      </c>
      <c r="B695" s="4">
        <f>HeartData[[#This Row],[age]]</f>
        <v>62</v>
      </c>
      <c r="C695" t="str">
        <f>HeartData[[#This Row],[sex]]</f>
        <v>Male</v>
      </c>
      <c r="D695" t="str">
        <f t="shared" si="30"/>
        <v>55-64</v>
      </c>
      <c r="E695" t="str">
        <f>HeartData[[#This Row],[cp]]</f>
        <v>asymptomatic</v>
      </c>
      <c r="F695" t="str">
        <f>IF(HeartData[[#This Row],[num]]&gt;0, "Diseased", "Healthy")</f>
        <v>Diseased</v>
      </c>
      <c r="G695">
        <f>IF(HeartData[[#This Row],[chol]]&gt;$P$3, 1, 0)</f>
        <v>0</v>
      </c>
      <c r="H695">
        <f>IF(HeartData[[#This Row],[trestbps]]&gt;$P$4, 1, 0)</f>
        <v>1</v>
      </c>
      <c r="I695">
        <f>IF(HeartData[[#This Row],[oldpeak]]&gt;$P$5,1,0)</f>
        <v>1</v>
      </c>
      <c r="J695">
        <f>IF(HeartData[[#This Row],[exang]]="TRUE",1,0)</f>
        <v>1</v>
      </c>
      <c r="K695">
        <f>IF(HeartData[[#This Row],[fbs]]="TRUE",1,0)</f>
        <v>0</v>
      </c>
      <c r="L695">
        <f>IF(HeartData[[#This Row],[ca]]&gt;0,1,0)</f>
        <v>0</v>
      </c>
      <c r="M695">
        <f t="shared" si="31"/>
        <v>3</v>
      </c>
      <c r="N695">
        <f t="shared" si="32"/>
        <v>1</v>
      </c>
    </row>
    <row r="696" spans="1:14" x14ac:dyDescent="0.3">
      <c r="A696">
        <f>HeartData[[#This Row],[id]]</f>
        <v>695</v>
      </c>
      <c r="B696" s="4">
        <f>HeartData[[#This Row],[age]]</f>
        <v>62</v>
      </c>
      <c r="C696" t="str">
        <f>HeartData[[#This Row],[sex]]</f>
        <v>Male</v>
      </c>
      <c r="D696" t="str">
        <f t="shared" si="30"/>
        <v>55-64</v>
      </c>
      <c r="E696" t="str">
        <f>HeartData[[#This Row],[cp]]</f>
        <v>asymptomatic</v>
      </c>
      <c r="F696" t="str">
        <f>IF(HeartData[[#This Row],[num]]&gt;0, "Diseased", "Healthy")</f>
        <v>Diseased</v>
      </c>
      <c r="G696">
        <f>IF(HeartData[[#This Row],[chol]]&gt;$P$3, 1, 0)</f>
        <v>0</v>
      </c>
      <c r="H696">
        <f>IF(HeartData[[#This Row],[trestbps]]&gt;$P$4, 1, 0)</f>
        <v>1</v>
      </c>
      <c r="I696">
        <f>IF(HeartData[[#This Row],[oldpeak]]&gt;$P$5,1,0)</f>
        <v>0</v>
      </c>
      <c r="J696">
        <f>IF(HeartData[[#This Row],[exang]]="TRUE",1,0)</f>
        <v>1</v>
      </c>
      <c r="K696">
        <f>IF(HeartData[[#This Row],[fbs]]="TRUE",1,0)</f>
        <v>0</v>
      </c>
      <c r="L696">
        <f>IF(HeartData[[#This Row],[ca]]&gt;0,1,0)</f>
        <v>0</v>
      </c>
      <c r="M696">
        <f t="shared" si="31"/>
        <v>2</v>
      </c>
      <c r="N696">
        <f t="shared" si="32"/>
        <v>1</v>
      </c>
    </row>
    <row r="697" spans="1:14" x14ac:dyDescent="0.3">
      <c r="A697">
        <f>HeartData[[#This Row],[id]]</f>
        <v>696</v>
      </c>
      <c r="B697" s="4">
        <f>HeartData[[#This Row],[age]]</f>
        <v>62</v>
      </c>
      <c r="C697" t="str">
        <f>HeartData[[#This Row],[sex]]</f>
        <v>Male</v>
      </c>
      <c r="D697" t="str">
        <f t="shared" si="30"/>
        <v>55-64</v>
      </c>
      <c r="E697" t="str">
        <f>HeartData[[#This Row],[cp]]</f>
        <v>asymptomatic</v>
      </c>
      <c r="F697" t="str">
        <f>IF(HeartData[[#This Row],[num]]&gt;0, "Diseased", "Healthy")</f>
        <v>Diseased</v>
      </c>
      <c r="G697">
        <f>IF(HeartData[[#This Row],[chol]]&gt;$P$3, 1, 0)</f>
        <v>0</v>
      </c>
      <c r="H697">
        <f>IF(HeartData[[#This Row],[trestbps]]&gt;$P$4, 1, 0)</f>
        <v>1</v>
      </c>
      <c r="I697">
        <f>IF(HeartData[[#This Row],[oldpeak]]&gt;$P$5,1,0)</f>
        <v>1</v>
      </c>
      <c r="J697">
        <f>IF(HeartData[[#This Row],[exang]]="TRUE",1,0)</f>
        <v>0</v>
      </c>
      <c r="K697">
        <f>IF(HeartData[[#This Row],[fbs]]="TRUE",1,0)</f>
        <v>0</v>
      </c>
      <c r="L697">
        <f>IF(HeartData[[#This Row],[ca]]&gt;0,1,0)</f>
        <v>0</v>
      </c>
      <c r="M697">
        <f t="shared" si="31"/>
        <v>2</v>
      </c>
      <c r="N697">
        <f t="shared" si="32"/>
        <v>1</v>
      </c>
    </row>
    <row r="698" spans="1:14" x14ac:dyDescent="0.3">
      <c r="A698">
        <f>HeartData[[#This Row],[id]]</f>
        <v>697</v>
      </c>
      <c r="B698" s="4">
        <f>HeartData[[#This Row],[age]]</f>
        <v>63</v>
      </c>
      <c r="C698" t="str">
        <f>HeartData[[#This Row],[sex]]</f>
        <v>Male</v>
      </c>
      <c r="D698" t="str">
        <f t="shared" si="30"/>
        <v>55-64</v>
      </c>
      <c r="E698" t="str">
        <f>HeartData[[#This Row],[cp]]</f>
        <v>asymptomatic</v>
      </c>
      <c r="F698" t="str">
        <f>IF(HeartData[[#This Row],[num]]&gt;0, "Diseased", "Healthy")</f>
        <v>Diseased</v>
      </c>
      <c r="G698">
        <f>IF(HeartData[[#This Row],[chol]]&gt;$P$3, 1, 0)</f>
        <v>0</v>
      </c>
      <c r="H698">
        <f>IF(HeartData[[#This Row],[trestbps]]&gt;$P$4, 1, 0)</f>
        <v>1</v>
      </c>
      <c r="I698">
        <f>IF(HeartData[[#This Row],[oldpeak]]&gt;$P$5,1,0)</f>
        <v>0</v>
      </c>
      <c r="J698">
        <f>IF(HeartData[[#This Row],[exang]]="TRUE",1,0)</f>
        <v>0</v>
      </c>
      <c r="K698">
        <f>IF(HeartData[[#This Row],[fbs]]="TRUE",1,0)</f>
        <v>0</v>
      </c>
      <c r="L698">
        <f>IF(HeartData[[#This Row],[ca]]&gt;0,1,0)</f>
        <v>0</v>
      </c>
      <c r="M698">
        <f t="shared" si="31"/>
        <v>1</v>
      </c>
      <c r="N698">
        <f t="shared" si="32"/>
        <v>1</v>
      </c>
    </row>
    <row r="699" spans="1:14" x14ac:dyDescent="0.3">
      <c r="A699">
        <f>HeartData[[#This Row],[id]]</f>
        <v>698</v>
      </c>
      <c r="B699" s="4">
        <f>HeartData[[#This Row],[age]]</f>
        <v>63</v>
      </c>
      <c r="C699" t="str">
        <f>HeartData[[#This Row],[sex]]</f>
        <v>Male</v>
      </c>
      <c r="D699" t="str">
        <f t="shared" si="30"/>
        <v>55-64</v>
      </c>
      <c r="E699" t="str">
        <f>HeartData[[#This Row],[cp]]</f>
        <v>asymptomatic</v>
      </c>
      <c r="F699" t="str">
        <f>IF(HeartData[[#This Row],[num]]&gt;0, "Diseased", "Healthy")</f>
        <v>Diseased</v>
      </c>
      <c r="G699">
        <f>IF(HeartData[[#This Row],[chol]]&gt;$P$3, 1, 0)</f>
        <v>0</v>
      </c>
      <c r="H699">
        <f>IF(HeartData[[#This Row],[trestbps]]&gt;$P$4, 1, 0)</f>
        <v>1</v>
      </c>
      <c r="I699">
        <f>IF(HeartData[[#This Row],[oldpeak]]&gt;$P$5,1,0)</f>
        <v>1</v>
      </c>
      <c r="J699">
        <f>IF(HeartData[[#This Row],[exang]]="TRUE",1,0)</f>
        <v>0</v>
      </c>
      <c r="K699">
        <f>IF(HeartData[[#This Row],[fbs]]="TRUE",1,0)</f>
        <v>0</v>
      </c>
      <c r="L699">
        <f>IF(HeartData[[#This Row],[ca]]&gt;0,1,0)</f>
        <v>0</v>
      </c>
      <c r="M699">
        <f t="shared" si="31"/>
        <v>2</v>
      </c>
      <c r="N699">
        <f t="shared" si="32"/>
        <v>1</v>
      </c>
    </row>
    <row r="700" spans="1:14" x14ac:dyDescent="0.3">
      <c r="A700">
        <f>HeartData[[#This Row],[id]]</f>
        <v>699</v>
      </c>
      <c r="B700" s="4">
        <f>HeartData[[#This Row],[age]]</f>
        <v>63</v>
      </c>
      <c r="C700" t="str">
        <f>HeartData[[#This Row],[sex]]</f>
        <v>Male</v>
      </c>
      <c r="D700" t="str">
        <f t="shared" si="30"/>
        <v>55-64</v>
      </c>
      <c r="E700" t="str">
        <f>HeartData[[#This Row],[cp]]</f>
        <v>asymptomatic</v>
      </c>
      <c r="F700" t="str">
        <f>IF(HeartData[[#This Row],[num]]&gt;0, "Diseased", "Healthy")</f>
        <v>Diseased</v>
      </c>
      <c r="G700">
        <f>IF(HeartData[[#This Row],[chol]]&gt;$P$3, 1, 0)</f>
        <v>0</v>
      </c>
      <c r="H700">
        <f>IF(HeartData[[#This Row],[trestbps]]&gt;$P$4, 1, 0)</f>
        <v>1</v>
      </c>
      <c r="I700">
        <f>IF(HeartData[[#This Row],[oldpeak]]&gt;$P$5,1,0)</f>
        <v>1</v>
      </c>
      <c r="J700">
        <f>IF(HeartData[[#This Row],[exang]]="TRUE",1,0)</f>
        <v>1</v>
      </c>
      <c r="K700">
        <f>IF(HeartData[[#This Row],[fbs]]="TRUE",1,0)</f>
        <v>0</v>
      </c>
      <c r="L700">
        <f>IF(HeartData[[#This Row],[ca]]&gt;0,1,0)</f>
        <v>0</v>
      </c>
      <c r="M700">
        <f t="shared" si="31"/>
        <v>3</v>
      </c>
      <c r="N700">
        <f t="shared" si="32"/>
        <v>1</v>
      </c>
    </row>
    <row r="701" spans="1:14" x14ac:dyDescent="0.3">
      <c r="A701">
        <f>HeartData[[#This Row],[id]]</f>
        <v>700</v>
      </c>
      <c r="B701" s="4">
        <f>HeartData[[#This Row],[age]]</f>
        <v>63</v>
      </c>
      <c r="C701" t="str">
        <f>HeartData[[#This Row],[sex]]</f>
        <v>Male</v>
      </c>
      <c r="D701" t="str">
        <f t="shared" si="30"/>
        <v>55-64</v>
      </c>
      <c r="E701" t="str">
        <f>HeartData[[#This Row],[cp]]</f>
        <v>asymptomatic</v>
      </c>
      <c r="F701" t="str">
        <f>IF(HeartData[[#This Row],[num]]&gt;0, "Diseased", "Healthy")</f>
        <v>Diseased</v>
      </c>
      <c r="G701">
        <f>IF(HeartData[[#This Row],[chol]]&gt;$P$3, 1, 0)</f>
        <v>0</v>
      </c>
      <c r="H701">
        <f>IF(HeartData[[#This Row],[trestbps]]&gt;$P$4, 1, 0)</f>
        <v>1</v>
      </c>
      <c r="I701">
        <f>IF(HeartData[[#This Row],[oldpeak]]&gt;$P$5,1,0)</f>
        <v>1</v>
      </c>
      <c r="J701">
        <f>IF(HeartData[[#This Row],[exang]]="TRUE",1,0)</f>
        <v>0</v>
      </c>
      <c r="K701">
        <f>IF(HeartData[[#This Row],[fbs]]="TRUE",1,0)</f>
        <v>0</v>
      </c>
      <c r="L701">
        <f>IF(HeartData[[#This Row],[ca]]&gt;0,1,0)</f>
        <v>0</v>
      </c>
      <c r="M701">
        <f t="shared" si="31"/>
        <v>2</v>
      </c>
      <c r="N701">
        <f t="shared" si="32"/>
        <v>1</v>
      </c>
    </row>
    <row r="702" spans="1:14" x14ac:dyDescent="0.3">
      <c r="A702">
        <f>HeartData[[#This Row],[id]]</f>
        <v>701</v>
      </c>
      <c r="B702" s="4">
        <f>HeartData[[#This Row],[age]]</f>
        <v>63</v>
      </c>
      <c r="C702" t="str">
        <f>HeartData[[#This Row],[sex]]</f>
        <v>Male</v>
      </c>
      <c r="D702" t="str">
        <f t="shared" si="30"/>
        <v>55-64</v>
      </c>
      <c r="E702" t="str">
        <f>HeartData[[#This Row],[cp]]</f>
        <v>asymptomatic</v>
      </c>
      <c r="F702" t="str">
        <f>IF(HeartData[[#This Row],[num]]&gt;0, "Diseased", "Healthy")</f>
        <v>Diseased</v>
      </c>
      <c r="G702">
        <f>IF(HeartData[[#This Row],[chol]]&gt;$P$3, 1, 0)</f>
        <v>0</v>
      </c>
      <c r="H702">
        <f>IF(HeartData[[#This Row],[trestbps]]&gt;$P$4, 1, 0)</f>
        <v>1</v>
      </c>
      <c r="I702">
        <f>IF(HeartData[[#This Row],[oldpeak]]&gt;$P$5,1,0)</f>
        <v>0</v>
      </c>
      <c r="J702">
        <f>IF(HeartData[[#This Row],[exang]]="TRUE",1,0)</f>
        <v>1</v>
      </c>
      <c r="K702">
        <f>IF(HeartData[[#This Row],[fbs]]="TRUE",1,0)</f>
        <v>0</v>
      </c>
      <c r="L702">
        <f>IF(HeartData[[#This Row],[ca]]&gt;0,1,0)</f>
        <v>0</v>
      </c>
      <c r="M702">
        <f t="shared" si="31"/>
        <v>2</v>
      </c>
      <c r="N702">
        <f t="shared" si="32"/>
        <v>1</v>
      </c>
    </row>
    <row r="703" spans="1:14" x14ac:dyDescent="0.3">
      <c r="A703">
        <f>HeartData[[#This Row],[id]]</f>
        <v>702</v>
      </c>
      <c r="B703" s="4">
        <f>HeartData[[#This Row],[age]]</f>
        <v>64</v>
      </c>
      <c r="C703" t="str">
        <f>HeartData[[#This Row],[sex]]</f>
        <v>Female</v>
      </c>
      <c r="D703" t="str">
        <f t="shared" si="30"/>
        <v>55-64</v>
      </c>
      <c r="E703" t="str">
        <f>HeartData[[#This Row],[cp]]</f>
        <v>asymptomatic</v>
      </c>
      <c r="F703" t="str">
        <f>IF(HeartData[[#This Row],[num]]&gt;0, "Diseased", "Healthy")</f>
        <v>Diseased</v>
      </c>
      <c r="G703">
        <f>IF(HeartData[[#This Row],[chol]]&gt;$P$3, 1, 0)</f>
        <v>0</v>
      </c>
      <c r="H703">
        <f>IF(HeartData[[#This Row],[trestbps]]&gt;$P$4, 1, 0)</f>
        <v>1</v>
      </c>
      <c r="I703">
        <f>IF(HeartData[[#This Row],[oldpeak]]&gt;$P$5,1,0)</f>
        <v>1</v>
      </c>
      <c r="J703">
        <f>IF(HeartData[[#This Row],[exang]]="TRUE",1,0)</f>
        <v>1</v>
      </c>
      <c r="K703">
        <f>IF(HeartData[[#This Row],[fbs]]="TRUE",1,0)</f>
        <v>0</v>
      </c>
      <c r="L703">
        <f>IF(HeartData[[#This Row],[ca]]&gt;0,1,0)</f>
        <v>0</v>
      </c>
      <c r="M703">
        <f t="shared" si="31"/>
        <v>3</v>
      </c>
      <c r="N703">
        <f t="shared" si="32"/>
        <v>1</v>
      </c>
    </row>
    <row r="704" spans="1:14" x14ac:dyDescent="0.3">
      <c r="A704">
        <f>HeartData[[#This Row],[id]]</f>
        <v>703</v>
      </c>
      <c r="B704" s="4">
        <f>HeartData[[#This Row],[age]]</f>
        <v>64</v>
      </c>
      <c r="C704" t="str">
        <f>HeartData[[#This Row],[sex]]</f>
        <v>Female</v>
      </c>
      <c r="D704" t="str">
        <f t="shared" si="30"/>
        <v>55-64</v>
      </c>
      <c r="E704" t="str">
        <f>HeartData[[#This Row],[cp]]</f>
        <v>asymptomatic</v>
      </c>
      <c r="F704" t="str">
        <f>IF(HeartData[[#This Row],[num]]&gt;0, "Diseased", "Healthy")</f>
        <v>Diseased</v>
      </c>
      <c r="G704">
        <f>IF(HeartData[[#This Row],[chol]]&gt;$P$3, 1, 0)</f>
        <v>0</v>
      </c>
      <c r="H704">
        <f>IF(HeartData[[#This Row],[trestbps]]&gt;$P$4, 1, 0)</f>
        <v>1</v>
      </c>
      <c r="I704">
        <f>IF(HeartData[[#This Row],[oldpeak]]&gt;$P$5,1,0)</f>
        <v>1</v>
      </c>
      <c r="J704">
        <f>IF(HeartData[[#This Row],[exang]]="TRUE",1,0)</f>
        <v>0</v>
      </c>
      <c r="K704">
        <f>IF(HeartData[[#This Row],[fbs]]="TRUE",1,0)</f>
        <v>0</v>
      </c>
      <c r="L704">
        <f>IF(HeartData[[#This Row],[ca]]&gt;0,1,0)</f>
        <v>0</v>
      </c>
      <c r="M704">
        <f t="shared" si="31"/>
        <v>2</v>
      </c>
      <c r="N704">
        <f t="shared" si="32"/>
        <v>1</v>
      </c>
    </row>
    <row r="705" spans="1:14" x14ac:dyDescent="0.3">
      <c r="A705">
        <f>HeartData[[#This Row],[id]]</f>
        <v>704</v>
      </c>
      <c r="B705" s="4">
        <f>HeartData[[#This Row],[age]]</f>
        <v>64</v>
      </c>
      <c r="C705" t="str">
        <f>HeartData[[#This Row],[sex]]</f>
        <v>Male</v>
      </c>
      <c r="D705" t="str">
        <f t="shared" si="30"/>
        <v>55-64</v>
      </c>
      <c r="E705" t="str">
        <f>HeartData[[#This Row],[cp]]</f>
        <v>asymptomatic</v>
      </c>
      <c r="F705" t="str">
        <f>IF(HeartData[[#This Row],[num]]&gt;0, "Diseased", "Healthy")</f>
        <v>Diseased</v>
      </c>
      <c r="G705">
        <f>IF(HeartData[[#This Row],[chol]]&gt;$P$3, 1, 0)</f>
        <v>0</v>
      </c>
      <c r="H705">
        <f>IF(HeartData[[#This Row],[trestbps]]&gt;$P$4, 1, 0)</f>
        <v>1</v>
      </c>
      <c r="I705">
        <f>IF(HeartData[[#This Row],[oldpeak]]&gt;$P$5,1,0)</f>
        <v>1</v>
      </c>
      <c r="J705">
        <f>IF(HeartData[[#This Row],[exang]]="TRUE",1,0)</f>
        <v>1</v>
      </c>
      <c r="K705">
        <f>IF(HeartData[[#This Row],[fbs]]="TRUE",1,0)</f>
        <v>0</v>
      </c>
      <c r="L705">
        <f>IF(HeartData[[#This Row],[ca]]&gt;0,1,0)</f>
        <v>0</v>
      </c>
      <c r="M705">
        <f t="shared" si="31"/>
        <v>3</v>
      </c>
      <c r="N705">
        <f t="shared" si="32"/>
        <v>1</v>
      </c>
    </row>
    <row r="706" spans="1:14" x14ac:dyDescent="0.3">
      <c r="A706">
        <f>HeartData[[#This Row],[id]]</f>
        <v>705</v>
      </c>
      <c r="B706" s="4">
        <f>HeartData[[#This Row],[age]]</f>
        <v>65</v>
      </c>
      <c r="C706" t="str">
        <f>HeartData[[#This Row],[sex]]</f>
        <v>Male</v>
      </c>
      <c r="D706" t="str">
        <f t="shared" ref="D706:D769" si="33">IF(B706&lt;45,"Under 45",IF(B706&lt;=54,"45-54",IF(B706&lt;=64,"55-64","65+")))</f>
        <v>65+</v>
      </c>
      <c r="E706" t="str">
        <f>HeartData[[#This Row],[cp]]</f>
        <v>asymptomatic</v>
      </c>
      <c r="F706" t="str">
        <f>IF(HeartData[[#This Row],[num]]&gt;0, "Diseased", "Healthy")</f>
        <v>Diseased</v>
      </c>
      <c r="G706">
        <f>IF(HeartData[[#This Row],[chol]]&gt;$P$3, 1, 0)</f>
        <v>0</v>
      </c>
      <c r="H706">
        <f>IF(HeartData[[#This Row],[trestbps]]&gt;$P$4, 1, 0)</f>
        <v>1</v>
      </c>
      <c r="I706">
        <f>IF(HeartData[[#This Row],[oldpeak]]&gt;$P$5,1,0)</f>
        <v>0</v>
      </c>
      <c r="J706">
        <f>IF(HeartData[[#This Row],[exang]]="TRUE",1,0)</f>
        <v>1</v>
      </c>
      <c r="K706">
        <f>IF(HeartData[[#This Row],[fbs]]="TRUE",1,0)</f>
        <v>0</v>
      </c>
      <c r="L706">
        <f>IF(HeartData[[#This Row],[ca]]&gt;0,1,0)</f>
        <v>0</v>
      </c>
      <c r="M706">
        <f t="shared" si="31"/>
        <v>2</v>
      </c>
      <c r="N706">
        <f t="shared" si="32"/>
        <v>1</v>
      </c>
    </row>
    <row r="707" spans="1:14" x14ac:dyDescent="0.3">
      <c r="A707">
        <f>HeartData[[#This Row],[id]]</f>
        <v>706</v>
      </c>
      <c r="B707" s="4">
        <f>HeartData[[#This Row],[age]]</f>
        <v>65</v>
      </c>
      <c r="C707" t="str">
        <f>HeartData[[#This Row],[sex]]</f>
        <v>Male</v>
      </c>
      <c r="D707" t="str">
        <f t="shared" si="33"/>
        <v>65+</v>
      </c>
      <c r="E707" t="str">
        <f>HeartData[[#This Row],[cp]]</f>
        <v>asymptomatic</v>
      </c>
      <c r="F707" t="str">
        <f>IF(HeartData[[#This Row],[num]]&gt;0, "Diseased", "Healthy")</f>
        <v>Diseased</v>
      </c>
      <c r="G707">
        <f>IF(HeartData[[#This Row],[chol]]&gt;$P$3, 1, 0)</f>
        <v>0</v>
      </c>
      <c r="H707">
        <f>IF(HeartData[[#This Row],[trestbps]]&gt;$P$4, 1, 0)</f>
        <v>1</v>
      </c>
      <c r="I707">
        <f>IF(HeartData[[#This Row],[oldpeak]]&gt;$P$5,1,0)</f>
        <v>0</v>
      </c>
      <c r="J707">
        <f>IF(HeartData[[#This Row],[exang]]="TRUE",1,0)</f>
        <v>0</v>
      </c>
      <c r="K707">
        <f>IF(HeartData[[#This Row],[fbs]]="TRUE",1,0)</f>
        <v>0</v>
      </c>
      <c r="L707">
        <f>IF(HeartData[[#This Row],[ca]]&gt;0,1,0)</f>
        <v>0</v>
      </c>
      <c r="M707">
        <f t="shared" ref="M707:M770" si="34">G707+H707+I707+J707+K707+L707</f>
        <v>1</v>
      </c>
      <c r="N707">
        <f t="shared" ref="N707:N770" si="35">IF(F707="Diseased",1,0)</f>
        <v>1</v>
      </c>
    </row>
    <row r="708" spans="1:14" x14ac:dyDescent="0.3">
      <c r="A708">
        <f>HeartData[[#This Row],[id]]</f>
        <v>707</v>
      </c>
      <c r="B708" s="4">
        <f>HeartData[[#This Row],[age]]</f>
        <v>65</v>
      </c>
      <c r="C708" t="str">
        <f>HeartData[[#This Row],[sex]]</f>
        <v>Male</v>
      </c>
      <c r="D708" t="str">
        <f t="shared" si="33"/>
        <v>65+</v>
      </c>
      <c r="E708" t="str">
        <f>HeartData[[#This Row],[cp]]</f>
        <v>asymptomatic</v>
      </c>
      <c r="F708" t="str">
        <f>IF(HeartData[[#This Row],[num]]&gt;0, "Diseased", "Healthy")</f>
        <v>Healthy</v>
      </c>
      <c r="G708">
        <f>IF(HeartData[[#This Row],[chol]]&gt;$P$3, 1, 0)</f>
        <v>0</v>
      </c>
      <c r="H708">
        <f>IF(HeartData[[#This Row],[trestbps]]&gt;$P$4, 1, 0)</f>
        <v>1</v>
      </c>
      <c r="I708">
        <f>IF(HeartData[[#This Row],[oldpeak]]&gt;$P$5,1,0)</f>
        <v>1</v>
      </c>
      <c r="J708">
        <f>IF(HeartData[[#This Row],[exang]]="TRUE",1,0)</f>
        <v>0</v>
      </c>
      <c r="K708">
        <f>IF(HeartData[[#This Row],[fbs]]="TRUE",1,0)</f>
        <v>0</v>
      </c>
      <c r="L708">
        <f>IF(HeartData[[#This Row],[ca]]&gt;0,1,0)</f>
        <v>0</v>
      </c>
      <c r="M708">
        <f t="shared" si="34"/>
        <v>2</v>
      </c>
      <c r="N708">
        <f t="shared" si="35"/>
        <v>0</v>
      </c>
    </row>
    <row r="709" spans="1:14" x14ac:dyDescent="0.3">
      <c r="A709">
        <f>HeartData[[#This Row],[id]]</f>
        <v>708</v>
      </c>
      <c r="B709" s="4">
        <f>HeartData[[#This Row],[age]]</f>
        <v>65</v>
      </c>
      <c r="C709" t="str">
        <f>HeartData[[#This Row],[sex]]</f>
        <v>Male</v>
      </c>
      <c r="D709" t="str">
        <f t="shared" si="33"/>
        <v>65+</v>
      </c>
      <c r="E709" t="str">
        <f>HeartData[[#This Row],[cp]]</f>
        <v>asymptomatic</v>
      </c>
      <c r="F709" t="str">
        <f>IF(HeartData[[#This Row],[num]]&gt;0, "Diseased", "Healthy")</f>
        <v>Diseased</v>
      </c>
      <c r="G709">
        <f>IF(HeartData[[#This Row],[chol]]&gt;$P$3, 1, 0)</f>
        <v>0</v>
      </c>
      <c r="H709">
        <f>IF(HeartData[[#This Row],[trestbps]]&gt;$P$4, 1, 0)</f>
        <v>1</v>
      </c>
      <c r="I709">
        <f>IF(HeartData[[#This Row],[oldpeak]]&gt;$P$5,1,0)</f>
        <v>0</v>
      </c>
      <c r="J709">
        <f>IF(HeartData[[#This Row],[exang]]="TRUE",1,0)</f>
        <v>0</v>
      </c>
      <c r="K709">
        <f>IF(HeartData[[#This Row],[fbs]]="TRUE",1,0)</f>
        <v>1</v>
      </c>
      <c r="L709">
        <f>IF(HeartData[[#This Row],[ca]]&gt;0,1,0)</f>
        <v>0</v>
      </c>
      <c r="M709">
        <f t="shared" si="34"/>
        <v>2</v>
      </c>
      <c r="N709">
        <f t="shared" si="35"/>
        <v>1</v>
      </c>
    </row>
    <row r="710" spans="1:14" x14ac:dyDescent="0.3">
      <c r="A710">
        <f>HeartData[[#This Row],[id]]</f>
        <v>709</v>
      </c>
      <c r="B710" s="4">
        <f>HeartData[[#This Row],[age]]</f>
        <v>66</v>
      </c>
      <c r="C710" t="str">
        <f>HeartData[[#This Row],[sex]]</f>
        <v>Female</v>
      </c>
      <c r="D710" t="str">
        <f t="shared" si="33"/>
        <v>65+</v>
      </c>
      <c r="E710" t="str">
        <f>HeartData[[#This Row],[cp]]</f>
        <v>asymptomatic</v>
      </c>
      <c r="F710" t="str">
        <f>IF(HeartData[[#This Row],[num]]&gt;0, "Diseased", "Healthy")</f>
        <v>Diseased</v>
      </c>
      <c r="G710">
        <f>IF(HeartData[[#This Row],[chol]]&gt;$P$3, 1, 0)</f>
        <v>0</v>
      </c>
      <c r="H710">
        <f>IF(HeartData[[#This Row],[trestbps]]&gt;$P$4, 1, 0)</f>
        <v>1</v>
      </c>
      <c r="I710">
        <f>IF(HeartData[[#This Row],[oldpeak]]&gt;$P$5,1,0)</f>
        <v>0</v>
      </c>
      <c r="J710">
        <f>IF(HeartData[[#This Row],[exang]]="TRUE",1,0)</f>
        <v>0</v>
      </c>
      <c r="K710">
        <f>IF(HeartData[[#This Row],[fbs]]="TRUE",1,0)</f>
        <v>0</v>
      </c>
      <c r="L710">
        <f>IF(HeartData[[#This Row],[ca]]&gt;0,1,0)</f>
        <v>0</v>
      </c>
      <c r="M710">
        <f t="shared" si="34"/>
        <v>1</v>
      </c>
      <c r="N710">
        <f t="shared" si="35"/>
        <v>1</v>
      </c>
    </row>
    <row r="711" spans="1:14" x14ac:dyDescent="0.3">
      <c r="A711">
        <f>HeartData[[#This Row],[id]]</f>
        <v>710</v>
      </c>
      <c r="B711" s="4">
        <f>HeartData[[#This Row],[age]]</f>
        <v>66</v>
      </c>
      <c r="C711" t="str">
        <f>HeartData[[#This Row],[sex]]</f>
        <v>Male</v>
      </c>
      <c r="D711" t="str">
        <f t="shared" si="33"/>
        <v>65+</v>
      </c>
      <c r="E711" t="str">
        <f>HeartData[[#This Row],[cp]]</f>
        <v>asymptomatic</v>
      </c>
      <c r="F711" t="str">
        <f>IF(HeartData[[#This Row],[num]]&gt;0, "Diseased", "Healthy")</f>
        <v>Diseased</v>
      </c>
      <c r="G711">
        <f>IF(HeartData[[#This Row],[chol]]&gt;$P$3, 1, 0)</f>
        <v>0</v>
      </c>
      <c r="H711">
        <f>IF(HeartData[[#This Row],[trestbps]]&gt;$P$4, 1, 0)</f>
        <v>1</v>
      </c>
      <c r="I711">
        <f>IF(HeartData[[#This Row],[oldpeak]]&gt;$P$5,1,0)</f>
        <v>1</v>
      </c>
      <c r="J711">
        <f>IF(HeartData[[#This Row],[exang]]="TRUE",1,0)</f>
        <v>1</v>
      </c>
      <c r="K711">
        <f>IF(HeartData[[#This Row],[fbs]]="TRUE",1,0)</f>
        <v>0</v>
      </c>
      <c r="L711">
        <f>IF(HeartData[[#This Row],[ca]]&gt;0,1,0)</f>
        <v>0</v>
      </c>
      <c r="M711">
        <f t="shared" si="34"/>
        <v>3</v>
      </c>
      <c r="N711">
        <f t="shared" si="35"/>
        <v>1</v>
      </c>
    </row>
    <row r="712" spans="1:14" x14ac:dyDescent="0.3">
      <c r="A712">
        <f>HeartData[[#This Row],[id]]</f>
        <v>711</v>
      </c>
      <c r="B712" s="4">
        <f>HeartData[[#This Row],[age]]</f>
        <v>67</v>
      </c>
      <c r="C712" t="str">
        <f>HeartData[[#This Row],[sex]]</f>
        <v>Male</v>
      </c>
      <c r="D712" t="str">
        <f t="shared" si="33"/>
        <v>65+</v>
      </c>
      <c r="E712" t="str">
        <f>HeartData[[#This Row],[cp]]</f>
        <v>typical angina</v>
      </c>
      <c r="F712" t="str">
        <f>IF(HeartData[[#This Row],[num]]&gt;0, "Diseased", "Healthy")</f>
        <v>Diseased</v>
      </c>
      <c r="G712">
        <f>IF(HeartData[[#This Row],[chol]]&gt;$P$3, 1, 0)</f>
        <v>0</v>
      </c>
      <c r="H712">
        <f>IF(HeartData[[#This Row],[trestbps]]&gt;$P$4, 1, 0)</f>
        <v>1</v>
      </c>
      <c r="I712">
        <f>IF(HeartData[[#This Row],[oldpeak]]&gt;$P$5,1,0)</f>
        <v>0</v>
      </c>
      <c r="J712">
        <f>IF(HeartData[[#This Row],[exang]]="TRUE",1,0)</f>
        <v>0</v>
      </c>
      <c r="K712">
        <f>IF(HeartData[[#This Row],[fbs]]="TRUE",1,0)</f>
        <v>0</v>
      </c>
      <c r="L712">
        <f>IF(HeartData[[#This Row],[ca]]&gt;0,1,0)</f>
        <v>0</v>
      </c>
      <c r="M712">
        <f t="shared" si="34"/>
        <v>1</v>
      </c>
      <c r="N712">
        <f t="shared" si="35"/>
        <v>1</v>
      </c>
    </row>
    <row r="713" spans="1:14" x14ac:dyDescent="0.3">
      <c r="A713">
        <f>HeartData[[#This Row],[id]]</f>
        <v>712</v>
      </c>
      <c r="B713" s="4">
        <f>HeartData[[#This Row],[age]]</f>
        <v>68</v>
      </c>
      <c r="C713" t="str">
        <f>HeartData[[#This Row],[sex]]</f>
        <v>Male</v>
      </c>
      <c r="D713" t="str">
        <f t="shared" si="33"/>
        <v>65+</v>
      </c>
      <c r="E713" t="str">
        <f>HeartData[[#This Row],[cp]]</f>
        <v>asymptomatic</v>
      </c>
      <c r="F713" t="str">
        <f>IF(HeartData[[#This Row],[num]]&gt;0, "Diseased", "Healthy")</f>
        <v>Diseased</v>
      </c>
      <c r="G713">
        <f>IF(HeartData[[#This Row],[chol]]&gt;$P$3, 1, 0)</f>
        <v>0</v>
      </c>
      <c r="H713">
        <f>IF(HeartData[[#This Row],[trestbps]]&gt;$P$4, 1, 0)</f>
        <v>1</v>
      </c>
      <c r="I713">
        <f>IF(HeartData[[#This Row],[oldpeak]]&gt;$P$5,1,0)</f>
        <v>0</v>
      </c>
      <c r="J713">
        <f>IF(HeartData[[#This Row],[exang]]="TRUE",1,0)</f>
        <v>1</v>
      </c>
      <c r="K713">
        <f>IF(HeartData[[#This Row],[fbs]]="TRUE",1,0)</f>
        <v>0</v>
      </c>
      <c r="L713">
        <f>IF(HeartData[[#This Row],[ca]]&gt;0,1,0)</f>
        <v>0</v>
      </c>
      <c r="M713">
        <f t="shared" si="34"/>
        <v>2</v>
      </c>
      <c r="N713">
        <f t="shared" si="35"/>
        <v>1</v>
      </c>
    </row>
    <row r="714" spans="1:14" x14ac:dyDescent="0.3">
      <c r="A714">
        <f>HeartData[[#This Row],[id]]</f>
        <v>713</v>
      </c>
      <c r="B714" s="4">
        <f>HeartData[[#This Row],[age]]</f>
        <v>68</v>
      </c>
      <c r="C714" t="str">
        <f>HeartData[[#This Row],[sex]]</f>
        <v>Male</v>
      </c>
      <c r="D714" t="str">
        <f t="shared" si="33"/>
        <v>65+</v>
      </c>
      <c r="E714" t="str">
        <f>HeartData[[#This Row],[cp]]</f>
        <v>asymptomatic</v>
      </c>
      <c r="F714" t="str">
        <f>IF(HeartData[[#This Row],[num]]&gt;0, "Diseased", "Healthy")</f>
        <v>Diseased</v>
      </c>
      <c r="G714">
        <f>IF(HeartData[[#This Row],[chol]]&gt;$P$3, 1, 0)</f>
        <v>0</v>
      </c>
      <c r="H714">
        <f>IF(HeartData[[#This Row],[trestbps]]&gt;$P$4, 1, 0)</f>
        <v>1</v>
      </c>
      <c r="I714">
        <f>IF(HeartData[[#This Row],[oldpeak]]&gt;$P$5,1,0)</f>
        <v>1</v>
      </c>
      <c r="J714">
        <f>IF(HeartData[[#This Row],[exang]]="TRUE",1,0)</f>
        <v>0</v>
      </c>
      <c r="K714">
        <f>IF(HeartData[[#This Row],[fbs]]="TRUE",1,0)</f>
        <v>0</v>
      </c>
      <c r="L714">
        <f>IF(HeartData[[#This Row],[ca]]&gt;0,1,0)</f>
        <v>0</v>
      </c>
      <c r="M714">
        <f t="shared" si="34"/>
        <v>2</v>
      </c>
      <c r="N714">
        <f t="shared" si="35"/>
        <v>1</v>
      </c>
    </row>
    <row r="715" spans="1:14" x14ac:dyDescent="0.3">
      <c r="A715">
        <f>HeartData[[#This Row],[id]]</f>
        <v>714</v>
      </c>
      <c r="B715" s="4">
        <f>HeartData[[#This Row],[age]]</f>
        <v>69</v>
      </c>
      <c r="C715" t="str">
        <f>HeartData[[#This Row],[sex]]</f>
        <v>Male</v>
      </c>
      <c r="D715" t="str">
        <f t="shared" si="33"/>
        <v>65+</v>
      </c>
      <c r="E715" t="str">
        <f>HeartData[[#This Row],[cp]]</f>
        <v>asymptomatic</v>
      </c>
      <c r="F715" t="str">
        <f>IF(HeartData[[#This Row],[num]]&gt;0, "Diseased", "Healthy")</f>
        <v>Diseased</v>
      </c>
      <c r="G715">
        <f>IF(HeartData[[#This Row],[chol]]&gt;$P$3, 1, 0)</f>
        <v>0</v>
      </c>
      <c r="H715">
        <f>IF(HeartData[[#This Row],[trestbps]]&gt;$P$4, 1, 0)</f>
        <v>1</v>
      </c>
      <c r="I715">
        <f>IF(HeartData[[#This Row],[oldpeak]]&gt;$P$5,1,0)</f>
        <v>0</v>
      </c>
      <c r="J715">
        <f>IF(HeartData[[#This Row],[exang]]="TRUE",1,0)</f>
        <v>0</v>
      </c>
      <c r="K715">
        <f>IF(HeartData[[#This Row],[fbs]]="TRUE",1,0)</f>
        <v>0</v>
      </c>
      <c r="L715">
        <f>IF(HeartData[[#This Row],[ca]]&gt;0,1,0)</f>
        <v>0</v>
      </c>
      <c r="M715">
        <f t="shared" si="34"/>
        <v>1</v>
      </c>
      <c r="N715">
        <f t="shared" si="35"/>
        <v>1</v>
      </c>
    </row>
    <row r="716" spans="1:14" x14ac:dyDescent="0.3">
      <c r="A716">
        <f>HeartData[[#This Row],[id]]</f>
        <v>715</v>
      </c>
      <c r="B716" s="4">
        <f>HeartData[[#This Row],[age]]</f>
        <v>69</v>
      </c>
      <c r="C716" t="str">
        <f>HeartData[[#This Row],[sex]]</f>
        <v>Male</v>
      </c>
      <c r="D716" t="str">
        <f t="shared" si="33"/>
        <v>65+</v>
      </c>
      <c r="E716" t="str">
        <f>HeartData[[#This Row],[cp]]</f>
        <v>asymptomatic</v>
      </c>
      <c r="F716" t="str">
        <f>IF(HeartData[[#This Row],[num]]&gt;0, "Diseased", "Healthy")</f>
        <v>Diseased</v>
      </c>
      <c r="G716">
        <f>IF(HeartData[[#This Row],[chol]]&gt;$P$3, 1, 0)</f>
        <v>0</v>
      </c>
      <c r="H716">
        <f>IF(HeartData[[#This Row],[trestbps]]&gt;$P$4, 1, 0)</f>
        <v>0</v>
      </c>
      <c r="I716">
        <f>IF(HeartData[[#This Row],[oldpeak]]&gt;$P$5,1,0)</f>
        <v>0</v>
      </c>
      <c r="J716">
        <f>IF(HeartData[[#This Row],[exang]]="TRUE",1,0)</f>
        <v>0</v>
      </c>
      <c r="K716">
        <f>IF(HeartData[[#This Row],[fbs]]="TRUE",1,0)</f>
        <v>0</v>
      </c>
      <c r="L716">
        <f>IF(HeartData[[#This Row],[ca]]&gt;0,1,0)</f>
        <v>0</v>
      </c>
      <c r="M716">
        <f t="shared" si="34"/>
        <v>0</v>
      </c>
      <c r="N716">
        <f t="shared" si="35"/>
        <v>1</v>
      </c>
    </row>
    <row r="717" spans="1:14" x14ac:dyDescent="0.3">
      <c r="A717">
        <f>HeartData[[#This Row],[id]]</f>
        <v>716</v>
      </c>
      <c r="B717" s="4">
        <f>HeartData[[#This Row],[age]]</f>
        <v>70</v>
      </c>
      <c r="C717" t="str">
        <f>HeartData[[#This Row],[sex]]</f>
        <v>Male</v>
      </c>
      <c r="D717" t="str">
        <f t="shared" si="33"/>
        <v>65+</v>
      </c>
      <c r="E717" t="str">
        <f>HeartData[[#This Row],[cp]]</f>
        <v>asymptomatic</v>
      </c>
      <c r="F717" t="str">
        <f>IF(HeartData[[#This Row],[num]]&gt;0, "Diseased", "Healthy")</f>
        <v>Diseased</v>
      </c>
      <c r="G717">
        <f>IF(HeartData[[#This Row],[chol]]&gt;$P$3, 1, 0)</f>
        <v>0</v>
      </c>
      <c r="H717">
        <f>IF(HeartData[[#This Row],[trestbps]]&gt;$P$4, 1, 0)</f>
        <v>1</v>
      </c>
      <c r="I717">
        <f>IF(HeartData[[#This Row],[oldpeak]]&gt;$P$5,1,0)</f>
        <v>0</v>
      </c>
      <c r="J717">
        <f>IF(HeartData[[#This Row],[exang]]="TRUE",1,0)</f>
        <v>1</v>
      </c>
      <c r="K717">
        <f>IF(HeartData[[#This Row],[fbs]]="TRUE",1,0)</f>
        <v>0</v>
      </c>
      <c r="L717">
        <f>IF(HeartData[[#This Row],[ca]]&gt;0,1,0)</f>
        <v>0</v>
      </c>
      <c r="M717">
        <f t="shared" si="34"/>
        <v>2</v>
      </c>
      <c r="N717">
        <f t="shared" si="35"/>
        <v>1</v>
      </c>
    </row>
    <row r="718" spans="1:14" x14ac:dyDescent="0.3">
      <c r="A718">
        <f>HeartData[[#This Row],[id]]</f>
        <v>717</v>
      </c>
      <c r="B718" s="4">
        <f>HeartData[[#This Row],[age]]</f>
        <v>70</v>
      </c>
      <c r="C718" t="str">
        <f>HeartData[[#This Row],[sex]]</f>
        <v>Male</v>
      </c>
      <c r="D718" t="str">
        <f t="shared" si="33"/>
        <v>65+</v>
      </c>
      <c r="E718" t="str">
        <f>HeartData[[#This Row],[cp]]</f>
        <v>asymptomatic</v>
      </c>
      <c r="F718" t="str">
        <f>IF(HeartData[[#This Row],[num]]&gt;0, "Diseased", "Healthy")</f>
        <v>Diseased</v>
      </c>
      <c r="G718">
        <f>IF(HeartData[[#This Row],[chol]]&gt;$P$3, 1, 0)</f>
        <v>0</v>
      </c>
      <c r="H718">
        <f>IF(HeartData[[#This Row],[trestbps]]&gt;$P$4, 1, 0)</f>
        <v>1</v>
      </c>
      <c r="I718">
        <f>IF(HeartData[[#This Row],[oldpeak]]&gt;$P$5,1,0)</f>
        <v>1</v>
      </c>
      <c r="J718">
        <f>IF(HeartData[[#This Row],[exang]]="TRUE",1,0)</f>
        <v>1</v>
      </c>
      <c r="K718">
        <f>IF(HeartData[[#This Row],[fbs]]="TRUE",1,0)</f>
        <v>1</v>
      </c>
      <c r="L718">
        <f>IF(HeartData[[#This Row],[ca]]&gt;0,1,0)</f>
        <v>0</v>
      </c>
      <c r="M718">
        <f t="shared" si="34"/>
        <v>4</v>
      </c>
      <c r="N718">
        <f t="shared" si="35"/>
        <v>1</v>
      </c>
    </row>
    <row r="719" spans="1:14" x14ac:dyDescent="0.3">
      <c r="A719">
        <f>HeartData[[#This Row],[id]]</f>
        <v>718</v>
      </c>
      <c r="B719" s="4">
        <f>HeartData[[#This Row],[age]]</f>
        <v>72</v>
      </c>
      <c r="C719" t="str">
        <f>HeartData[[#This Row],[sex]]</f>
        <v>Male</v>
      </c>
      <c r="D719" t="str">
        <f t="shared" si="33"/>
        <v>65+</v>
      </c>
      <c r="E719" t="str">
        <f>HeartData[[#This Row],[cp]]</f>
        <v>non-anginal</v>
      </c>
      <c r="F719" t="str">
        <f>IF(HeartData[[#This Row],[num]]&gt;0, "Diseased", "Healthy")</f>
        <v>Healthy</v>
      </c>
      <c r="G719">
        <f>IF(HeartData[[#This Row],[chol]]&gt;$P$3, 1, 0)</f>
        <v>0</v>
      </c>
      <c r="H719">
        <f>IF(HeartData[[#This Row],[trestbps]]&gt;$P$4, 1, 0)</f>
        <v>1</v>
      </c>
      <c r="I719">
        <f>IF(HeartData[[#This Row],[oldpeak]]&gt;$P$5,1,0)</f>
        <v>1</v>
      </c>
      <c r="J719">
        <f>IF(HeartData[[#This Row],[exang]]="TRUE",1,0)</f>
        <v>0</v>
      </c>
      <c r="K719">
        <f>IF(HeartData[[#This Row],[fbs]]="TRUE",1,0)</f>
        <v>0</v>
      </c>
      <c r="L719">
        <f>IF(HeartData[[#This Row],[ca]]&gt;0,1,0)</f>
        <v>1</v>
      </c>
      <c r="M719">
        <f t="shared" si="34"/>
        <v>3</v>
      </c>
      <c r="N719">
        <f t="shared" si="35"/>
        <v>0</v>
      </c>
    </row>
    <row r="720" spans="1:14" x14ac:dyDescent="0.3">
      <c r="A720">
        <f>HeartData[[#This Row],[id]]</f>
        <v>719</v>
      </c>
      <c r="B720" s="4">
        <f>HeartData[[#This Row],[age]]</f>
        <v>73</v>
      </c>
      <c r="C720" t="str">
        <f>HeartData[[#This Row],[sex]]</f>
        <v>Female</v>
      </c>
      <c r="D720" t="str">
        <f t="shared" si="33"/>
        <v>65+</v>
      </c>
      <c r="E720" t="str">
        <f>HeartData[[#This Row],[cp]]</f>
        <v>non-anginal</v>
      </c>
      <c r="F720" t="str">
        <f>IF(HeartData[[#This Row],[num]]&gt;0, "Diseased", "Healthy")</f>
        <v>Diseased</v>
      </c>
      <c r="G720">
        <f>IF(HeartData[[#This Row],[chol]]&gt;$P$3, 1, 0)</f>
        <v>0</v>
      </c>
      <c r="H720">
        <f>IF(HeartData[[#This Row],[trestbps]]&gt;$P$4, 1, 0)</f>
        <v>1</v>
      </c>
      <c r="I720">
        <f>IF(HeartData[[#This Row],[oldpeak]]&gt;$P$5,1,0)</f>
        <v>0</v>
      </c>
      <c r="J720">
        <f>IF(HeartData[[#This Row],[exang]]="TRUE",1,0)</f>
        <v>0</v>
      </c>
      <c r="K720">
        <f>IF(HeartData[[#This Row],[fbs]]="TRUE",1,0)</f>
        <v>0</v>
      </c>
      <c r="L720">
        <f>IF(HeartData[[#This Row],[ca]]&gt;0,1,0)</f>
        <v>0</v>
      </c>
      <c r="M720">
        <f t="shared" si="34"/>
        <v>1</v>
      </c>
      <c r="N720">
        <f t="shared" si="35"/>
        <v>1</v>
      </c>
    </row>
    <row r="721" spans="1:14" x14ac:dyDescent="0.3">
      <c r="A721">
        <f>HeartData[[#This Row],[id]]</f>
        <v>720</v>
      </c>
      <c r="B721" s="4">
        <f>HeartData[[#This Row],[age]]</f>
        <v>74</v>
      </c>
      <c r="C721" t="str">
        <f>HeartData[[#This Row],[sex]]</f>
        <v>Male</v>
      </c>
      <c r="D721" t="str">
        <f t="shared" si="33"/>
        <v>65+</v>
      </c>
      <c r="E721" t="str">
        <f>HeartData[[#This Row],[cp]]</f>
        <v>atypical angina</v>
      </c>
      <c r="F721" t="str">
        <f>IF(HeartData[[#This Row],[num]]&gt;0, "Diseased", "Healthy")</f>
        <v>Diseased</v>
      </c>
      <c r="G721">
        <f>IF(HeartData[[#This Row],[chol]]&gt;$P$3, 1, 0)</f>
        <v>0</v>
      </c>
      <c r="H721">
        <f>IF(HeartData[[#This Row],[trestbps]]&gt;$P$4, 1, 0)</f>
        <v>1</v>
      </c>
      <c r="I721">
        <f>IF(HeartData[[#This Row],[oldpeak]]&gt;$P$5,1,0)</f>
        <v>1</v>
      </c>
      <c r="J721">
        <f>IF(HeartData[[#This Row],[exang]]="TRUE",1,0)</f>
        <v>0</v>
      </c>
      <c r="K721">
        <f>IF(HeartData[[#This Row],[fbs]]="TRUE",1,0)</f>
        <v>0</v>
      </c>
      <c r="L721">
        <f>IF(HeartData[[#This Row],[ca]]&gt;0,1,0)</f>
        <v>0</v>
      </c>
      <c r="M721">
        <f t="shared" si="34"/>
        <v>2</v>
      </c>
      <c r="N721">
        <f t="shared" si="35"/>
        <v>1</v>
      </c>
    </row>
    <row r="722" spans="1:14" x14ac:dyDescent="0.3">
      <c r="A722">
        <f>HeartData[[#This Row],[id]]</f>
        <v>721</v>
      </c>
      <c r="B722" s="4">
        <f>HeartData[[#This Row],[age]]</f>
        <v>63</v>
      </c>
      <c r="C722" t="str">
        <f>HeartData[[#This Row],[sex]]</f>
        <v>Male</v>
      </c>
      <c r="D722" t="str">
        <f t="shared" si="33"/>
        <v>55-64</v>
      </c>
      <c r="E722" t="str">
        <f>HeartData[[#This Row],[cp]]</f>
        <v>asymptomatic</v>
      </c>
      <c r="F722" t="str">
        <f>IF(HeartData[[#This Row],[num]]&gt;0, "Diseased", "Healthy")</f>
        <v>Diseased</v>
      </c>
      <c r="G722">
        <f>IF(HeartData[[#This Row],[chol]]&gt;$P$3, 1, 0)</f>
        <v>1</v>
      </c>
      <c r="H722">
        <f>IF(HeartData[[#This Row],[trestbps]]&gt;$P$4, 1, 0)</f>
        <v>1</v>
      </c>
      <c r="I722">
        <f>IF(HeartData[[#This Row],[oldpeak]]&gt;$P$5,1,0)</f>
        <v>1</v>
      </c>
      <c r="J722">
        <f>IF(HeartData[[#This Row],[exang]]="TRUE",1,0)</f>
        <v>1</v>
      </c>
      <c r="K722">
        <f>IF(HeartData[[#This Row],[fbs]]="TRUE",1,0)</f>
        <v>0</v>
      </c>
      <c r="L722">
        <f>IF(HeartData[[#This Row],[ca]]&gt;0,1,0)</f>
        <v>0</v>
      </c>
      <c r="M722">
        <f t="shared" si="34"/>
        <v>4</v>
      </c>
      <c r="N722">
        <f t="shared" si="35"/>
        <v>1</v>
      </c>
    </row>
    <row r="723" spans="1:14" x14ac:dyDescent="0.3">
      <c r="A723">
        <f>HeartData[[#This Row],[id]]</f>
        <v>722</v>
      </c>
      <c r="B723" s="4">
        <f>HeartData[[#This Row],[age]]</f>
        <v>44</v>
      </c>
      <c r="C723" t="str">
        <f>HeartData[[#This Row],[sex]]</f>
        <v>Male</v>
      </c>
      <c r="D723" t="str">
        <f t="shared" si="33"/>
        <v>Under 45</v>
      </c>
      <c r="E723" t="str">
        <f>HeartData[[#This Row],[cp]]</f>
        <v>asymptomatic</v>
      </c>
      <c r="F723" t="str">
        <f>IF(HeartData[[#This Row],[num]]&gt;0, "Diseased", "Healthy")</f>
        <v>Healthy</v>
      </c>
      <c r="G723">
        <f>IF(HeartData[[#This Row],[chol]]&gt;$P$3, 1, 0)</f>
        <v>1</v>
      </c>
      <c r="H723">
        <f>IF(HeartData[[#This Row],[trestbps]]&gt;$P$4, 1, 0)</f>
        <v>1</v>
      </c>
      <c r="I723">
        <f>IF(HeartData[[#This Row],[oldpeak]]&gt;$P$5,1,0)</f>
        <v>0</v>
      </c>
      <c r="J723">
        <f>IF(HeartData[[#This Row],[exang]]="TRUE",1,0)</f>
        <v>0</v>
      </c>
      <c r="K723">
        <f>IF(HeartData[[#This Row],[fbs]]="TRUE",1,0)</f>
        <v>0</v>
      </c>
      <c r="L723">
        <f>IF(HeartData[[#This Row],[ca]]&gt;0,1,0)</f>
        <v>0</v>
      </c>
      <c r="M723">
        <f t="shared" si="34"/>
        <v>2</v>
      </c>
      <c r="N723">
        <f t="shared" si="35"/>
        <v>0</v>
      </c>
    </row>
    <row r="724" spans="1:14" x14ac:dyDescent="0.3">
      <c r="A724">
        <f>HeartData[[#This Row],[id]]</f>
        <v>723</v>
      </c>
      <c r="B724" s="4">
        <f>HeartData[[#This Row],[age]]</f>
        <v>60</v>
      </c>
      <c r="C724" t="str">
        <f>HeartData[[#This Row],[sex]]</f>
        <v>Male</v>
      </c>
      <c r="D724" t="str">
        <f t="shared" si="33"/>
        <v>55-64</v>
      </c>
      <c r="E724" t="str">
        <f>HeartData[[#This Row],[cp]]</f>
        <v>asymptomatic</v>
      </c>
      <c r="F724" t="str">
        <f>IF(HeartData[[#This Row],[num]]&gt;0, "Diseased", "Healthy")</f>
        <v>Diseased</v>
      </c>
      <c r="G724">
        <f>IF(HeartData[[#This Row],[chol]]&gt;$P$3, 1, 0)</f>
        <v>1</v>
      </c>
      <c r="H724">
        <f>IF(HeartData[[#This Row],[trestbps]]&gt;$P$4, 1, 0)</f>
        <v>1</v>
      </c>
      <c r="I724">
        <f>IF(HeartData[[#This Row],[oldpeak]]&gt;$P$5,1,0)</f>
        <v>1</v>
      </c>
      <c r="J724">
        <f>IF(HeartData[[#This Row],[exang]]="TRUE",1,0)</f>
        <v>1</v>
      </c>
      <c r="K724">
        <f>IF(HeartData[[#This Row],[fbs]]="TRUE",1,0)</f>
        <v>0</v>
      </c>
      <c r="L724">
        <f>IF(HeartData[[#This Row],[ca]]&gt;0,1,0)</f>
        <v>0</v>
      </c>
      <c r="M724">
        <f t="shared" si="34"/>
        <v>4</v>
      </c>
      <c r="N724">
        <f t="shared" si="35"/>
        <v>1</v>
      </c>
    </row>
    <row r="725" spans="1:14" x14ac:dyDescent="0.3">
      <c r="A725">
        <f>HeartData[[#This Row],[id]]</f>
        <v>724</v>
      </c>
      <c r="B725" s="4">
        <f>HeartData[[#This Row],[age]]</f>
        <v>55</v>
      </c>
      <c r="C725" t="str">
        <f>HeartData[[#This Row],[sex]]</f>
        <v>Male</v>
      </c>
      <c r="D725" t="str">
        <f t="shared" si="33"/>
        <v>55-64</v>
      </c>
      <c r="E725" t="str">
        <f>HeartData[[#This Row],[cp]]</f>
        <v>asymptomatic</v>
      </c>
      <c r="F725" t="str">
        <f>IF(HeartData[[#This Row],[num]]&gt;0, "Diseased", "Healthy")</f>
        <v>Diseased</v>
      </c>
      <c r="G725">
        <f>IF(HeartData[[#This Row],[chol]]&gt;$P$3, 1, 0)</f>
        <v>1</v>
      </c>
      <c r="H725">
        <f>IF(HeartData[[#This Row],[trestbps]]&gt;$P$4, 1, 0)</f>
        <v>1</v>
      </c>
      <c r="I725">
        <f>IF(HeartData[[#This Row],[oldpeak]]&gt;$P$5,1,0)</f>
        <v>1</v>
      </c>
      <c r="J725">
        <f>IF(HeartData[[#This Row],[exang]]="TRUE",1,0)</f>
        <v>1</v>
      </c>
      <c r="K725">
        <f>IF(HeartData[[#This Row],[fbs]]="TRUE",1,0)</f>
        <v>0</v>
      </c>
      <c r="L725">
        <f>IF(HeartData[[#This Row],[ca]]&gt;0,1,0)</f>
        <v>0</v>
      </c>
      <c r="M725">
        <f t="shared" si="34"/>
        <v>4</v>
      </c>
      <c r="N725">
        <f t="shared" si="35"/>
        <v>1</v>
      </c>
    </row>
    <row r="726" spans="1:14" x14ac:dyDescent="0.3">
      <c r="A726">
        <f>HeartData[[#This Row],[id]]</f>
        <v>725</v>
      </c>
      <c r="B726" s="4">
        <f>HeartData[[#This Row],[age]]</f>
        <v>66</v>
      </c>
      <c r="C726" t="str">
        <f>HeartData[[#This Row],[sex]]</f>
        <v>Male</v>
      </c>
      <c r="D726" t="str">
        <f t="shared" si="33"/>
        <v>65+</v>
      </c>
      <c r="E726" t="str">
        <f>HeartData[[#This Row],[cp]]</f>
        <v>non-anginal</v>
      </c>
      <c r="F726" t="str">
        <f>IF(HeartData[[#This Row],[num]]&gt;0, "Diseased", "Healthy")</f>
        <v>Healthy</v>
      </c>
      <c r="G726">
        <f>IF(HeartData[[#This Row],[chol]]&gt;$P$3, 1, 0)</f>
        <v>1</v>
      </c>
      <c r="H726">
        <f>IF(HeartData[[#This Row],[trestbps]]&gt;$P$4, 1, 0)</f>
        <v>1</v>
      </c>
      <c r="I726">
        <f>IF(HeartData[[#This Row],[oldpeak]]&gt;$P$5,1,0)</f>
        <v>1</v>
      </c>
      <c r="J726">
        <f>IF(HeartData[[#This Row],[exang]]="TRUE",1,0)</f>
        <v>1</v>
      </c>
      <c r="K726">
        <f>IF(HeartData[[#This Row],[fbs]]="TRUE",1,0)</f>
        <v>1</v>
      </c>
      <c r="L726">
        <f>IF(HeartData[[#This Row],[ca]]&gt;0,1,0)</f>
        <v>0</v>
      </c>
      <c r="M726">
        <f t="shared" si="34"/>
        <v>5</v>
      </c>
      <c r="N726">
        <f t="shared" si="35"/>
        <v>0</v>
      </c>
    </row>
    <row r="727" spans="1:14" x14ac:dyDescent="0.3">
      <c r="A727">
        <f>HeartData[[#This Row],[id]]</f>
        <v>726</v>
      </c>
      <c r="B727" s="4">
        <f>HeartData[[#This Row],[age]]</f>
        <v>66</v>
      </c>
      <c r="C727" t="str">
        <f>HeartData[[#This Row],[sex]]</f>
        <v>Male</v>
      </c>
      <c r="D727" t="str">
        <f t="shared" si="33"/>
        <v>65+</v>
      </c>
      <c r="E727" t="str">
        <f>HeartData[[#This Row],[cp]]</f>
        <v>non-anginal</v>
      </c>
      <c r="F727" t="str">
        <f>IF(HeartData[[#This Row],[num]]&gt;0, "Diseased", "Healthy")</f>
        <v>Healthy</v>
      </c>
      <c r="G727">
        <f>IF(HeartData[[#This Row],[chol]]&gt;$P$3, 1, 0)</f>
        <v>0</v>
      </c>
      <c r="H727">
        <f>IF(HeartData[[#This Row],[trestbps]]&gt;$P$4, 1, 0)</f>
        <v>1</v>
      </c>
      <c r="I727">
        <f>IF(HeartData[[#This Row],[oldpeak]]&gt;$P$5,1,0)</f>
        <v>0</v>
      </c>
      <c r="J727">
        <f>IF(HeartData[[#This Row],[exang]]="TRUE",1,0)</f>
        <v>0</v>
      </c>
      <c r="K727">
        <f>IF(HeartData[[#This Row],[fbs]]="TRUE",1,0)</f>
        <v>0</v>
      </c>
      <c r="L727">
        <f>IF(HeartData[[#This Row],[ca]]&gt;0,1,0)</f>
        <v>0</v>
      </c>
      <c r="M727">
        <f t="shared" si="34"/>
        <v>1</v>
      </c>
      <c r="N727">
        <f t="shared" si="35"/>
        <v>0</v>
      </c>
    </row>
    <row r="728" spans="1:14" x14ac:dyDescent="0.3">
      <c r="A728">
        <f>HeartData[[#This Row],[id]]</f>
        <v>727</v>
      </c>
      <c r="B728" s="4">
        <f>HeartData[[#This Row],[age]]</f>
        <v>65</v>
      </c>
      <c r="C728" t="str">
        <f>HeartData[[#This Row],[sex]]</f>
        <v>Male</v>
      </c>
      <c r="D728" t="str">
        <f t="shared" si="33"/>
        <v>65+</v>
      </c>
      <c r="E728" t="str">
        <f>HeartData[[#This Row],[cp]]</f>
        <v>asymptomatic</v>
      </c>
      <c r="F728" t="str">
        <f>IF(HeartData[[#This Row],[num]]&gt;0, "Diseased", "Healthy")</f>
        <v>Diseased</v>
      </c>
      <c r="G728">
        <f>IF(HeartData[[#This Row],[chol]]&gt;$P$3, 1, 0)</f>
        <v>1</v>
      </c>
      <c r="H728">
        <f>IF(HeartData[[#This Row],[trestbps]]&gt;$P$4, 1, 0)</f>
        <v>1</v>
      </c>
      <c r="I728">
        <f>IF(HeartData[[#This Row],[oldpeak]]&gt;$P$5,1,0)</f>
        <v>0</v>
      </c>
      <c r="J728">
        <f>IF(HeartData[[#This Row],[exang]]="TRUE",1,0)</f>
        <v>1</v>
      </c>
      <c r="K728">
        <f>IF(HeartData[[#This Row],[fbs]]="TRUE",1,0)</f>
        <v>1</v>
      </c>
      <c r="L728">
        <f>IF(HeartData[[#This Row],[ca]]&gt;0,1,0)</f>
        <v>0</v>
      </c>
      <c r="M728">
        <f t="shared" si="34"/>
        <v>4</v>
      </c>
      <c r="N728">
        <f t="shared" si="35"/>
        <v>1</v>
      </c>
    </row>
    <row r="729" spans="1:14" x14ac:dyDescent="0.3">
      <c r="A729">
        <f>HeartData[[#This Row],[id]]</f>
        <v>728</v>
      </c>
      <c r="B729" s="4">
        <f>HeartData[[#This Row],[age]]</f>
        <v>60</v>
      </c>
      <c r="C729" t="str">
        <f>HeartData[[#This Row],[sex]]</f>
        <v>Male</v>
      </c>
      <c r="D729" t="str">
        <f t="shared" si="33"/>
        <v>55-64</v>
      </c>
      <c r="E729" t="str">
        <f>HeartData[[#This Row],[cp]]</f>
        <v>non-anginal</v>
      </c>
      <c r="F729" t="str">
        <f>IF(HeartData[[#This Row],[num]]&gt;0, "Diseased", "Healthy")</f>
        <v>Healthy</v>
      </c>
      <c r="G729">
        <f>IF(HeartData[[#This Row],[chol]]&gt;$P$3, 1, 0)</f>
        <v>0</v>
      </c>
      <c r="H729">
        <f>IF(HeartData[[#This Row],[trestbps]]&gt;$P$4, 1, 0)</f>
        <v>1</v>
      </c>
      <c r="I729">
        <f>IF(HeartData[[#This Row],[oldpeak]]&gt;$P$5,1,0)</f>
        <v>1</v>
      </c>
      <c r="J729">
        <f>IF(HeartData[[#This Row],[exang]]="TRUE",1,0)</f>
        <v>1</v>
      </c>
      <c r="K729">
        <f>IF(HeartData[[#This Row],[fbs]]="TRUE",1,0)</f>
        <v>0</v>
      </c>
      <c r="L729">
        <f>IF(HeartData[[#This Row],[ca]]&gt;0,1,0)</f>
        <v>0</v>
      </c>
      <c r="M729">
        <f t="shared" si="34"/>
        <v>3</v>
      </c>
      <c r="N729">
        <f t="shared" si="35"/>
        <v>0</v>
      </c>
    </row>
    <row r="730" spans="1:14" x14ac:dyDescent="0.3">
      <c r="A730">
        <f>HeartData[[#This Row],[id]]</f>
        <v>729</v>
      </c>
      <c r="B730" s="4">
        <f>HeartData[[#This Row],[age]]</f>
        <v>60</v>
      </c>
      <c r="C730" t="str">
        <f>HeartData[[#This Row],[sex]]</f>
        <v>Male</v>
      </c>
      <c r="D730" t="str">
        <f t="shared" si="33"/>
        <v>55-64</v>
      </c>
      <c r="E730" t="str">
        <f>HeartData[[#This Row],[cp]]</f>
        <v>non-anginal</v>
      </c>
      <c r="F730" t="str">
        <f>IF(HeartData[[#This Row],[num]]&gt;0, "Diseased", "Healthy")</f>
        <v>Diseased</v>
      </c>
      <c r="G730">
        <f>IF(HeartData[[#This Row],[chol]]&gt;$P$3, 1, 0)</f>
        <v>0</v>
      </c>
      <c r="H730">
        <f>IF(HeartData[[#This Row],[trestbps]]&gt;$P$4, 1, 0)</f>
        <v>1</v>
      </c>
      <c r="I730">
        <f>IF(HeartData[[#This Row],[oldpeak]]&gt;$P$5,1,0)</f>
        <v>1</v>
      </c>
      <c r="J730">
        <f>IF(HeartData[[#This Row],[exang]]="TRUE",1,0)</f>
        <v>1</v>
      </c>
      <c r="K730">
        <f>IF(HeartData[[#This Row],[fbs]]="TRUE",1,0)</f>
        <v>0</v>
      </c>
      <c r="L730">
        <f>IF(HeartData[[#This Row],[ca]]&gt;0,1,0)</f>
        <v>0</v>
      </c>
      <c r="M730">
        <f t="shared" si="34"/>
        <v>3</v>
      </c>
      <c r="N730">
        <f t="shared" si="35"/>
        <v>1</v>
      </c>
    </row>
    <row r="731" spans="1:14" x14ac:dyDescent="0.3">
      <c r="A731">
        <f>HeartData[[#This Row],[id]]</f>
        <v>730</v>
      </c>
      <c r="B731" s="4">
        <f>HeartData[[#This Row],[age]]</f>
        <v>60</v>
      </c>
      <c r="C731" t="str">
        <f>HeartData[[#This Row],[sex]]</f>
        <v>Male</v>
      </c>
      <c r="D731" t="str">
        <f t="shared" si="33"/>
        <v>55-64</v>
      </c>
      <c r="E731" t="str">
        <f>HeartData[[#This Row],[cp]]</f>
        <v>atypical angina</v>
      </c>
      <c r="F731" t="str">
        <f>IF(HeartData[[#This Row],[num]]&gt;0, "Diseased", "Healthy")</f>
        <v>Diseased</v>
      </c>
      <c r="G731">
        <f>IF(HeartData[[#This Row],[chol]]&gt;$P$3, 1, 0)</f>
        <v>1</v>
      </c>
      <c r="H731">
        <f>IF(HeartData[[#This Row],[trestbps]]&gt;$P$4, 1, 0)</f>
        <v>1</v>
      </c>
      <c r="I731">
        <f>IF(HeartData[[#This Row],[oldpeak]]&gt;$P$5,1,0)</f>
        <v>1</v>
      </c>
      <c r="J731">
        <f>IF(HeartData[[#This Row],[exang]]="TRUE",1,0)</f>
        <v>0</v>
      </c>
      <c r="K731">
        <f>IF(HeartData[[#This Row],[fbs]]="TRUE",1,0)</f>
        <v>1</v>
      </c>
      <c r="L731">
        <f>IF(HeartData[[#This Row],[ca]]&gt;0,1,0)</f>
        <v>0</v>
      </c>
      <c r="M731">
        <f t="shared" si="34"/>
        <v>4</v>
      </c>
      <c r="N731">
        <f t="shared" si="35"/>
        <v>1</v>
      </c>
    </row>
    <row r="732" spans="1:14" x14ac:dyDescent="0.3">
      <c r="A732">
        <f>HeartData[[#This Row],[id]]</f>
        <v>731</v>
      </c>
      <c r="B732" s="4">
        <f>HeartData[[#This Row],[age]]</f>
        <v>56</v>
      </c>
      <c r="C732" t="str">
        <f>HeartData[[#This Row],[sex]]</f>
        <v>Male</v>
      </c>
      <c r="D732" t="str">
        <f t="shared" si="33"/>
        <v>55-64</v>
      </c>
      <c r="E732" t="str">
        <f>HeartData[[#This Row],[cp]]</f>
        <v>atypical angina</v>
      </c>
      <c r="F732" t="str">
        <f>IF(HeartData[[#This Row],[num]]&gt;0, "Diseased", "Healthy")</f>
        <v>Healthy</v>
      </c>
      <c r="G732">
        <f>IF(HeartData[[#This Row],[chol]]&gt;$P$3, 1, 0)</f>
        <v>1</v>
      </c>
      <c r="H732">
        <f>IF(HeartData[[#This Row],[trestbps]]&gt;$P$4, 1, 0)</f>
        <v>1</v>
      </c>
      <c r="I732">
        <f>IF(HeartData[[#This Row],[oldpeak]]&gt;$P$5,1,0)</f>
        <v>0</v>
      </c>
      <c r="J732">
        <f>IF(HeartData[[#This Row],[exang]]="TRUE",1,0)</f>
        <v>0</v>
      </c>
      <c r="K732">
        <f>IF(HeartData[[#This Row],[fbs]]="TRUE",1,0)</f>
        <v>0</v>
      </c>
      <c r="L732">
        <f>IF(HeartData[[#This Row],[ca]]&gt;0,1,0)</f>
        <v>0</v>
      </c>
      <c r="M732">
        <f t="shared" si="34"/>
        <v>2</v>
      </c>
      <c r="N732">
        <f t="shared" si="35"/>
        <v>0</v>
      </c>
    </row>
    <row r="733" spans="1:14" x14ac:dyDescent="0.3">
      <c r="A733">
        <f>HeartData[[#This Row],[id]]</f>
        <v>732</v>
      </c>
      <c r="B733" s="4">
        <f>HeartData[[#This Row],[age]]</f>
        <v>59</v>
      </c>
      <c r="C733" t="str">
        <f>HeartData[[#This Row],[sex]]</f>
        <v>Male</v>
      </c>
      <c r="D733" t="str">
        <f t="shared" si="33"/>
        <v>55-64</v>
      </c>
      <c r="E733" t="str">
        <f>HeartData[[#This Row],[cp]]</f>
        <v>asymptomatic</v>
      </c>
      <c r="F733" t="str">
        <f>IF(HeartData[[#This Row],[num]]&gt;0, "Diseased", "Healthy")</f>
        <v>Diseased</v>
      </c>
      <c r="G733">
        <f>IF(HeartData[[#This Row],[chol]]&gt;$P$3, 1, 0)</f>
        <v>0</v>
      </c>
      <c r="H733">
        <f>IF(HeartData[[#This Row],[trestbps]]&gt;$P$4, 1, 0)</f>
        <v>1</v>
      </c>
      <c r="I733">
        <f>IF(HeartData[[#This Row],[oldpeak]]&gt;$P$5,1,0)</f>
        <v>1</v>
      </c>
      <c r="J733">
        <f>IF(HeartData[[#This Row],[exang]]="TRUE",1,0)</f>
        <v>1</v>
      </c>
      <c r="K733">
        <f>IF(HeartData[[#This Row],[fbs]]="TRUE",1,0)</f>
        <v>0</v>
      </c>
      <c r="L733">
        <f>IF(HeartData[[#This Row],[ca]]&gt;0,1,0)</f>
        <v>0</v>
      </c>
      <c r="M733">
        <f t="shared" si="34"/>
        <v>3</v>
      </c>
      <c r="N733">
        <f t="shared" si="35"/>
        <v>1</v>
      </c>
    </row>
    <row r="734" spans="1:14" x14ac:dyDescent="0.3">
      <c r="A734">
        <f>HeartData[[#This Row],[id]]</f>
        <v>733</v>
      </c>
      <c r="B734" s="4">
        <f>HeartData[[#This Row],[age]]</f>
        <v>62</v>
      </c>
      <c r="C734" t="str">
        <f>HeartData[[#This Row],[sex]]</f>
        <v>Male</v>
      </c>
      <c r="D734" t="str">
        <f t="shared" si="33"/>
        <v>55-64</v>
      </c>
      <c r="E734" t="str">
        <f>HeartData[[#This Row],[cp]]</f>
        <v>asymptomatic</v>
      </c>
      <c r="F734" t="str">
        <f>IF(HeartData[[#This Row],[num]]&gt;0, "Diseased", "Healthy")</f>
        <v>Diseased</v>
      </c>
      <c r="G734">
        <f>IF(HeartData[[#This Row],[chol]]&gt;$P$3, 1, 0)</f>
        <v>0</v>
      </c>
      <c r="H734">
        <f>IF(HeartData[[#This Row],[trestbps]]&gt;$P$4, 1, 0)</f>
        <v>1</v>
      </c>
      <c r="I734">
        <f>IF(HeartData[[#This Row],[oldpeak]]&gt;$P$5,1,0)</f>
        <v>1</v>
      </c>
      <c r="J734">
        <f>IF(HeartData[[#This Row],[exang]]="TRUE",1,0)</f>
        <v>1</v>
      </c>
      <c r="K734">
        <f>IF(HeartData[[#This Row],[fbs]]="TRUE",1,0)</f>
        <v>0</v>
      </c>
      <c r="L734">
        <f>IF(HeartData[[#This Row],[ca]]&gt;0,1,0)</f>
        <v>0</v>
      </c>
      <c r="M734">
        <f t="shared" si="34"/>
        <v>3</v>
      </c>
      <c r="N734">
        <f t="shared" si="35"/>
        <v>1</v>
      </c>
    </row>
    <row r="735" spans="1:14" x14ac:dyDescent="0.3">
      <c r="A735">
        <f>HeartData[[#This Row],[id]]</f>
        <v>734</v>
      </c>
      <c r="B735" s="4">
        <f>HeartData[[#This Row],[age]]</f>
        <v>63</v>
      </c>
      <c r="C735" t="str">
        <f>HeartData[[#This Row],[sex]]</f>
        <v>Male</v>
      </c>
      <c r="D735" t="str">
        <f t="shared" si="33"/>
        <v>55-64</v>
      </c>
      <c r="E735" t="str">
        <f>HeartData[[#This Row],[cp]]</f>
        <v>non-anginal</v>
      </c>
      <c r="F735" t="str">
        <f>IF(HeartData[[#This Row],[num]]&gt;0, "Diseased", "Healthy")</f>
        <v>Diseased</v>
      </c>
      <c r="G735">
        <f>IF(HeartData[[#This Row],[chol]]&gt;$P$3, 1, 0)</f>
        <v>0</v>
      </c>
      <c r="H735">
        <f>IF(HeartData[[#This Row],[trestbps]]&gt;$P$4, 1, 0)</f>
        <v>0</v>
      </c>
      <c r="I735">
        <f>IF(HeartData[[#This Row],[oldpeak]]&gt;$P$5,1,0)</f>
        <v>0</v>
      </c>
      <c r="J735">
        <f>IF(HeartData[[#This Row],[exang]]="TRUE",1,0)</f>
        <v>0</v>
      </c>
      <c r="K735">
        <f>IF(HeartData[[#This Row],[fbs]]="TRUE",1,0)</f>
        <v>0</v>
      </c>
      <c r="L735">
        <f>IF(HeartData[[#This Row],[ca]]&gt;0,1,0)</f>
        <v>0</v>
      </c>
      <c r="M735">
        <f t="shared" si="34"/>
        <v>0</v>
      </c>
      <c r="N735">
        <f t="shared" si="35"/>
        <v>1</v>
      </c>
    </row>
    <row r="736" spans="1:14" x14ac:dyDescent="0.3">
      <c r="A736">
        <f>HeartData[[#This Row],[id]]</f>
        <v>735</v>
      </c>
      <c r="B736" s="4">
        <f>HeartData[[#This Row],[age]]</f>
        <v>57</v>
      </c>
      <c r="C736" t="str">
        <f>HeartData[[#This Row],[sex]]</f>
        <v>Male</v>
      </c>
      <c r="D736" t="str">
        <f t="shared" si="33"/>
        <v>55-64</v>
      </c>
      <c r="E736" t="str">
        <f>HeartData[[#This Row],[cp]]</f>
        <v>asymptomatic</v>
      </c>
      <c r="F736" t="str">
        <f>IF(HeartData[[#This Row],[num]]&gt;0, "Diseased", "Healthy")</f>
        <v>Diseased</v>
      </c>
      <c r="G736">
        <f>IF(HeartData[[#This Row],[chol]]&gt;$P$3, 1, 0)</f>
        <v>0</v>
      </c>
      <c r="H736">
        <f>IF(HeartData[[#This Row],[trestbps]]&gt;$P$4, 1, 0)</f>
        <v>1</v>
      </c>
      <c r="I736">
        <f>IF(HeartData[[#This Row],[oldpeak]]&gt;$P$5,1,0)</f>
        <v>1</v>
      </c>
      <c r="J736">
        <f>IF(HeartData[[#This Row],[exang]]="TRUE",1,0)</f>
        <v>1</v>
      </c>
      <c r="K736">
        <f>IF(HeartData[[#This Row],[fbs]]="TRUE",1,0)</f>
        <v>1</v>
      </c>
      <c r="L736">
        <f>IF(HeartData[[#This Row],[ca]]&gt;0,1,0)</f>
        <v>0</v>
      </c>
      <c r="M736">
        <f t="shared" si="34"/>
        <v>4</v>
      </c>
      <c r="N736">
        <f t="shared" si="35"/>
        <v>1</v>
      </c>
    </row>
    <row r="737" spans="1:14" x14ac:dyDescent="0.3">
      <c r="A737">
        <f>HeartData[[#This Row],[id]]</f>
        <v>736</v>
      </c>
      <c r="B737" s="4">
        <f>HeartData[[#This Row],[age]]</f>
        <v>62</v>
      </c>
      <c r="C737" t="str">
        <f>HeartData[[#This Row],[sex]]</f>
        <v>Male</v>
      </c>
      <c r="D737" t="str">
        <f t="shared" si="33"/>
        <v>55-64</v>
      </c>
      <c r="E737" t="str">
        <f>HeartData[[#This Row],[cp]]</f>
        <v>asymptomatic</v>
      </c>
      <c r="F737" t="str">
        <f>IF(HeartData[[#This Row],[num]]&gt;0, "Diseased", "Healthy")</f>
        <v>Healthy</v>
      </c>
      <c r="G737">
        <f>IF(HeartData[[#This Row],[chol]]&gt;$P$3, 1, 0)</f>
        <v>1</v>
      </c>
      <c r="H737">
        <f>IF(HeartData[[#This Row],[trestbps]]&gt;$P$4, 1, 0)</f>
        <v>1</v>
      </c>
      <c r="I737">
        <f>IF(HeartData[[#This Row],[oldpeak]]&gt;$P$5,1,0)</f>
        <v>0</v>
      </c>
      <c r="J737">
        <f>IF(HeartData[[#This Row],[exang]]="TRUE",1,0)</f>
        <v>0</v>
      </c>
      <c r="K737">
        <f>IF(HeartData[[#This Row],[fbs]]="TRUE",1,0)</f>
        <v>0</v>
      </c>
      <c r="L737">
        <f>IF(HeartData[[#This Row],[ca]]&gt;0,1,0)</f>
        <v>0</v>
      </c>
      <c r="M737">
        <f t="shared" si="34"/>
        <v>2</v>
      </c>
      <c r="N737">
        <f t="shared" si="35"/>
        <v>0</v>
      </c>
    </row>
    <row r="738" spans="1:14" x14ac:dyDescent="0.3">
      <c r="A738">
        <f>HeartData[[#This Row],[id]]</f>
        <v>737</v>
      </c>
      <c r="B738" s="4">
        <f>HeartData[[#This Row],[age]]</f>
        <v>63</v>
      </c>
      <c r="C738" t="str">
        <f>HeartData[[#This Row],[sex]]</f>
        <v>Male</v>
      </c>
      <c r="D738" t="str">
        <f t="shared" si="33"/>
        <v>55-64</v>
      </c>
      <c r="E738" t="str">
        <f>HeartData[[#This Row],[cp]]</f>
        <v>asymptomatic</v>
      </c>
      <c r="F738" t="str">
        <f>IF(HeartData[[#This Row],[num]]&gt;0, "Diseased", "Healthy")</f>
        <v>Diseased</v>
      </c>
      <c r="G738">
        <f>IF(HeartData[[#This Row],[chol]]&gt;$P$3, 1, 0)</f>
        <v>1</v>
      </c>
      <c r="H738">
        <f>IF(HeartData[[#This Row],[trestbps]]&gt;$P$4, 1, 0)</f>
        <v>1</v>
      </c>
      <c r="I738">
        <f>IF(HeartData[[#This Row],[oldpeak]]&gt;$P$5,1,0)</f>
        <v>1</v>
      </c>
      <c r="J738">
        <f>IF(HeartData[[#This Row],[exang]]="TRUE",1,0)</f>
        <v>1</v>
      </c>
      <c r="K738">
        <f>IF(HeartData[[#This Row],[fbs]]="TRUE",1,0)</f>
        <v>0</v>
      </c>
      <c r="L738">
        <f>IF(HeartData[[#This Row],[ca]]&gt;0,1,0)</f>
        <v>0</v>
      </c>
      <c r="M738">
        <f t="shared" si="34"/>
        <v>4</v>
      </c>
      <c r="N738">
        <f t="shared" si="35"/>
        <v>1</v>
      </c>
    </row>
    <row r="739" spans="1:14" x14ac:dyDescent="0.3">
      <c r="A739">
        <f>HeartData[[#This Row],[id]]</f>
        <v>738</v>
      </c>
      <c r="B739" s="4">
        <f>HeartData[[#This Row],[age]]</f>
        <v>46</v>
      </c>
      <c r="C739" t="str">
        <f>HeartData[[#This Row],[sex]]</f>
        <v>Male</v>
      </c>
      <c r="D739" t="str">
        <f t="shared" si="33"/>
        <v>45-54</v>
      </c>
      <c r="E739" t="str">
        <f>HeartData[[#This Row],[cp]]</f>
        <v>asymptomatic</v>
      </c>
      <c r="F739" t="str">
        <f>IF(HeartData[[#This Row],[num]]&gt;0, "Diseased", "Healthy")</f>
        <v>Diseased</v>
      </c>
      <c r="G739">
        <f>IF(HeartData[[#This Row],[chol]]&gt;$P$3, 1, 0)</f>
        <v>1</v>
      </c>
      <c r="H739">
        <f>IF(HeartData[[#This Row],[trestbps]]&gt;$P$4, 1, 0)</f>
        <v>1</v>
      </c>
      <c r="I739">
        <f>IF(HeartData[[#This Row],[oldpeak]]&gt;$P$5,1,0)</f>
        <v>1</v>
      </c>
      <c r="J739">
        <f>IF(HeartData[[#This Row],[exang]]="TRUE",1,0)</f>
        <v>1</v>
      </c>
      <c r="K739">
        <f>IF(HeartData[[#This Row],[fbs]]="TRUE",1,0)</f>
        <v>0</v>
      </c>
      <c r="L739">
        <f>IF(HeartData[[#This Row],[ca]]&gt;0,1,0)</f>
        <v>0</v>
      </c>
      <c r="M739">
        <f t="shared" si="34"/>
        <v>4</v>
      </c>
      <c r="N739">
        <f t="shared" si="35"/>
        <v>1</v>
      </c>
    </row>
    <row r="740" spans="1:14" x14ac:dyDescent="0.3">
      <c r="A740">
        <f>HeartData[[#This Row],[id]]</f>
        <v>739</v>
      </c>
      <c r="B740" s="4">
        <f>HeartData[[#This Row],[age]]</f>
        <v>63</v>
      </c>
      <c r="C740" t="str">
        <f>HeartData[[#This Row],[sex]]</f>
        <v>Male</v>
      </c>
      <c r="D740" t="str">
        <f t="shared" si="33"/>
        <v>55-64</v>
      </c>
      <c r="E740" t="str">
        <f>HeartData[[#This Row],[cp]]</f>
        <v>asymptomatic</v>
      </c>
      <c r="F740" t="str">
        <f>IF(HeartData[[#This Row],[num]]&gt;0, "Diseased", "Healthy")</f>
        <v>Healthy</v>
      </c>
      <c r="G740">
        <f>IF(HeartData[[#This Row],[chol]]&gt;$P$3, 1, 0)</f>
        <v>0</v>
      </c>
      <c r="H740">
        <f>IF(HeartData[[#This Row],[trestbps]]&gt;$P$4, 1, 0)</f>
        <v>1</v>
      </c>
      <c r="I740">
        <f>IF(HeartData[[#This Row],[oldpeak]]&gt;$P$5,1,0)</f>
        <v>1</v>
      </c>
      <c r="J740">
        <f>IF(HeartData[[#This Row],[exang]]="TRUE",1,0)</f>
        <v>0</v>
      </c>
      <c r="K740">
        <f>IF(HeartData[[#This Row],[fbs]]="TRUE",1,0)</f>
        <v>0</v>
      </c>
      <c r="L740">
        <f>IF(HeartData[[#This Row],[ca]]&gt;0,1,0)</f>
        <v>0</v>
      </c>
      <c r="M740">
        <f t="shared" si="34"/>
        <v>2</v>
      </c>
      <c r="N740">
        <f t="shared" si="35"/>
        <v>0</v>
      </c>
    </row>
    <row r="741" spans="1:14" x14ac:dyDescent="0.3">
      <c r="A741">
        <f>HeartData[[#This Row],[id]]</f>
        <v>740</v>
      </c>
      <c r="B741" s="4">
        <f>HeartData[[#This Row],[age]]</f>
        <v>60</v>
      </c>
      <c r="C741" t="str">
        <f>HeartData[[#This Row],[sex]]</f>
        <v>Male</v>
      </c>
      <c r="D741" t="str">
        <f t="shared" si="33"/>
        <v>55-64</v>
      </c>
      <c r="E741" t="str">
        <f>HeartData[[#This Row],[cp]]</f>
        <v>asymptomatic</v>
      </c>
      <c r="F741" t="str">
        <f>IF(HeartData[[#This Row],[num]]&gt;0, "Diseased", "Healthy")</f>
        <v>Healthy</v>
      </c>
      <c r="G741">
        <f>IF(HeartData[[#This Row],[chol]]&gt;$P$3, 1, 0)</f>
        <v>0</v>
      </c>
      <c r="H741">
        <f>IF(HeartData[[#This Row],[trestbps]]&gt;$P$4, 1, 0)</f>
        <v>1</v>
      </c>
      <c r="I741">
        <f>IF(HeartData[[#This Row],[oldpeak]]&gt;$P$5,1,0)</f>
        <v>0</v>
      </c>
      <c r="J741">
        <f>IF(HeartData[[#This Row],[exang]]="TRUE",1,0)</f>
        <v>1</v>
      </c>
      <c r="K741">
        <f>IF(HeartData[[#This Row],[fbs]]="TRUE",1,0)</f>
        <v>0</v>
      </c>
      <c r="L741">
        <f>IF(HeartData[[#This Row],[ca]]&gt;0,1,0)</f>
        <v>0</v>
      </c>
      <c r="M741">
        <f t="shared" si="34"/>
        <v>2</v>
      </c>
      <c r="N741">
        <f t="shared" si="35"/>
        <v>0</v>
      </c>
    </row>
    <row r="742" spans="1:14" x14ac:dyDescent="0.3">
      <c r="A742">
        <f>HeartData[[#This Row],[id]]</f>
        <v>741</v>
      </c>
      <c r="B742" s="4">
        <f>HeartData[[#This Row],[age]]</f>
        <v>58</v>
      </c>
      <c r="C742" t="str">
        <f>HeartData[[#This Row],[sex]]</f>
        <v>Male</v>
      </c>
      <c r="D742" t="str">
        <f t="shared" si="33"/>
        <v>55-64</v>
      </c>
      <c r="E742" t="str">
        <f>HeartData[[#This Row],[cp]]</f>
        <v>asymptomatic</v>
      </c>
      <c r="F742" t="str">
        <f>IF(HeartData[[#This Row],[num]]&gt;0, "Diseased", "Healthy")</f>
        <v>Diseased</v>
      </c>
      <c r="G742">
        <f>IF(HeartData[[#This Row],[chol]]&gt;$P$3, 1, 0)</f>
        <v>0</v>
      </c>
      <c r="H742">
        <f>IF(HeartData[[#This Row],[trestbps]]&gt;$P$4, 1, 0)</f>
        <v>1</v>
      </c>
      <c r="I742">
        <f>IF(HeartData[[#This Row],[oldpeak]]&gt;$P$5,1,0)</f>
        <v>1</v>
      </c>
      <c r="J742">
        <f>IF(HeartData[[#This Row],[exang]]="TRUE",1,0)</f>
        <v>0</v>
      </c>
      <c r="K742">
        <f>IF(HeartData[[#This Row],[fbs]]="TRUE",1,0)</f>
        <v>0</v>
      </c>
      <c r="L742">
        <f>IF(HeartData[[#This Row],[ca]]&gt;0,1,0)</f>
        <v>0</v>
      </c>
      <c r="M742">
        <f t="shared" si="34"/>
        <v>2</v>
      </c>
      <c r="N742">
        <f t="shared" si="35"/>
        <v>1</v>
      </c>
    </row>
    <row r="743" spans="1:14" x14ac:dyDescent="0.3">
      <c r="A743">
        <f>HeartData[[#This Row],[id]]</f>
        <v>742</v>
      </c>
      <c r="B743" s="4">
        <f>HeartData[[#This Row],[age]]</f>
        <v>64</v>
      </c>
      <c r="C743" t="str">
        <f>HeartData[[#This Row],[sex]]</f>
        <v>Male</v>
      </c>
      <c r="D743" t="str">
        <f t="shared" si="33"/>
        <v>55-64</v>
      </c>
      <c r="E743" t="str">
        <f>HeartData[[#This Row],[cp]]</f>
        <v>asymptomatic</v>
      </c>
      <c r="F743" t="str">
        <f>IF(HeartData[[#This Row],[num]]&gt;0, "Diseased", "Healthy")</f>
        <v>Diseased</v>
      </c>
      <c r="G743">
        <f>IF(HeartData[[#This Row],[chol]]&gt;$P$3, 1, 0)</f>
        <v>0</v>
      </c>
      <c r="H743">
        <f>IF(HeartData[[#This Row],[trestbps]]&gt;$P$4, 1, 0)</f>
        <v>1</v>
      </c>
      <c r="I743">
        <f>IF(HeartData[[#This Row],[oldpeak]]&gt;$P$5,1,0)</f>
        <v>1</v>
      </c>
      <c r="J743">
        <f>IF(HeartData[[#This Row],[exang]]="TRUE",1,0)</f>
        <v>0</v>
      </c>
      <c r="K743">
        <f>IF(HeartData[[#This Row],[fbs]]="TRUE",1,0)</f>
        <v>1</v>
      </c>
      <c r="L743">
        <f>IF(HeartData[[#This Row],[ca]]&gt;0,1,0)</f>
        <v>0</v>
      </c>
      <c r="M743">
        <f t="shared" si="34"/>
        <v>3</v>
      </c>
      <c r="N743">
        <f t="shared" si="35"/>
        <v>1</v>
      </c>
    </row>
    <row r="744" spans="1:14" x14ac:dyDescent="0.3">
      <c r="A744">
        <f>HeartData[[#This Row],[id]]</f>
        <v>743</v>
      </c>
      <c r="B744" s="4">
        <f>HeartData[[#This Row],[age]]</f>
        <v>63</v>
      </c>
      <c r="C744" t="str">
        <f>HeartData[[#This Row],[sex]]</f>
        <v>Male</v>
      </c>
      <c r="D744" t="str">
        <f t="shared" si="33"/>
        <v>55-64</v>
      </c>
      <c r="E744" t="str">
        <f>HeartData[[#This Row],[cp]]</f>
        <v>non-anginal</v>
      </c>
      <c r="F744" t="str">
        <f>IF(HeartData[[#This Row],[num]]&gt;0, "Diseased", "Healthy")</f>
        <v>Diseased</v>
      </c>
      <c r="G744">
        <f>IF(HeartData[[#This Row],[chol]]&gt;$P$3, 1, 0)</f>
        <v>0</v>
      </c>
      <c r="H744">
        <f>IF(HeartData[[#This Row],[trestbps]]&gt;$P$4, 1, 0)</f>
        <v>1</v>
      </c>
      <c r="I744">
        <f>IF(HeartData[[#This Row],[oldpeak]]&gt;$P$5,1,0)</f>
        <v>0</v>
      </c>
      <c r="J744">
        <f>IF(HeartData[[#This Row],[exang]]="TRUE",1,0)</f>
        <v>1</v>
      </c>
      <c r="K744">
        <f>IF(HeartData[[#This Row],[fbs]]="TRUE",1,0)</f>
        <v>0</v>
      </c>
      <c r="L744">
        <f>IF(HeartData[[#This Row],[ca]]&gt;0,1,0)</f>
        <v>0</v>
      </c>
      <c r="M744">
        <f t="shared" si="34"/>
        <v>2</v>
      </c>
      <c r="N744">
        <f t="shared" si="35"/>
        <v>1</v>
      </c>
    </row>
    <row r="745" spans="1:14" x14ac:dyDescent="0.3">
      <c r="A745">
        <f>HeartData[[#This Row],[id]]</f>
        <v>744</v>
      </c>
      <c r="B745" s="4">
        <f>HeartData[[#This Row],[age]]</f>
        <v>74</v>
      </c>
      <c r="C745" t="str">
        <f>HeartData[[#This Row],[sex]]</f>
        <v>Male</v>
      </c>
      <c r="D745" t="str">
        <f t="shared" si="33"/>
        <v>65+</v>
      </c>
      <c r="E745" t="str">
        <f>HeartData[[#This Row],[cp]]</f>
        <v>non-anginal</v>
      </c>
      <c r="F745" t="str">
        <f>IF(HeartData[[#This Row],[num]]&gt;0, "Diseased", "Healthy")</f>
        <v>Healthy</v>
      </c>
      <c r="G745">
        <f>IF(HeartData[[#This Row],[chol]]&gt;$P$3, 1, 0)</f>
        <v>0</v>
      </c>
      <c r="H745">
        <f>IF(HeartData[[#This Row],[trestbps]]&gt;$P$4, 1, 0)</f>
        <v>0</v>
      </c>
      <c r="I745">
        <f>IF(HeartData[[#This Row],[oldpeak]]&gt;$P$5,1,0)</f>
        <v>0</v>
      </c>
      <c r="J745">
        <f>IF(HeartData[[#This Row],[exang]]="TRUE",1,0)</f>
        <v>0</v>
      </c>
      <c r="K745">
        <f>IF(HeartData[[#This Row],[fbs]]="TRUE",1,0)</f>
        <v>0</v>
      </c>
      <c r="L745">
        <f>IF(HeartData[[#This Row],[ca]]&gt;0,1,0)</f>
        <v>0</v>
      </c>
      <c r="M745">
        <f t="shared" si="34"/>
        <v>0</v>
      </c>
      <c r="N745">
        <f t="shared" si="35"/>
        <v>0</v>
      </c>
    </row>
    <row r="746" spans="1:14" x14ac:dyDescent="0.3">
      <c r="A746">
        <f>HeartData[[#This Row],[id]]</f>
        <v>745</v>
      </c>
      <c r="B746" s="4">
        <f>HeartData[[#This Row],[age]]</f>
        <v>52</v>
      </c>
      <c r="C746" t="str">
        <f>HeartData[[#This Row],[sex]]</f>
        <v>Male</v>
      </c>
      <c r="D746" t="str">
        <f t="shared" si="33"/>
        <v>45-54</v>
      </c>
      <c r="E746" t="str">
        <f>HeartData[[#This Row],[cp]]</f>
        <v>non-anginal</v>
      </c>
      <c r="F746" t="str">
        <f>IF(HeartData[[#This Row],[num]]&gt;0, "Diseased", "Healthy")</f>
        <v>Diseased</v>
      </c>
      <c r="G746">
        <f>IF(HeartData[[#This Row],[chol]]&gt;$P$3, 1, 0)</f>
        <v>0</v>
      </c>
      <c r="H746">
        <f>IF(HeartData[[#This Row],[trestbps]]&gt;$P$4, 1, 0)</f>
        <v>1</v>
      </c>
      <c r="I746">
        <f>IF(HeartData[[#This Row],[oldpeak]]&gt;$P$5,1,0)</f>
        <v>1</v>
      </c>
      <c r="J746">
        <f>IF(HeartData[[#This Row],[exang]]="TRUE",1,0)</f>
        <v>0</v>
      </c>
      <c r="K746">
        <f>IF(HeartData[[#This Row],[fbs]]="TRUE",1,0)</f>
        <v>0</v>
      </c>
      <c r="L746">
        <f>IF(HeartData[[#This Row],[ca]]&gt;0,1,0)</f>
        <v>0</v>
      </c>
      <c r="M746">
        <f t="shared" si="34"/>
        <v>2</v>
      </c>
      <c r="N746">
        <f t="shared" si="35"/>
        <v>1</v>
      </c>
    </row>
    <row r="747" spans="1:14" x14ac:dyDescent="0.3">
      <c r="A747">
        <f>HeartData[[#This Row],[id]]</f>
        <v>746</v>
      </c>
      <c r="B747" s="4">
        <f>HeartData[[#This Row],[age]]</f>
        <v>69</v>
      </c>
      <c r="C747" t="str">
        <f>HeartData[[#This Row],[sex]]</f>
        <v>Male</v>
      </c>
      <c r="D747" t="str">
        <f t="shared" si="33"/>
        <v>65+</v>
      </c>
      <c r="E747" t="str">
        <f>HeartData[[#This Row],[cp]]</f>
        <v>asymptomatic</v>
      </c>
      <c r="F747" t="str">
        <f>IF(HeartData[[#This Row],[num]]&gt;0, "Diseased", "Healthy")</f>
        <v>Diseased</v>
      </c>
      <c r="G747">
        <f>IF(HeartData[[#This Row],[chol]]&gt;$P$3, 1, 0)</f>
        <v>0</v>
      </c>
      <c r="H747">
        <f>IF(HeartData[[#This Row],[trestbps]]&gt;$P$4, 1, 0)</f>
        <v>1</v>
      </c>
      <c r="I747">
        <f>IF(HeartData[[#This Row],[oldpeak]]&gt;$P$5,1,0)</f>
        <v>1</v>
      </c>
      <c r="J747">
        <f>IF(HeartData[[#This Row],[exang]]="TRUE",1,0)</f>
        <v>0</v>
      </c>
      <c r="K747">
        <f>IF(HeartData[[#This Row],[fbs]]="TRUE",1,0)</f>
        <v>1</v>
      </c>
      <c r="L747">
        <f>IF(HeartData[[#This Row],[ca]]&gt;0,1,0)</f>
        <v>0</v>
      </c>
      <c r="M747">
        <f t="shared" si="34"/>
        <v>3</v>
      </c>
      <c r="N747">
        <f t="shared" si="35"/>
        <v>1</v>
      </c>
    </row>
    <row r="748" spans="1:14" x14ac:dyDescent="0.3">
      <c r="A748">
        <f>HeartData[[#This Row],[id]]</f>
        <v>747</v>
      </c>
      <c r="B748" s="4">
        <f>HeartData[[#This Row],[age]]</f>
        <v>51</v>
      </c>
      <c r="C748" t="str">
        <f>HeartData[[#This Row],[sex]]</f>
        <v>Male</v>
      </c>
      <c r="D748" t="str">
        <f t="shared" si="33"/>
        <v>45-54</v>
      </c>
      <c r="E748" t="str">
        <f>HeartData[[#This Row],[cp]]</f>
        <v>asymptomatic</v>
      </c>
      <c r="F748" t="str">
        <f>IF(HeartData[[#This Row],[num]]&gt;0, "Diseased", "Healthy")</f>
        <v>Diseased</v>
      </c>
      <c r="G748">
        <f>IF(HeartData[[#This Row],[chol]]&gt;$P$3, 1, 0)</f>
        <v>0</v>
      </c>
      <c r="H748">
        <f>IF(HeartData[[#This Row],[trestbps]]&gt;$P$4, 1, 0)</f>
        <v>0</v>
      </c>
      <c r="I748">
        <f>IF(HeartData[[#This Row],[oldpeak]]&gt;$P$5,1,0)</f>
        <v>0</v>
      </c>
      <c r="J748">
        <f>IF(HeartData[[#This Row],[exang]]="TRUE",1,0)</f>
        <v>0</v>
      </c>
      <c r="K748">
        <f>IF(HeartData[[#This Row],[fbs]]="TRUE",1,0)</f>
        <v>1</v>
      </c>
      <c r="L748">
        <f>IF(HeartData[[#This Row],[ca]]&gt;0,1,0)</f>
        <v>0</v>
      </c>
      <c r="M748">
        <f t="shared" si="34"/>
        <v>1</v>
      </c>
      <c r="N748">
        <f t="shared" si="35"/>
        <v>1</v>
      </c>
    </row>
    <row r="749" spans="1:14" x14ac:dyDescent="0.3">
      <c r="A749">
        <f>HeartData[[#This Row],[id]]</f>
        <v>748</v>
      </c>
      <c r="B749" s="4">
        <f>HeartData[[#This Row],[age]]</f>
        <v>60</v>
      </c>
      <c r="C749" t="str">
        <f>HeartData[[#This Row],[sex]]</f>
        <v>Male</v>
      </c>
      <c r="D749" t="str">
        <f t="shared" si="33"/>
        <v>55-64</v>
      </c>
      <c r="E749" t="str">
        <f>HeartData[[#This Row],[cp]]</f>
        <v>asymptomatic</v>
      </c>
      <c r="F749" t="str">
        <f>IF(HeartData[[#This Row],[num]]&gt;0, "Diseased", "Healthy")</f>
        <v>Diseased</v>
      </c>
      <c r="G749">
        <f>IF(HeartData[[#This Row],[chol]]&gt;$P$3, 1, 0)</f>
        <v>1</v>
      </c>
      <c r="H749">
        <f>IF(HeartData[[#This Row],[trestbps]]&gt;$P$4, 1, 0)</f>
        <v>1</v>
      </c>
      <c r="I749">
        <f>IF(HeartData[[#This Row],[oldpeak]]&gt;$P$5,1,0)</f>
        <v>1</v>
      </c>
      <c r="J749">
        <f>IF(HeartData[[#This Row],[exang]]="TRUE",1,0)</f>
        <v>1</v>
      </c>
      <c r="K749">
        <f>IF(HeartData[[#This Row],[fbs]]="TRUE",1,0)</f>
        <v>1</v>
      </c>
      <c r="L749">
        <f>IF(HeartData[[#This Row],[ca]]&gt;0,1,0)</f>
        <v>0</v>
      </c>
      <c r="M749">
        <f t="shared" si="34"/>
        <v>5</v>
      </c>
      <c r="N749">
        <f t="shared" si="35"/>
        <v>1</v>
      </c>
    </row>
    <row r="750" spans="1:14" x14ac:dyDescent="0.3">
      <c r="A750">
        <f>HeartData[[#This Row],[id]]</f>
        <v>749</v>
      </c>
      <c r="B750" s="4">
        <f>HeartData[[#This Row],[age]]</f>
        <v>56</v>
      </c>
      <c r="C750" t="str">
        <f>HeartData[[#This Row],[sex]]</f>
        <v>Male</v>
      </c>
      <c r="D750" t="str">
        <f t="shared" si="33"/>
        <v>55-64</v>
      </c>
      <c r="E750" t="str">
        <f>HeartData[[#This Row],[cp]]</f>
        <v>asymptomatic</v>
      </c>
      <c r="F750" t="str">
        <f>IF(HeartData[[#This Row],[num]]&gt;0, "Diseased", "Healthy")</f>
        <v>Diseased</v>
      </c>
      <c r="G750">
        <f>IF(HeartData[[#This Row],[chol]]&gt;$P$3, 1, 0)</f>
        <v>1</v>
      </c>
      <c r="H750">
        <f>IF(HeartData[[#This Row],[trestbps]]&gt;$P$4, 1, 0)</f>
        <v>1</v>
      </c>
      <c r="I750">
        <f>IF(HeartData[[#This Row],[oldpeak]]&gt;$P$5,1,0)</f>
        <v>1</v>
      </c>
      <c r="J750">
        <f>IF(HeartData[[#This Row],[exang]]="TRUE",1,0)</f>
        <v>1</v>
      </c>
      <c r="K750">
        <f>IF(HeartData[[#This Row],[fbs]]="TRUE",1,0)</f>
        <v>0</v>
      </c>
      <c r="L750">
        <f>IF(HeartData[[#This Row],[ca]]&gt;0,1,0)</f>
        <v>0</v>
      </c>
      <c r="M750">
        <f t="shared" si="34"/>
        <v>4</v>
      </c>
      <c r="N750">
        <f t="shared" si="35"/>
        <v>1</v>
      </c>
    </row>
    <row r="751" spans="1:14" x14ac:dyDescent="0.3">
      <c r="A751">
        <f>HeartData[[#This Row],[id]]</f>
        <v>750</v>
      </c>
      <c r="B751" s="4">
        <f>HeartData[[#This Row],[age]]</f>
        <v>55</v>
      </c>
      <c r="C751" t="str">
        <f>HeartData[[#This Row],[sex]]</f>
        <v>Male</v>
      </c>
      <c r="D751" t="str">
        <f t="shared" si="33"/>
        <v>55-64</v>
      </c>
      <c r="E751" t="str">
        <f>HeartData[[#This Row],[cp]]</f>
        <v>non-anginal</v>
      </c>
      <c r="F751" t="str">
        <f>IF(HeartData[[#This Row],[num]]&gt;0, "Diseased", "Healthy")</f>
        <v>Diseased</v>
      </c>
      <c r="G751">
        <f>IF(HeartData[[#This Row],[chol]]&gt;$P$3, 1, 0)</f>
        <v>1</v>
      </c>
      <c r="H751">
        <f>IF(HeartData[[#This Row],[trestbps]]&gt;$P$4, 1, 0)</f>
        <v>0</v>
      </c>
      <c r="I751">
        <f>IF(HeartData[[#This Row],[oldpeak]]&gt;$P$5,1,0)</f>
        <v>0</v>
      </c>
      <c r="J751">
        <f>IF(HeartData[[#This Row],[exang]]="TRUE",1,0)</f>
        <v>0</v>
      </c>
      <c r="K751">
        <f>IF(HeartData[[#This Row],[fbs]]="TRUE",1,0)</f>
        <v>0</v>
      </c>
      <c r="L751">
        <f>IF(HeartData[[#This Row],[ca]]&gt;0,1,0)</f>
        <v>0</v>
      </c>
      <c r="M751">
        <f t="shared" si="34"/>
        <v>1</v>
      </c>
      <c r="N751">
        <f t="shared" si="35"/>
        <v>1</v>
      </c>
    </row>
    <row r="752" spans="1:14" x14ac:dyDescent="0.3">
      <c r="A752">
        <f>HeartData[[#This Row],[id]]</f>
        <v>751</v>
      </c>
      <c r="B752" s="4">
        <f>HeartData[[#This Row],[age]]</f>
        <v>54</v>
      </c>
      <c r="C752" t="str">
        <f>HeartData[[#This Row],[sex]]</f>
        <v>Male</v>
      </c>
      <c r="D752" t="str">
        <f t="shared" si="33"/>
        <v>45-54</v>
      </c>
      <c r="E752" t="str">
        <f>HeartData[[#This Row],[cp]]</f>
        <v>asymptomatic</v>
      </c>
      <c r="F752" t="str">
        <f>IF(HeartData[[#This Row],[num]]&gt;0, "Diseased", "Healthy")</f>
        <v>Diseased</v>
      </c>
      <c r="G752">
        <f>IF(HeartData[[#This Row],[chol]]&gt;$P$3, 1, 0)</f>
        <v>0</v>
      </c>
      <c r="H752">
        <f>IF(HeartData[[#This Row],[trestbps]]&gt;$P$4, 1, 0)</f>
        <v>0</v>
      </c>
      <c r="I752">
        <f>IF(HeartData[[#This Row],[oldpeak]]&gt;$P$5,1,0)</f>
        <v>0</v>
      </c>
      <c r="J752">
        <f>IF(HeartData[[#This Row],[exang]]="TRUE",1,0)</f>
        <v>0</v>
      </c>
      <c r="K752">
        <f>IF(HeartData[[#This Row],[fbs]]="TRUE",1,0)</f>
        <v>0</v>
      </c>
      <c r="L752">
        <f>IF(HeartData[[#This Row],[ca]]&gt;0,1,0)</f>
        <v>0</v>
      </c>
      <c r="M752">
        <f t="shared" si="34"/>
        <v>0</v>
      </c>
      <c r="N752">
        <f t="shared" si="35"/>
        <v>1</v>
      </c>
    </row>
    <row r="753" spans="1:14" x14ac:dyDescent="0.3">
      <c r="A753">
        <f>HeartData[[#This Row],[id]]</f>
        <v>752</v>
      </c>
      <c r="B753" s="4">
        <f>HeartData[[#This Row],[age]]</f>
        <v>77</v>
      </c>
      <c r="C753" t="str">
        <f>HeartData[[#This Row],[sex]]</f>
        <v>Male</v>
      </c>
      <c r="D753" t="str">
        <f t="shared" si="33"/>
        <v>65+</v>
      </c>
      <c r="E753" t="str">
        <f>HeartData[[#This Row],[cp]]</f>
        <v>asymptomatic</v>
      </c>
      <c r="F753" t="str">
        <f>IF(HeartData[[#This Row],[num]]&gt;0, "Diseased", "Healthy")</f>
        <v>Diseased</v>
      </c>
      <c r="G753">
        <f>IF(HeartData[[#This Row],[chol]]&gt;$P$3, 1, 0)</f>
        <v>1</v>
      </c>
      <c r="H753">
        <f>IF(HeartData[[#This Row],[trestbps]]&gt;$P$4, 1, 0)</f>
        <v>1</v>
      </c>
      <c r="I753">
        <f>IF(HeartData[[#This Row],[oldpeak]]&gt;$P$5,1,0)</f>
        <v>1</v>
      </c>
      <c r="J753">
        <f>IF(HeartData[[#This Row],[exang]]="TRUE",1,0)</f>
        <v>1</v>
      </c>
      <c r="K753">
        <f>IF(HeartData[[#This Row],[fbs]]="TRUE",1,0)</f>
        <v>0</v>
      </c>
      <c r="L753">
        <f>IF(HeartData[[#This Row],[ca]]&gt;0,1,0)</f>
        <v>0</v>
      </c>
      <c r="M753">
        <f t="shared" si="34"/>
        <v>4</v>
      </c>
      <c r="N753">
        <f t="shared" si="35"/>
        <v>1</v>
      </c>
    </row>
    <row r="754" spans="1:14" x14ac:dyDescent="0.3">
      <c r="A754">
        <f>HeartData[[#This Row],[id]]</f>
        <v>753</v>
      </c>
      <c r="B754" s="4">
        <f>HeartData[[#This Row],[age]]</f>
        <v>63</v>
      </c>
      <c r="C754" t="str">
        <f>HeartData[[#This Row],[sex]]</f>
        <v>Male</v>
      </c>
      <c r="D754" t="str">
        <f t="shared" si="33"/>
        <v>55-64</v>
      </c>
      <c r="E754" t="str">
        <f>HeartData[[#This Row],[cp]]</f>
        <v>asymptomatic</v>
      </c>
      <c r="F754" t="str">
        <f>IF(HeartData[[#This Row],[num]]&gt;0, "Diseased", "Healthy")</f>
        <v>Diseased</v>
      </c>
      <c r="G754">
        <f>IF(HeartData[[#This Row],[chol]]&gt;$P$3, 1, 0)</f>
        <v>1</v>
      </c>
      <c r="H754">
        <f>IF(HeartData[[#This Row],[trestbps]]&gt;$P$4, 1, 0)</f>
        <v>1</v>
      </c>
      <c r="I754">
        <f>IF(HeartData[[#This Row],[oldpeak]]&gt;$P$5,1,0)</f>
        <v>1</v>
      </c>
      <c r="J754">
        <f>IF(HeartData[[#This Row],[exang]]="TRUE",1,0)</f>
        <v>1</v>
      </c>
      <c r="K754">
        <f>IF(HeartData[[#This Row],[fbs]]="TRUE",1,0)</f>
        <v>1</v>
      </c>
      <c r="L754">
        <f>IF(HeartData[[#This Row],[ca]]&gt;0,1,0)</f>
        <v>0</v>
      </c>
      <c r="M754">
        <f t="shared" si="34"/>
        <v>5</v>
      </c>
      <c r="N754">
        <f t="shared" si="35"/>
        <v>1</v>
      </c>
    </row>
    <row r="755" spans="1:14" x14ac:dyDescent="0.3">
      <c r="A755">
        <f>HeartData[[#This Row],[id]]</f>
        <v>754</v>
      </c>
      <c r="B755" s="4">
        <f>HeartData[[#This Row],[age]]</f>
        <v>55</v>
      </c>
      <c r="C755" t="str">
        <f>HeartData[[#This Row],[sex]]</f>
        <v>Male</v>
      </c>
      <c r="D755" t="str">
        <f t="shared" si="33"/>
        <v>55-64</v>
      </c>
      <c r="E755" t="str">
        <f>HeartData[[#This Row],[cp]]</f>
        <v>non-anginal</v>
      </c>
      <c r="F755" t="str">
        <f>IF(HeartData[[#This Row],[num]]&gt;0, "Diseased", "Healthy")</f>
        <v>Diseased</v>
      </c>
      <c r="G755">
        <f>IF(HeartData[[#This Row],[chol]]&gt;$P$3, 1, 0)</f>
        <v>0</v>
      </c>
      <c r="H755">
        <f>IF(HeartData[[#This Row],[trestbps]]&gt;$P$4, 1, 0)</f>
        <v>0</v>
      </c>
      <c r="I755">
        <f>IF(HeartData[[#This Row],[oldpeak]]&gt;$P$5,1,0)</f>
        <v>1</v>
      </c>
      <c r="J755">
        <f>IF(HeartData[[#This Row],[exang]]="TRUE",1,0)</f>
        <v>0</v>
      </c>
      <c r="K755">
        <f>IF(HeartData[[#This Row],[fbs]]="TRUE",1,0)</f>
        <v>0</v>
      </c>
      <c r="L755">
        <f>IF(HeartData[[#This Row],[ca]]&gt;0,1,0)</f>
        <v>0</v>
      </c>
      <c r="M755">
        <f t="shared" si="34"/>
        <v>1</v>
      </c>
      <c r="N755">
        <f t="shared" si="35"/>
        <v>1</v>
      </c>
    </row>
    <row r="756" spans="1:14" x14ac:dyDescent="0.3">
      <c r="A756">
        <f>HeartData[[#This Row],[id]]</f>
        <v>755</v>
      </c>
      <c r="B756" s="4">
        <f>HeartData[[#This Row],[age]]</f>
        <v>52</v>
      </c>
      <c r="C756" t="str">
        <f>HeartData[[#This Row],[sex]]</f>
        <v>Male</v>
      </c>
      <c r="D756" t="str">
        <f t="shared" si="33"/>
        <v>45-54</v>
      </c>
      <c r="E756" t="str">
        <f>HeartData[[#This Row],[cp]]</f>
        <v>non-anginal</v>
      </c>
      <c r="F756" t="str">
        <f>IF(HeartData[[#This Row],[num]]&gt;0, "Diseased", "Healthy")</f>
        <v>Diseased</v>
      </c>
      <c r="G756">
        <f>IF(HeartData[[#This Row],[chol]]&gt;$P$3, 1, 0)</f>
        <v>0</v>
      </c>
      <c r="H756">
        <f>IF(HeartData[[#This Row],[trestbps]]&gt;$P$4, 1, 0)</f>
        <v>1</v>
      </c>
      <c r="I756">
        <f>IF(HeartData[[#This Row],[oldpeak]]&gt;$P$5,1,0)</f>
        <v>1</v>
      </c>
      <c r="J756">
        <f>IF(HeartData[[#This Row],[exang]]="TRUE",1,0)</f>
        <v>1</v>
      </c>
      <c r="K756">
        <f>IF(HeartData[[#This Row],[fbs]]="TRUE",1,0)</f>
        <v>0</v>
      </c>
      <c r="L756">
        <f>IF(HeartData[[#This Row],[ca]]&gt;0,1,0)</f>
        <v>0</v>
      </c>
      <c r="M756">
        <f t="shared" si="34"/>
        <v>3</v>
      </c>
      <c r="N756">
        <f t="shared" si="35"/>
        <v>1</v>
      </c>
    </row>
    <row r="757" spans="1:14" x14ac:dyDescent="0.3">
      <c r="A757">
        <f>HeartData[[#This Row],[id]]</f>
        <v>756</v>
      </c>
      <c r="B757" s="4">
        <f>HeartData[[#This Row],[age]]</f>
        <v>64</v>
      </c>
      <c r="C757" t="str">
        <f>HeartData[[#This Row],[sex]]</f>
        <v>Male</v>
      </c>
      <c r="D757" t="str">
        <f t="shared" si="33"/>
        <v>55-64</v>
      </c>
      <c r="E757" t="str">
        <f>HeartData[[#This Row],[cp]]</f>
        <v>asymptomatic</v>
      </c>
      <c r="F757" t="str">
        <f>IF(HeartData[[#This Row],[num]]&gt;0, "Diseased", "Healthy")</f>
        <v>Diseased</v>
      </c>
      <c r="G757">
        <f>IF(HeartData[[#This Row],[chol]]&gt;$P$3, 1, 0)</f>
        <v>0</v>
      </c>
      <c r="H757">
        <f>IF(HeartData[[#This Row],[trestbps]]&gt;$P$4, 1, 0)</f>
        <v>1</v>
      </c>
      <c r="I757">
        <f>IF(HeartData[[#This Row],[oldpeak]]&gt;$P$5,1,0)</f>
        <v>1</v>
      </c>
      <c r="J757">
        <f>IF(HeartData[[#This Row],[exang]]="TRUE",1,0)</f>
        <v>1</v>
      </c>
      <c r="K757">
        <f>IF(HeartData[[#This Row],[fbs]]="TRUE",1,0)</f>
        <v>0</v>
      </c>
      <c r="L757">
        <f>IF(HeartData[[#This Row],[ca]]&gt;0,1,0)</f>
        <v>0</v>
      </c>
      <c r="M757">
        <f t="shared" si="34"/>
        <v>3</v>
      </c>
      <c r="N757">
        <f t="shared" si="35"/>
        <v>1</v>
      </c>
    </row>
    <row r="758" spans="1:14" x14ac:dyDescent="0.3">
      <c r="A758">
        <f>HeartData[[#This Row],[id]]</f>
        <v>757</v>
      </c>
      <c r="B758" s="4">
        <f>HeartData[[#This Row],[age]]</f>
        <v>60</v>
      </c>
      <c r="C758" t="str">
        <f>HeartData[[#This Row],[sex]]</f>
        <v>Male</v>
      </c>
      <c r="D758" t="str">
        <f t="shared" si="33"/>
        <v>55-64</v>
      </c>
      <c r="E758" t="str">
        <f>HeartData[[#This Row],[cp]]</f>
        <v>asymptomatic</v>
      </c>
      <c r="F758" t="str">
        <f>IF(HeartData[[#This Row],[num]]&gt;0, "Diseased", "Healthy")</f>
        <v>Diseased</v>
      </c>
      <c r="G758">
        <f>IF(HeartData[[#This Row],[chol]]&gt;$P$3, 1, 0)</f>
        <v>1</v>
      </c>
      <c r="H758">
        <f>IF(HeartData[[#This Row],[trestbps]]&gt;$P$4, 1, 0)</f>
        <v>0</v>
      </c>
      <c r="I758">
        <f>IF(HeartData[[#This Row],[oldpeak]]&gt;$P$5,1,0)</f>
        <v>0</v>
      </c>
      <c r="J758">
        <f>IF(HeartData[[#This Row],[exang]]="TRUE",1,0)</f>
        <v>0</v>
      </c>
      <c r="K758">
        <f>IF(HeartData[[#This Row],[fbs]]="TRUE",1,0)</f>
        <v>0</v>
      </c>
      <c r="L758">
        <f>IF(HeartData[[#This Row],[ca]]&gt;0,1,0)</f>
        <v>0</v>
      </c>
      <c r="M758">
        <f t="shared" si="34"/>
        <v>1</v>
      </c>
      <c r="N758">
        <f t="shared" si="35"/>
        <v>1</v>
      </c>
    </row>
    <row r="759" spans="1:14" x14ac:dyDescent="0.3">
      <c r="A759">
        <f>HeartData[[#This Row],[id]]</f>
        <v>758</v>
      </c>
      <c r="B759" s="4">
        <f>HeartData[[#This Row],[age]]</f>
        <v>60</v>
      </c>
      <c r="C759" t="str">
        <f>HeartData[[#This Row],[sex]]</f>
        <v>Male</v>
      </c>
      <c r="D759" t="str">
        <f t="shared" si="33"/>
        <v>55-64</v>
      </c>
      <c r="E759" t="str">
        <f>HeartData[[#This Row],[cp]]</f>
        <v>asymptomatic</v>
      </c>
      <c r="F759" t="str">
        <f>IF(HeartData[[#This Row],[num]]&gt;0, "Diseased", "Healthy")</f>
        <v>Healthy</v>
      </c>
      <c r="G759">
        <f>IF(HeartData[[#This Row],[chol]]&gt;$P$3, 1, 0)</f>
        <v>0</v>
      </c>
      <c r="H759">
        <f>IF(HeartData[[#This Row],[trestbps]]&gt;$P$4, 1, 0)</f>
        <v>1</v>
      </c>
      <c r="I759">
        <f>IF(HeartData[[#This Row],[oldpeak]]&gt;$P$5,1,0)</f>
        <v>1</v>
      </c>
      <c r="J759">
        <f>IF(HeartData[[#This Row],[exang]]="TRUE",1,0)</f>
        <v>1</v>
      </c>
      <c r="K759">
        <f>IF(HeartData[[#This Row],[fbs]]="TRUE",1,0)</f>
        <v>0</v>
      </c>
      <c r="L759">
        <f>IF(HeartData[[#This Row],[ca]]&gt;0,1,0)</f>
        <v>0</v>
      </c>
      <c r="M759">
        <f t="shared" si="34"/>
        <v>3</v>
      </c>
      <c r="N759">
        <f t="shared" si="35"/>
        <v>0</v>
      </c>
    </row>
    <row r="760" spans="1:14" x14ac:dyDescent="0.3">
      <c r="A760">
        <f>HeartData[[#This Row],[id]]</f>
        <v>759</v>
      </c>
      <c r="B760" s="4">
        <f>HeartData[[#This Row],[age]]</f>
        <v>58</v>
      </c>
      <c r="C760" t="str">
        <f>HeartData[[#This Row],[sex]]</f>
        <v>Male</v>
      </c>
      <c r="D760" t="str">
        <f t="shared" si="33"/>
        <v>55-64</v>
      </c>
      <c r="E760" t="str">
        <f>HeartData[[#This Row],[cp]]</f>
        <v>asymptomatic</v>
      </c>
      <c r="F760" t="str">
        <f>IF(HeartData[[#This Row],[num]]&gt;0, "Diseased", "Healthy")</f>
        <v>Diseased</v>
      </c>
      <c r="G760">
        <f>IF(HeartData[[#This Row],[chol]]&gt;$P$3, 1, 0)</f>
        <v>1</v>
      </c>
      <c r="H760">
        <f>IF(HeartData[[#This Row],[trestbps]]&gt;$P$4, 1, 0)</f>
        <v>0</v>
      </c>
      <c r="I760">
        <f>IF(HeartData[[#This Row],[oldpeak]]&gt;$P$5,1,0)</f>
        <v>0</v>
      </c>
      <c r="J760">
        <f>IF(HeartData[[#This Row],[exang]]="TRUE",1,0)</f>
        <v>0</v>
      </c>
      <c r="K760">
        <f>IF(HeartData[[#This Row],[fbs]]="TRUE",1,0)</f>
        <v>1</v>
      </c>
      <c r="L760">
        <f>IF(HeartData[[#This Row],[ca]]&gt;0,1,0)</f>
        <v>0</v>
      </c>
      <c r="M760">
        <f t="shared" si="34"/>
        <v>2</v>
      </c>
      <c r="N760">
        <f t="shared" si="35"/>
        <v>1</v>
      </c>
    </row>
    <row r="761" spans="1:14" x14ac:dyDescent="0.3">
      <c r="A761">
        <f>HeartData[[#This Row],[id]]</f>
        <v>760</v>
      </c>
      <c r="B761" s="4">
        <f>HeartData[[#This Row],[age]]</f>
        <v>59</v>
      </c>
      <c r="C761" t="str">
        <f>HeartData[[#This Row],[sex]]</f>
        <v>Male</v>
      </c>
      <c r="D761" t="str">
        <f t="shared" si="33"/>
        <v>55-64</v>
      </c>
      <c r="E761" t="str">
        <f>HeartData[[#This Row],[cp]]</f>
        <v>asymptomatic</v>
      </c>
      <c r="F761" t="str">
        <f>IF(HeartData[[#This Row],[num]]&gt;0, "Diseased", "Healthy")</f>
        <v>Healthy</v>
      </c>
      <c r="G761">
        <f>IF(HeartData[[#This Row],[chol]]&gt;$P$3, 1, 0)</f>
        <v>0</v>
      </c>
      <c r="H761">
        <f>IF(HeartData[[#This Row],[trestbps]]&gt;$P$4, 1, 0)</f>
        <v>1</v>
      </c>
      <c r="I761">
        <f>IF(HeartData[[#This Row],[oldpeak]]&gt;$P$5,1,0)</f>
        <v>1</v>
      </c>
      <c r="J761">
        <f>IF(HeartData[[#This Row],[exang]]="TRUE",1,0)</f>
        <v>1</v>
      </c>
      <c r="K761">
        <f>IF(HeartData[[#This Row],[fbs]]="TRUE",1,0)</f>
        <v>0</v>
      </c>
      <c r="L761">
        <f>IF(HeartData[[#This Row],[ca]]&gt;0,1,0)</f>
        <v>0</v>
      </c>
      <c r="M761">
        <f t="shared" si="34"/>
        <v>3</v>
      </c>
      <c r="N761">
        <f t="shared" si="35"/>
        <v>0</v>
      </c>
    </row>
    <row r="762" spans="1:14" x14ac:dyDescent="0.3">
      <c r="A762">
        <f>HeartData[[#This Row],[id]]</f>
        <v>761</v>
      </c>
      <c r="B762" s="4">
        <f>HeartData[[#This Row],[age]]</f>
        <v>61</v>
      </c>
      <c r="C762" t="str">
        <f>HeartData[[#This Row],[sex]]</f>
        <v>Male</v>
      </c>
      <c r="D762" t="str">
        <f t="shared" si="33"/>
        <v>55-64</v>
      </c>
      <c r="E762" t="str">
        <f>HeartData[[#This Row],[cp]]</f>
        <v>non-anginal</v>
      </c>
      <c r="F762" t="str">
        <f>IF(HeartData[[#This Row],[num]]&gt;0, "Diseased", "Healthy")</f>
        <v>Diseased</v>
      </c>
      <c r="G762">
        <f>IF(HeartData[[#This Row],[chol]]&gt;$P$3, 1, 0)</f>
        <v>0</v>
      </c>
      <c r="H762">
        <f>IF(HeartData[[#This Row],[trestbps]]&gt;$P$4, 1, 0)</f>
        <v>1</v>
      </c>
      <c r="I762">
        <f>IF(HeartData[[#This Row],[oldpeak]]&gt;$P$5,1,0)</f>
        <v>0</v>
      </c>
      <c r="J762">
        <f>IF(HeartData[[#This Row],[exang]]="TRUE",1,0)</f>
        <v>1</v>
      </c>
      <c r="K762">
        <f>IF(HeartData[[#This Row],[fbs]]="TRUE",1,0)</f>
        <v>0</v>
      </c>
      <c r="L762">
        <f>IF(HeartData[[#This Row],[ca]]&gt;0,1,0)</f>
        <v>0</v>
      </c>
      <c r="M762">
        <f t="shared" si="34"/>
        <v>2</v>
      </c>
      <c r="N762">
        <f t="shared" si="35"/>
        <v>1</v>
      </c>
    </row>
    <row r="763" spans="1:14" x14ac:dyDescent="0.3">
      <c r="A763">
        <f>HeartData[[#This Row],[id]]</f>
        <v>762</v>
      </c>
      <c r="B763" s="4">
        <f>HeartData[[#This Row],[age]]</f>
        <v>40</v>
      </c>
      <c r="C763" t="str">
        <f>HeartData[[#This Row],[sex]]</f>
        <v>Male</v>
      </c>
      <c r="D763" t="str">
        <f t="shared" si="33"/>
        <v>Under 45</v>
      </c>
      <c r="E763" t="str">
        <f>HeartData[[#This Row],[cp]]</f>
        <v>asymptomatic</v>
      </c>
      <c r="F763" t="str">
        <f>IF(HeartData[[#This Row],[num]]&gt;0, "Diseased", "Healthy")</f>
        <v>Diseased</v>
      </c>
      <c r="G763">
        <f>IF(HeartData[[#This Row],[chol]]&gt;$P$3, 1, 0)</f>
        <v>0</v>
      </c>
      <c r="H763">
        <f>IF(HeartData[[#This Row],[trestbps]]&gt;$P$4, 1, 0)</f>
        <v>1</v>
      </c>
      <c r="I763">
        <f>IF(HeartData[[#This Row],[oldpeak]]&gt;$P$5,1,0)</f>
        <v>0</v>
      </c>
      <c r="J763">
        <f>IF(HeartData[[#This Row],[exang]]="TRUE",1,0)</f>
        <v>0</v>
      </c>
      <c r="K763">
        <f>IF(HeartData[[#This Row],[fbs]]="TRUE",1,0)</f>
        <v>1</v>
      </c>
      <c r="L763">
        <f>IF(HeartData[[#This Row],[ca]]&gt;0,1,0)</f>
        <v>0</v>
      </c>
      <c r="M763">
        <f t="shared" si="34"/>
        <v>2</v>
      </c>
      <c r="N763">
        <f t="shared" si="35"/>
        <v>1</v>
      </c>
    </row>
    <row r="764" spans="1:14" x14ac:dyDescent="0.3">
      <c r="A764">
        <f>HeartData[[#This Row],[id]]</f>
        <v>763</v>
      </c>
      <c r="B764" s="4">
        <f>HeartData[[#This Row],[age]]</f>
        <v>61</v>
      </c>
      <c r="C764" t="str">
        <f>HeartData[[#This Row],[sex]]</f>
        <v>Male</v>
      </c>
      <c r="D764" t="str">
        <f t="shared" si="33"/>
        <v>55-64</v>
      </c>
      <c r="E764" t="str">
        <f>HeartData[[#This Row],[cp]]</f>
        <v>asymptomatic</v>
      </c>
      <c r="F764" t="str">
        <f>IF(HeartData[[#This Row],[num]]&gt;0, "Diseased", "Healthy")</f>
        <v>Diseased</v>
      </c>
      <c r="G764">
        <f>IF(HeartData[[#This Row],[chol]]&gt;$P$3, 1, 0)</f>
        <v>0</v>
      </c>
      <c r="H764">
        <f>IF(HeartData[[#This Row],[trestbps]]&gt;$P$4, 1, 0)</f>
        <v>0</v>
      </c>
      <c r="I764">
        <f>IF(HeartData[[#This Row],[oldpeak]]&gt;$P$5,1,0)</f>
        <v>1</v>
      </c>
      <c r="J764">
        <f>IF(HeartData[[#This Row],[exang]]="TRUE",1,0)</f>
        <v>0</v>
      </c>
      <c r="K764">
        <f>IF(HeartData[[#This Row],[fbs]]="TRUE",1,0)</f>
        <v>1</v>
      </c>
      <c r="L764">
        <f>IF(HeartData[[#This Row],[ca]]&gt;0,1,0)</f>
        <v>0</v>
      </c>
      <c r="M764">
        <f t="shared" si="34"/>
        <v>2</v>
      </c>
      <c r="N764">
        <f t="shared" si="35"/>
        <v>1</v>
      </c>
    </row>
    <row r="765" spans="1:14" x14ac:dyDescent="0.3">
      <c r="A765">
        <f>HeartData[[#This Row],[id]]</f>
        <v>764</v>
      </c>
      <c r="B765" s="4">
        <f>HeartData[[#This Row],[age]]</f>
        <v>41</v>
      </c>
      <c r="C765" t="str">
        <f>HeartData[[#This Row],[sex]]</f>
        <v>Male</v>
      </c>
      <c r="D765" t="str">
        <f t="shared" si="33"/>
        <v>Under 45</v>
      </c>
      <c r="E765" t="str">
        <f>HeartData[[#This Row],[cp]]</f>
        <v>asymptomatic</v>
      </c>
      <c r="F765" t="str">
        <f>IF(HeartData[[#This Row],[num]]&gt;0, "Diseased", "Healthy")</f>
        <v>Healthy</v>
      </c>
      <c r="G765">
        <f>IF(HeartData[[#This Row],[chol]]&gt;$P$3, 1, 0)</f>
        <v>0</v>
      </c>
      <c r="H765">
        <f>IF(HeartData[[#This Row],[trestbps]]&gt;$P$4, 1, 0)</f>
        <v>1</v>
      </c>
      <c r="I765">
        <f>IF(HeartData[[#This Row],[oldpeak]]&gt;$P$5,1,0)</f>
        <v>0</v>
      </c>
      <c r="J765">
        <f>IF(HeartData[[#This Row],[exang]]="TRUE",1,0)</f>
        <v>0</v>
      </c>
      <c r="K765">
        <f>IF(HeartData[[#This Row],[fbs]]="TRUE",1,0)</f>
        <v>0</v>
      </c>
      <c r="L765">
        <f>IF(HeartData[[#This Row],[ca]]&gt;0,1,0)</f>
        <v>0</v>
      </c>
      <c r="M765">
        <f t="shared" si="34"/>
        <v>1</v>
      </c>
      <c r="N765">
        <f t="shared" si="35"/>
        <v>0</v>
      </c>
    </row>
    <row r="766" spans="1:14" x14ac:dyDescent="0.3">
      <c r="A766">
        <f>HeartData[[#This Row],[id]]</f>
        <v>765</v>
      </c>
      <c r="B766" s="4">
        <f>HeartData[[#This Row],[age]]</f>
        <v>57</v>
      </c>
      <c r="C766" t="str">
        <f>HeartData[[#This Row],[sex]]</f>
        <v>Male</v>
      </c>
      <c r="D766" t="str">
        <f t="shared" si="33"/>
        <v>55-64</v>
      </c>
      <c r="E766" t="str">
        <f>HeartData[[#This Row],[cp]]</f>
        <v>asymptomatic</v>
      </c>
      <c r="F766" t="str">
        <f>IF(HeartData[[#This Row],[num]]&gt;0, "Diseased", "Healthy")</f>
        <v>Diseased</v>
      </c>
      <c r="G766">
        <f>IF(HeartData[[#This Row],[chol]]&gt;$P$3, 1, 0)</f>
        <v>1</v>
      </c>
      <c r="H766">
        <f>IF(HeartData[[#This Row],[trestbps]]&gt;$P$4, 1, 0)</f>
        <v>0</v>
      </c>
      <c r="I766">
        <f>IF(HeartData[[#This Row],[oldpeak]]&gt;$P$5,1,0)</f>
        <v>0</v>
      </c>
      <c r="J766">
        <f>IF(HeartData[[#This Row],[exang]]="TRUE",1,0)</f>
        <v>0</v>
      </c>
      <c r="K766">
        <f>IF(HeartData[[#This Row],[fbs]]="TRUE",1,0)</f>
        <v>1</v>
      </c>
      <c r="L766">
        <f>IF(HeartData[[#This Row],[ca]]&gt;0,1,0)</f>
        <v>0</v>
      </c>
      <c r="M766">
        <f t="shared" si="34"/>
        <v>2</v>
      </c>
      <c r="N766">
        <f t="shared" si="35"/>
        <v>1</v>
      </c>
    </row>
    <row r="767" spans="1:14" x14ac:dyDescent="0.3">
      <c r="A767">
        <f>HeartData[[#This Row],[id]]</f>
        <v>766</v>
      </c>
      <c r="B767" s="4">
        <f>HeartData[[#This Row],[age]]</f>
        <v>63</v>
      </c>
      <c r="C767" t="str">
        <f>HeartData[[#This Row],[sex]]</f>
        <v>Male</v>
      </c>
      <c r="D767" t="str">
        <f t="shared" si="33"/>
        <v>55-64</v>
      </c>
      <c r="E767" t="str">
        <f>HeartData[[#This Row],[cp]]</f>
        <v>asymptomatic</v>
      </c>
      <c r="F767" t="str">
        <f>IF(HeartData[[#This Row],[num]]&gt;0, "Diseased", "Healthy")</f>
        <v>Diseased</v>
      </c>
      <c r="G767">
        <f>IF(HeartData[[#This Row],[chol]]&gt;$P$3, 1, 0)</f>
        <v>0</v>
      </c>
      <c r="H767">
        <f>IF(HeartData[[#This Row],[trestbps]]&gt;$P$4, 1, 0)</f>
        <v>1</v>
      </c>
      <c r="I767">
        <f>IF(HeartData[[#This Row],[oldpeak]]&gt;$P$5,1,0)</f>
        <v>0</v>
      </c>
      <c r="J767">
        <f>IF(HeartData[[#This Row],[exang]]="TRUE",1,0)</f>
        <v>1</v>
      </c>
      <c r="K767">
        <f>IF(HeartData[[#This Row],[fbs]]="TRUE",1,0)</f>
        <v>0</v>
      </c>
      <c r="L767">
        <f>IF(HeartData[[#This Row],[ca]]&gt;0,1,0)</f>
        <v>0</v>
      </c>
      <c r="M767">
        <f t="shared" si="34"/>
        <v>2</v>
      </c>
      <c r="N767">
        <f t="shared" si="35"/>
        <v>1</v>
      </c>
    </row>
    <row r="768" spans="1:14" x14ac:dyDescent="0.3">
      <c r="A768">
        <f>HeartData[[#This Row],[id]]</f>
        <v>767</v>
      </c>
      <c r="B768" s="4">
        <f>HeartData[[#This Row],[age]]</f>
        <v>59</v>
      </c>
      <c r="C768" t="str">
        <f>HeartData[[#This Row],[sex]]</f>
        <v>Male</v>
      </c>
      <c r="D768" t="str">
        <f t="shared" si="33"/>
        <v>55-64</v>
      </c>
      <c r="E768" t="str">
        <f>HeartData[[#This Row],[cp]]</f>
        <v>asymptomatic</v>
      </c>
      <c r="F768" t="str">
        <f>IF(HeartData[[#This Row],[num]]&gt;0, "Diseased", "Healthy")</f>
        <v>Diseased</v>
      </c>
      <c r="G768">
        <f>IF(HeartData[[#This Row],[chol]]&gt;$P$3, 1, 0)</f>
        <v>1</v>
      </c>
      <c r="H768">
        <f>IF(HeartData[[#This Row],[trestbps]]&gt;$P$4, 1, 0)</f>
        <v>1</v>
      </c>
      <c r="I768">
        <f>IF(HeartData[[#This Row],[oldpeak]]&gt;$P$5,1,0)</f>
        <v>1</v>
      </c>
      <c r="J768">
        <f>IF(HeartData[[#This Row],[exang]]="TRUE",1,0)</f>
        <v>1</v>
      </c>
      <c r="K768">
        <f>IF(HeartData[[#This Row],[fbs]]="TRUE",1,0)</f>
        <v>0</v>
      </c>
      <c r="L768">
        <f>IF(HeartData[[#This Row],[ca]]&gt;0,1,0)</f>
        <v>0</v>
      </c>
      <c r="M768">
        <f t="shared" si="34"/>
        <v>4</v>
      </c>
      <c r="N768">
        <f t="shared" si="35"/>
        <v>1</v>
      </c>
    </row>
    <row r="769" spans="1:14" x14ac:dyDescent="0.3">
      <c r="A769">
        <f>HeartData[[#This Row],[id]]</f>
        <v>768</v>
      </c>
      <c r="B769" s="4">
        <f>HeartData[[#This Row],[age]]</f>
        <v>51</v>
      </c>
      <c r="C769" t="str">
        <f>HeartData[[#This Row],[sex]]</f>
        <v>Male</v>
      </c>
      <c r="D769" t="str">
        <f t="shared" si="33"/>
        <v>45-54</v>
      </c>
      <c r="E769" t="str">
        <f>HeartData[[#This Row],[cp]]</f>
        <v>asymptomatic</v>
      </c>
      <c r="F769" t="str">
        <f>IF(HeartData[[#This Row],[num]]&gt;0, "Diseased", "Healthy")</f>
        <v>Healthy</v>
      </c>
      <c r="G769">
        <f>IF(HeartData[[#This Row],[chol]]&gt;$P$3, 1, 0)</f>
        <v>0</v>
      </c>
      <c r="H769">
        <f>IF(HeartData[[#This Row],[trestbps]]&gt;$P$4, 1, 0)</f>
        <v>1</v>
      </c>
      <c r="I769">
        <f>IF(HeartData[[#This Row],[oldpeak]]&gt;$P$5,1,0)</f>
        <v>0</v>
      </c>
      <c r="J769">
        <f>IF(HeartData[[#This Row],[exang]]="TRUE",1,0)</f>
        <v>0</v>
      </c>
      <c r="K769">
        <f>IF(HeartData[[#This Row],[fbs]]="TRUE",1,0)</f>
        <v>0</v>
      </c>
      <c r="L769">
        <f>IF(HeartData[[#This Row],[ca]]&gt;0,1,0)</f>
        <v>0</v>
      </c>
      <c r="M769">
        <f t="shared" si="34"/>
        <v>1</v>
      </c>
      <c r="N769">
        <f t="shared" si="35"/>
        <v>0</v>
      </c>
    </row>
    <row r="770" spans="1:14" x14ac:dyDescent="0.3">
      <c r="A770">
        <f>HeartData[[#This Row],[id]]</f>
        <v>769</v>
      </c>
      <c r="B770" s="4">
        <f>HeartData[[#This Row],[age]]</f>
        <v>59</v>
      </c>
      <c r="C770" t="str">
        <f>HeartData[[#This Row],[sex]]</f>
        <v>Male</v>
      </c>
      <c r="D770" t="str">
        <f t="shared" ref="D770:D833" si="36">IF(B770&lt;45,"Under 45",IF(B770&lt;=54,"45-54",IF(B770&lt;=64,"55-64","65+")))</f>
        <v>55-64</v>
      </c>
      <c r="E770" t="str">
        <f>HeartData[[#This Row],[cp]]</f>
        <v>non-anginal</v>
      </c>
      <c r="F770" t="str">
        <f>IF(HeartData[[#This Row],[num]]&gt;0, "Diseased", "Healthy")</f>
        <v>Diseased</v>
      </c>
      <c r="G770">
        <f>IF(HeartData[[#This Row],[chol]]&gt;$P$3, 1, 0)</f>
        <v>0</v>
      </c>
      <c r="H770">
        <f>IF(HeartData[[#This Row],[trestbps]]&gt;$P$4, 1, 0)</f>
        <v>0</v>
      </c>
      <c r="I770">
        <f>IF(HeartData[[#This Row],[oldpeak]]&gt;$P$5,1,0)</f>
        <v>1</v>
      </c>
      <c r="J770">
        <f>IF(HeartData[[#This Row],[exang]]="TRUE",1,0)</f>
        <v>1</v>
      </c>
      <c r="K770">
        <f>IF(HeartData[[#This Row],[fbs]]="TRUE",1,0)</f>
        <v>0</v>
      </c>
      <c r="L770">
        <f>IF(HeartData[[#This Row],[ca]]&gt;0,1,0)</f>
        <v>0</v>
      </c>
      <c r="M770">
        <f t="shared" si="34"/>
        <v>2</v>
      </c>
      <c r="N770">
        <f t="shared" si="35"/>
        <v>1</v>
      </c>
    </row>
    <row r="771" spans="1:14" x14ac:dyDescent="0.3">
      <c r="A771">
        <f>HeartData[[#This Row],[id]]</f>
        <v>770</v>
      </c>
      <c r="B771" s="4">
        <f>HeartData[[#This Row],[age]]</f>
        <v>42</v>
      </c>
      <c r="C771" t="str">
        <f>HeartData[[#This Row],[sex]]</f>
        <v>Male</v>
      </c>
      <c r="D771" t="str">
        <f t="shared" si="36"/>
        <v>Under 45</v>
      </c>
      <c r="E771" t="str">
        <f>HeartData[[#This Row],[cp]]</f>
        <v>non-anginal</v>
      </c>
      <c r="F771" t="str">
        <f>IF(HeartData[[#This Row],[num]]&gt;0, "Diseased", "Healthy")</f>
        <v>Healthy</v>
      </c>
      <c r="G771">
        <f>IF(HeartData[[#This Row],[chol]]&gt;$P$3, 1, 0)</f>
        <v>1</v>
      </c>
      <c r="H771">
        <f>IF(HeartData[[#This Row],[trestbps]]&gt;$P$4, 1, 0)</f>
        <v>1</v>
      </c>
      <c r="I771">
        <f>IF(HeartData[[#This Row],[oldpeak]]&gt;$P$5,1,0)</f>
        <v>0</v>
      </c>
      <c r="J771">
        <f>IF(HeartData[[#This Row],[exang]]="TRUE",1,0)</f>
        <v>0</v>
      </c>
      <c r="K771">
        <f>IF(HeartData[[#This Row],[fbs]]="TRUE",1,0)</f>
        <v>0</v>
      </c>
      <c r="L771">
        <f>IF(HeartData[[#This Row],[ca]]&gt;0,1,0)</f>
        <v>0</v>
      </c>
      <c r="M771">
        <f t="shared" ref="M771:M834" si="37">G771+H771+I771+J771+K771+L771</f>
        <v>2</v>
      </c>
      <c r="N771">
        <f t="shared" ref="N771:N834" si="38">IF(F771="Diseased",1,0)</f>
        <v>0</v>
      </c>
    </row>
    <row r="772" spans="1:14" x14ac:dyDescent="0.3">
      <c r="A772">
        <f>HeartData[[#This Row],[id]]</f>
        <v>771</v>
      </c>
      <c r="B772" s="4">
        <f>HeartData[[#This Row],[age]]</f>
        <v>55</v>
      </c>
      <c r="C772" t="str">
        <f>HeartData[[#This Row],[sex]]</f>
        <v>Male</v>
      </c>
      <c r="D772" t="str">
        <f t="shared" si="36"/>
        <v>55-64</v>
      </c>
      <c r="E772" t="str">
        <f>HeartData[[#This Row],[cp]]</f>
        <v>non-anginal</v>
      </c>
      <c r="F772" t="str">
        <f>IF(HeartData[[#This Row],[num]]&gt;0, "Diseased", "Healthy")</f>
        <v>Diseased</v>
      </c>
      <c r="G772">
        <f>IF(HeartData[[#This Row],[chol]]&gt;$P$3, 1, 0)</f>
        <v>0</v>
      </c>
      <c r="H772">
        <f>IF(HeartData[[#This Row],[trestbps]]&gt;$P$4, 1, 0)</f>
        <v>1</v>
      </c>
      <c r="I772">
        <f>IF(HeartData[[#This Row],[oldpeak]]&gt;$P$5,1,0)</f>
        <v>1</v>
      </c>
      <c r="J772">
        <f>IF(HeartData[[#This Row],[exang]]="TRUE",1,0)</f>
        <v>1</v>
      </c>
      <c r="K772">
        <f>IF(HeartData[[#This Row],[fbs]]="TRUE",1,0)</f>
        <v>0</v>
      </c>
      <c r="L772">
        <f>IF(HeartData[[#This Row],[ca]]&gt;0,1,0)</f>
        <v>0</v>
      </c>
      <c r="M772">
        <f t="shared" si="37"/>
        <v>3</v>
      </c>
      <c r="N772">
        <f t="shared" si="38"/>
        <v>1</v>
      </c>
    </row>
    <row r="773" spans="1:14" x14ac:dyDescent="0.3">
      <c r="A773">
        <f>HeartData[[#This Row],[id]]</f>
        <v>772</v>
      </c>
      <c r="B773" s="4">
        <f>HeartData[[#This Row],[age]]</f>
        <v>63</v>
      </c>
      <c r="C773" t="str">
        <f>HeartData[[#This Row],[sex]]</f>
        <v>Female</v>
      </c>
      <c r="D773" t="str">
        <f t="shared" si="36"/>
        <v>55-64</v>
      </c>
      <c r="E773" t="str">
        <f>HeartData[[#This Row],[cp]]</f>
        <v>atypical angina</v>
      </c>
      <c r="F773" t="str">
        <f>IF(HeartData[[#This Row],[num]]&gt;0, "Diseased", "Healthy")</f>
        <v>Healthy</v>
      </c>
      <c r="G773">
        <f>IF(HeartData[[#This Row],[chol]]&gt;$P$3, 1, 0)</f>
        <v>0</v>
      </c>
      <c r="H773">
        <f>IF(HeartData[[#This Row],[trestbps]]&gt;$P$4, 1, 0)</f>
        <v>0</v>
      </c>
      <c r="I773">
        <f>IF(HeartData[[#This Row],[oldpeak]]&gt;$P$5,1,0)</f>
        <v>0</v>
      </c>
      <c r="J773">
        <f>IF(HeartData[[#This Row],[exang]]="TRUE",1,0)</f>
        <v>0</v>
      </c>
      <c r="K773">
        <f>IF(HeartData[[#This Row],[fbs]]="TRUE",1,0)</f>
        <v>0</v>
      </c>
      <c r="L773">
        <f>IF(HeartData[[#This Row],[ca]]&gt;0,1,0)</f>
        <v>0</v>
      </c>
      <c r="M773">
        <f t="shared" si="37"/>
        <v>0</v>
      </c>
      <c r="N773">
        <f t="shared" si="38"/>
        <v>0</v>
      </c>
    </row>
    <row r="774" spans="1:14" x14ac:dyDescent="0.3">
      <c r="A774">
        <f>HeartData[[#This Row],[id]]</f>
        <v>773</v>
      </c>
      <c r="B774" s="4">
        <f>HeartData[[#This Row],[age]]</f>
        <v>62</v>
      </c>
      <c r="C774" t="str">
        <f>HeartData[[#This Row],[sex]]</f>
        <v>Male</v>
      </c>
      <c r="D774" t="str">
        <f t="shared" si="36"/>
        <v>55-64</v>
      </c>
      <c r="E774" t="str">
        <f>HeartData[[#This Row],[cp]]</f>
        <v>asymptomatic</v>
      </c>
      <c r="F774" t="str">
        <f>IF(HeartData[[#This Row],[num]]&gt;0, "Diseased", "Healthy")</f>
        <v>Diseased</v>
      </c>
      <c r="G774">
        <f>IF(HeartData[[#This Row],[chol]]&gt;$P$3, 1, 0)</f>
        <v>1</v>
      </c>
      <c r="H774">
        <f>IF(HeartData[[#This Row],[trestbps]]&gt;$P$4, 1, 0)</f>
        <v>1</v>
      </c>
      <c r="I774">
        <f>IF(HeartData[[#This Row],[oldpeak]]&gt;$P$5,1,0)</f>
        <v>1</v>
      </c>
      <c r="J774">
        <f>IF(HeartData[[#This Row],[exang]]="TRUE",1,0)</f>
        <v>1</v>
      </c>
      <c r="K774">
        <f>IF(HeartData[[#This Row],[fbs]]="TRUE",1,0)</f>
        <v>0</v>
      </c>
      <c r="L774">
        <f>IF(HeartData[[#This Row],[ca]]&gt;0,1,0)</f>
        <v>0</v>
      </c>
      <c r="M774">
        <f t="shared" si="37"/>
        <v>4</v>
      </c>
      <c r="N774">
        <f t="shared" si="38"/>
        <v>1</v>
      </c>
    </row>
    <row r="775" spans="1:14" x14ac:dyDescent="0.3">
      <c r="A775">
        <f>HeartData[[#This Row],[id]]</f>
        <v>774</v>
      </c>
      <c r="B775" s="4">
        <f>HeartData[[#This Row],[age]]</f>
        <v>56</v>
      </c>
      <c r="C775" t="str">
        <f>HeartData[[#This Row],[sex]]</f>
        <v>Male</v>
      </c>
      <c r="D775" t="str">
        <f t="shared" si="36"/>
        <v>55-64</v>
      </c>
      <c r="E775" t="str">
        <f>HeartData[[#This Row],[cp]]</f>
        <v>atypical angina</v>
      </c>
      <c r="F775" t="str">
        <f>IF(HeartData[[#This Row],[num]]&gt;0, "Diseased", "Healthy")</f>
        <v>Healthy</v>
      </c>
      <c r="G775">
        <f>IF(HeartData[[#This Row],[chol]]&gt;$P$3, 1, 0)</f>
        <v>1</v>
      </c>
      <c r="H775">
        <f>IF(HeartData[[#This Row],[trestbps]]&gt;$P$4, 1, 0)</f>
        <v>1</v>
      </c>
      <c r="I775">
        <f>IF(HeartData[[#This Row],[oldpeak]]&gt;$P$5,1,0)</f>
        <v>1</v>
      </c>
      <c r="J775">
        <f>IF(HeartData[[#This Row],[exang]]="TRUE",1,0)</f>
        <v>0</v>
      </c>
      <c r="K775">
        <f>IF(HeartData[[#This Row],[fbs]]="TRUE",1,0)</f>
        <v>1</v>
      </c>
      <c r="L775">
        <f>IF(HeartData[[#This Row],[ca]]&gt;0,1,0)</f>
        <v>0</v>
      </c>
      <c r="M775">
        <f t="shared" si="37"/>
        <v>4</v>
      </c>
      <c r="N775">
        <f t="shared" si="38"/>
        <v>0</v>
      </c>
    </row>
    <row r="776" spans="1:14" x14ac:dyDescent="0.3">
      <c r="A776">
        <f>HeartData[[#This Row],[id]]</f>
        <v>775</v>
      </c>
      <c r="B776" s="4">
        <f>HeartData[[#This Row],[age]]</f>
        <v>53</v>
      </c>
      <c r="C776" t="str">
        <f>HeartData[[#This Row],[sex]]</f>
        <v>Male</v>
      </c>
      <c r="D776" t="str">
        <f t="shared" si="36"/>
        <v>45-54</v>
      </c>
      <c r="E776" t="str">
        <f>HeartData[[#This Row],[cp]]</f>
        <v>asymptomatic</v>
      </c>
      <c r="F776" t="str">
        <f>IF(HeartData[[#This Row],[num]]&gt;0, "Diseased", "Healthy")</f>
        <v>Diseased</v>
      </c>
      <c r="G776">
        <f>IF(HeartData[[#This Row],[chol]]&gt;$P$3, 1, 0)</f>
        <v>0</v>
      </c>
      <c r="H776">
        <f>IF(HeartData[[#This Row],[trestbps]]&gt;$P$4, 1, 0)</f>
        <v>1</v>
      </c>
      <c r="I776">
        <f>IF(HeartData[[#This Row],[oldpeak]]&gt;$P$5,1,0)</f>
        <v>0</v>
      </c>
      <c r="J776">
        <f>IF(HeartData[[#This Row],[exang]]="TRUE",1,0)</f>
        <v>0</v>
      </c>
      <c r="K776">
        <f>IF(HeartData[[#This Row],[fbs]]="TRUE",1,0)</f>
        <v>0</v>
      </c>
      <c r="L776">
        <f>IF(HeartData[[#This Row],[ca]]&gt;0,1,0)</f>
        <v>0</v>
      </c>
      <c r="M776">
        <f t="shared" si="37"/>
        <v>1</v>
      </c>
      <c r="N776">
        <f t="shared" si="38"/>
        <v>1</v>
      </c>
    </row>
    <row r="777" spans="1:14" x14ac:dyDescent="0.3">
      <c r="A777">
        <f>HeartData[[#This Row],[id]]</f>
        <v>776</v>
      </c>
      <c r="B777" s="4">
        <f>HeartData[[#This Row],[age]]</f>
        <v>68</v>
      </c>
      <c r="C777" t="str">
        <f>HeartData[[#This Row],[sex]]</f>
        <v>Male</v>
      </c>
      <c r="D777" t="str">
        <f t="shared" si="36"/>
        <v>65+</v>
      </c>
      <c r="E777" t="str">
        <f>HeartData[[#This Row],[cp]]</f>
        <v>asymptomatic</v>
      </c>
      <c r="F777" t="str">
        <f>IF(HeartData[[#This Row],[num]]&gt;0, "Diseased", "Healthy")</f>
        <v>Diseased</v>
      </c>
      <c r="G777">
        <f>IF(HeartData[[#This Row],[chol]]&gt;$P$3, 1, 0)</f>
        <v>0</v>
      </c>
      <c r="H777">
        <f>IF(HeartData[[#This Row],[trestbps]]&gt;$P$4, 1, 0)</f>
        <v>1</v>
      </c>
      <c r="I777">
        <f>IF(HeartData[[#This Row],[oldpeak]]&gt;$P$5,1,0)</f>
        <v>1</v>
      </c>
      <c r="J777">
        <f>IF(HeartData[[#This Row],[exang]]="TRUE",1,0)</f>
        <v>1</v>
      </c>
      <c r="K777">
        <f>IF(HeartData[[#This Row],[fbs]]="TRUE",1,0)</f>
        <v>0</v>
      </c>
      <c r="L777">
        <f>IF(HeartData[[#This Row],[ca]]&gt;0,1,0)</f>
        <v>0</v>
      </c>
      <c r="M777">
        <f t="shared" si="37"/>
        <v>3</v>
      </c>
      <c r="N777">
        <f t="shared" si="38"/>
        <v>1</v>
      </c>
    </row>
    <row r="778" spans="1:14" x14ac:dyDescent="0.3">
      <c r="A778">
        <f>HeartData[[#This Row],[id]]</f>
        <v>777</v>
      </c>
      <c r="B778" s="4">
        <f>HeartData[[#This Row],[age]]</f>
        <v>53</v>
      </c>
      <c r="C778" t="str">
        <f>HeartData[[#This Row],[sex]]</f>
        <v>Male</v>
      </c>
      <c r="D778" t="str">
        <f t="shared" si="36"/>
        <v>45-54</v>
      </c>
      <c r="E778" t="str">
        <f>HeartData[[#This Row],[cp]]</f>
        <v>asymptomatic</v>
      </c>
      <c r="F778" t="str">
        <f>IF(HeartData[[#This Row],[num]]&gt;0, "Diseased", "Healthy")</f>
        <v>Diseased</v>
      </c>
      <c r="G778">
        <f>IF(HeartData[[#This Row],[chol]]&gt;$P$3, 1, 0)</f>
        <v>0</v>
      </c>
      <c r="H778">
        <f>IF(HeartData[[#This Row],[trestbps]]&gt;$P$4, 1, 0)</f>
        <v>1</v>
      </c>
      <c r="I778">
        <f>IF(HeartData[[#This Row],[oldpeak]]&gt;$P$5,1,0)</f>
        <v>1</v>
      </c>
      <c r="J778">
        <f>IF(HeartData[[#This Row],[exang]]="TRUE",1,0)</f>
        <v>1</v>
      </c>
      <c r="K778">
        <f>IF(HeartData[[#This Row],[fbs]]="TRUE",1,0)</f>
        <v>0</v>
      </c>
      <c r="L778">
        <f>IF(HeartData[[#This Row],[ca]]&gt;0,1,0)</f>
        <v>0</v>
      </c>
      <c r="M778">
        <f t="shared" si="37"/>
        <v>3</v>
      </c>
      <c r="N778">
        <f t="shared" si="38"/>
        <v>1</v>
      </c>
    </row>
    <row r="779" spans="1:14" x14ac:dyDescent="0.3">
      <c r="A779">
        <f>HeartData[[#This Row],[id]]</f>
        <v>778</v>
      </c>
      <c r="B779" s="4">
        <f>HeartData[[#This Row],[age]]</f>
        <v>60</v>
      </c>
      <c r="C779" t="str">
        <f>HeartData[[#This Row],[sex]]</f>
        <v>Male</v>
      </c>
      <c r="D779" t="str">
        <f t="shared" si="36"/>
        <v>55-64</v>
      </c>
      <c r="E779" t="str">
        <f>HeartData[[#This Row],[cp]]</f>
        <v>non-anginal</v>
      </c>
      <c r="F779" t="str">
        <f>IF(HeartData[[#This Row],[num]]&gt;0, "Diseased", "Healthy")</f>
        <v>Diseased</v>
      </c>
      <c r="G779">
        <f>IF(HeartData[[#This Row],[chol]]&gt;$P$3, 1, 0)</f>
        <v>1</v>
      </c>
      <c r="H779">
        <f>IF(HeartData[[#This Row],[trestbps]]&gt;$P$4, 1, 0)</f>
        <v>0</v>
      </c>
      <c r="I779">
        <f>IF(HeartData[[#This Row],[oldpeak]]&gt;$P$5,1,0)</f>
        <v>0</v>
      </c>
      <c r="J779">
        <f>IF(HeartData[[#This Row],[exang]]="TRUE",1,0)</f>
        <v>0</v>
      </c>
      <c r="K779">
        <f>IF(HeartData[[#This Row],[fbs]]="TRUE",1,0)</f>
        <v>1</v>
      </c>
      <c r="L779">
        <f>IF(HeartData[[#This Row],[ca]]&gt;0,1,0)</f>
        <v>0</v>
      </c>
      <c r="M779">
        <f t="shared" si="37"/>
        <v>2</v>
      </c>
      <c r="N779">
        <f t="shared" si="38"/>
        <v>1</v>
      </c>
    </row>
    <row r="780" spans="1:14" x14ac:dyDescent="0.3">
      <c r="A780">
        <f>HeartData[[#This Row],[id]]</f>
        <v>779</v>
      </c>
      <c r="B780" s="4">
        <f>HeartData[[#This Row],[age]]</f>
        <v>62</v>
      </c>
      <c r="C780" t="str">
        <f>HeartData[[#This Row],[sex]]</f>
        <v>Male</v>
      </c>
      <c r="D780" t="str">
        <f t="shared" si="36"/>
        <v>55-64</v>
      </c>
      <c r="E780" t="str">
        <f>HeartData[[#This Row],[cp]]</f>
        <v>atypical angina</v>
      </c>
      <c r="F780" t="str">
        <f>IF(HeartData[[#This Row],[num]]&gt;0, "Diseased", "Healthy")</f>
        <v>Healthy</v>
      </c>
      <c r="G780">
        <f>IF(HeartData[[#This Row],[chol]]&gt;$P$3, 1, 0)</f>
        <v>0</v>
      </c>
      <c r="H780">
        <f>IF(HeartData[[#This Row],[trestbps]]&gt;$P$4, 1, 0)</f>
        <v>0</v>
      </c>
      <c r="I780">
        <f>IF(HeartData[[#This Row],[oldpeak]]&gt;$P$5,1,0)</f>
        <v>0</v>
      </c>
      <c r="J780">
        <f>IF(HeartData[[#This Row],[exang]]="TRUE",1,0)</f>
        <v>0</v>
      </c>
      <c r="K780">
        <f>IF(HeartData[[#This Row],[fbs]]="TRUE",1,0)</f>
        <v>0</v>
      </c>
      <c r="L780">
        <f>IF(HeartData[[#This Row],[ca]]&gt;0,1,0)</f>
        <v>0</v>
      </c>
      <c r="M780">
        <f t="shared" si="37"/>
        <v>0</v>
      </c>
      <c r="N780">
        <f t="shared" si="38"/>
        <v>0</v>
      </c>
    </row>
    <row r="781" spans="1:14" x14ac:dyDescent="0.3">
      <c r="A781">
        <f>HeartData[[#This Row],[id]]</f>
        <v>780</v>
      </c>
      <c r="B781" s="4">
        <f>HeartData[[#This Row],[age]]</f>
        <v>59</v>
      </c>
      <c r="C781" t="str">
        <f>HeartData[[#This Row],[sex]]</f>
        <v>Male</v>
      </c>
      <c r="D781" t="str">
        <f t="shared" si="36"/>
        <v>55-64</v>
      </c>
      <c r="E781" t="str">
        <f>HeartData[[#This Row],[cp]]</f>
        <v>asymptomatic</v>
      </c>
      <c r="F781" t="str">
        <f>IF(HeartData[[#This Row],[num]]&gt;0, "Diseased", "Healthy")</f>
        <v>Diseased</v>
      </c>
      <c r="G781">
        <f>IF(HeartData[[#This Row],[chol]]&gt;$P$3, 1, 0)</f>
        <v>0</v>
      </c>
      <c r="H781">
        <f>IF(HeartData[[#This Row],[trestbps]]&gt;$P$4, 1, 0)</f>
        <v>1</v>
      </c>
      <c r="I781">
        <f>IF(HeartData[[#This Row],[oldpeak]]&gt;$P$5,1,0)</f>
        <v>0</v>
      </c>
      <c r="J781">
        <f>IF(HeartData[[#This Row],[exang]]="TRUE",1,0)</f>
        <v>1</v>
      </c>
      <c r="K781">
        <f>IF(HeartData[[#This Row],[fbs]]="TRUE",1,0)</f>
        <v>1</v>
      </c>
      <c r="L781">
        <f>IF(HeartData[[#This Row],[ca]]&gt;0,1,0)</f>
        <v>0</v>
      </c>
      <c r="M781">
        <f t="shared" si="37"/>
        <v>3</v>
      </c>
      <c r="N781">
        <f t="shared" si="38"/>
        <v>1</v>
      </c>
    </row>
    <row r="782" spans="1:14" x14ac:dyDescent="0.3">
      <c r="A782">
        <f>HeartData[[#This Row],[id]]</f>
        <v>781</v>
      </c>
      <c r="B782" s="4">
        <f>HeartData[[#This Row],[age]]</f>
        <v>51</v>
      </c>
      <c r="C782" t="str">
        <f>HeartData[[#This Row],[sex]]</f>
        <v>Male</v>
      </c>
      <c r="D782" t="str">
        <f t="shared" si="36"/>
        <v>45-54</v>
      </c>
      <c r="E782" t="str">
        <f>HeartData[[#This Row],[cp]]</f>
        <v>asymptomatic</v>
      </c>
      <c r="F782" t="str">
        <f>IF(HeartData[[#This Row],[num]]&gt;0, "Diseased", "Healthy")</f>
        <v>Healthy</v>
      </c>
      <c r="G782">
        <f>IF(HeartData[[#This Row],[chol]]&gt;$P$3, 1, 0)</f>
        <v>1</v>
      </c>
      <c r="H782">
        <f>IF(HeartData[[#This Row],[trestbps]]&gt;$P$4, 1, 0)</f>
        <v>0</v>
      </c>
      <c r="I782">
        <f>IF(HeartData[[#This Row],[oldpeak]]&gt;$P$5,1,0)</f>
        <v>0</v>
      </c>
      <c r="J782">
        <f>IF(HeartData[[#This Row],[exang]]="TRUE",1,0)</f>
        <v>0</v>
      </c>
      <c r="K782">
        <f>IF(HeartData[[#This Row],[fbs]]="TRUE",1,0)</f>
        <v>1</v>
      </c>
      <c r="L782">
        <f>IF(HeartData[[#This Row],[ca]]&gt;0,1,0)</f>
        <v>0</v>
      </c>
      <c r="M782">
        <f t="shared" si="37"/>
        <v>2</v>
      </c>
      <c r="N782">
        <f t="shared" si="38"/>
        <v>0</v>
      </c>
    </row>
    <row r="783" spans="1:14" x14ac:dyDescent="0.3">
      <c r="A783">
        <f>HeartData[[#This Row],[id]]</f>
        <v>782</v>
      </c>
      <c r="B783" s="4">
        <f>HeartData[[#This Row],[age]]</f>
        <v>61</v>
      </c>
      <c r="C783" t="str">
        <f>HeartData[[#This Row],[sex]]</f>
        <v>Male</v>
      </c>
      <c r="D783" t="str">
        <f t="shared" si="36"/>
        <v>55-64</v>
      </c>
      <c r="E783" t="str">
        <f>HeartData[[#This Row],[cp]]</f>
        <v>asymptomatic</v>
      </c>
      <c r="F783" t="str">
        <f>IF(HeartData[[#This Row],[num]]&gt;0, "Diseased", "Healthy")</f>
        <v>Diseased</v>
      </c>
      <c r="G783">
        <f>IF(HeartData[[#This Row],[chol]]&gt;$P$3, 1, 0)</f>
        <v>0</v>
      </c>
      <c r="H783">
        <f>IF(HeartData[[#This Row],[trestbps]]&gt;$P$4, 1, 0)</f>
        <v>1</v>
      </c>
      <c r="I783">
        <f>IF(HeartData[[#This Row],[oldpeak]]&gt;$P$5,1,0)</f>
        <v>1</v>
      </c>
      <c r="J783">
        <f>IF(HeartData[[#This Row],[exang]]="TRUE",1,0)</f>
        <v>1</v>
      </c>
      <c r="K783">
        <f>IF(HeartData[[#This Row],[fbs]]="TRUE",1,0)</f>
        <v>0</v>
      </c>
      <c r="L783">
        <f>IF(HeartData[[#This Row],[ca]]&gt;0,1,0)</f>
        <v>0</v>
      </c>
      <c r="M783">
        <f t="shared" si="37"/>
        <v>3</v>
      </c>
      <c r="N783">
        <f t="shared" si="38"/>
        <v>1</v>
      </c>
    </row>
    <row r="784" spans="1:14" x14ac:dyDescent="0.3">
      <c r="A784">
        <f>HeartData[[#This Row],[id]]</f>
        <v>783</v>
      </c>
      <c r="B784" s="4">
        <f>HeartData[[#This Row],[age]]</f>
        <v>57</v>
      </c>
      <c r="C784" t="str">
        <f>HeartData[[#This Row],[sex]]</f>
        <v>Male</v>
      </c>
      <c r="D784" t="str">
        <f t="shared" si="36"/>
        <v>55-64</v>
      </c>
      <c r="E784" t="str">
        <f>HeartData[[#This Row],[cp]]</f>
        <v>asymptomatic</v>
      </c>
      <c r="F784" t="str">
        <f>IF(HeartData[[#This Row],[num]]&gt;0, "Diseased", "Healthy")</f>
        <v>Diseased</v>
      </c>
      <c r="G784">
        <f>IF(HeartData[[#This Row],[chol]]&gt;$P$3, 1, 0)</f>
        <v>1</v>
      </c>
      <c r="H784">
        <f>IF(HeartData[[#This Row],[trestbps]]&gt;$P$4, 1, 0)</f>
        <v>1</v>
      </c>
      <c r="I784">
        <f>IF(HeartData[[#This Row],[oldpeak]]&gt;$P$5,1,0)</f>
        <v>1</v>
      </c>
      <c r="J784">
        <f>IF(HeartData[[#This Row],[exang]]="TRUE",1,0)</f>
        <v>1</v>
      </c>
      <c r="K784">
        <f>IF(HeartData[[#This Row],[fbs]]="TRUE",1,0)</f>
        <v>0</v>
      </c>
      <c r="L784">
        <f>IF(HeartData[[#This Row],[ca]]&gt;0,1,0)</f>
        <v>0</v>
      </c>
      <c r="M784">
        <f t="shared" si="37"/>
        <v>4</v>
      </c>
      <c r="N784">
        <f t="shared" si="38"/>
        <v>1</v>
      </c>
    </row>
    <row r="785" spans="1:14" x14ac:dyDescent="0.3">
      <c r="A785">
        <f>HeartData[[#This Row],[id]]</f>
        <v>784</v>
      </c>
      <c r="B785" s="4">
        <f>HeartData[[#This Row],[age]]</f>
        <v>56</v>
      </c>
      <c r="C785" t="str">
        <f>HeartData[[#This Row],[sex]]</f>
        <v>Male</v>
      </c>
      <c r="D785" t="str">
        <f t="shared" si="36"/>
        <v>55-64</v>
      </c>
      <c r="E785" t="str">
        <f>HeartData[[#This Row],[cp]]</f>
        <v>non-anginal</v>
      </c>
      <c r="F785" t="str">
        <f>IF(HeartData[[#This Row],[num]]&gt;0, "Diseased", "Healthy")</f>
        <v>Diseased</v>
      </c>
      <c r="G785">
        <f>IF(HeartData[[#This Row],[chol]]&gt;$P$3, 1, 0)</f>
        <v>0</v>
      </c>
      <c r="H785">
        <f>IF(HeartData[[#This Row],[trestbps]]&gt;$P$4, 1, 0)</f>
        <v>1</v>
      </c>
      <c r="I785">
        <f>IF(HeartData[[#This Row],[oldpeak]]&gt;$P$5,1,0)</f>
        <v>1</v>
      </c>
      <c r="J785">
        <f>IF(HeartData[[#This Row],[exang]]="TRUE",1,0)</f>
        <v>1</v>
      </c>
      <c r="K785">
        <f>IF(HeartData[[#This Row],[fbs]]="TRUE",1,0)</f>
        <v>0</v>
      </c>
      <c r="L785">
        <f>IF(HeartData[[#This Row],[ca]]&gt;0,1,0)</f>
        <v>0</v>
      </c>
      <c r="M785">
        <f t="shared" si="37"/>
        <v>3</v>
      </c>
      <c r="N785">
        <f t="shared" si="38"/>
        <v>1</v>
      </c>
    </row>
    <row r="786" spans="1:14" x14ac:dyDescent="0.3">
      <c r="A786">
        <f>HeartData[[#This Row],[id]]</f>
        <v>785</v>
      </c>
      <c r="B786" s="4">
        <f>HeartData[[#This Row],[age]]</f>
        <v>58</v>
      </c>
      <c r="C786" t="str">
        <f>HeartData[[#This Row],[sex]]</f>
        <v>Male</v>
      </c>
      <c r="D786" t="str">
        <f t="shared" si="36"/>
        <v>55-64</v>
      </c>
      <c r="E786" t="str">
        <f>HeartData[[#This Row],[cp]]</f>
        <v>atypical angina</v>
      </c>
      <c r="F786" t="str">
        <f>IF(HeartData[[#This Row],[num]]&gt;0, "Diseased", "Healthy")</f>
        <v>Diseased</v>
      </c>
      <c r="G786">
        <f>IF(HeartData[[#This Row],[chol]]&gt;$P$3, 1, 0)</f>
        <v>0</v>
      </c>
      <c r="H786">
        <f>IF(HeartData[[#This Row],[trestbps]]&gt;$P$4, 1, 0)</f>
        <v>1</v>
      </c>
      <c r="I786">
        <f>IF(HeartData[[#This Row],[oldpeak]]&gt;$P$5,1,0)</f>
        <v>1</v>
      </c>
      <c r="J786">
        <f>IF(HeartData[[#This Row],[exang]]="TRUE",1,0)</f>
        <v>1</v>
      </c>
      <c r="K786">
        <f>IF(HeartData[[#This Row],[fbs]]="TRUE",1,0)</f>
        <v>1</v>
      </c>
      <c r="L786">
        <f>IF(HeartData[[#This Row],[ca]]&gt;0,1,0)</f>
        <v>0</v>
      </c>
      <c r="M786">
        <f t="shared" si="37"/>
        <v>4</v>
      </c>
      <c r="N786">
        <f t="shared" si="38"/>
        <v>1</v>
      </c>
    </row>
    <row r="787" spans="1:14" x14ac:dyDescent="0.3">
      <c r="A787">
        <f>HeartData[[#This Row],[id]]</f>
        <v>786</v>
      </c>
      <c r="B787" s="4">
        <f>HeartData[[#This Row],[age]]</f>
        <v>69</v>
      </c>
      <c r="C787" t="str">
        <f>HeartData[[#This Row],[sex]]</f>
        <v>Male</v>
      </c>
      <c r="D787" t="str">
        <f t="shared" si="36"/>
        <v>65+</v>
      </c>
      <c r="E787" t="str">
        <f>HeartData[[#This Row],[cp]]</f>
        <v>non-anginal</v>
      </c>
      <c r="F787" t="str">
        <f>IF(HeartData[[#This Row],[num]]&gt;0, "Diseased", "Healthy")</f>
        <v>Diseased</v>
      </c>
      <c r="G787">
        <f>IF(HeartData[[#This Row],[chol]]&gt;$P$3, 1, 0)</f>
        <v>0</v>
      </c>
      <c r="H787">
        <f>IF(HeartData[[#This Row],[trestbps]]&gt;$P$4, 1, 0)</f>
        <v>1</v>
      </c>
      <c r="I787">
        <f>IF(HeartData[[#This Row],[oldpeak]]&gt;$P$5,1,0)</f>
        <v>1</v>
      </c>
      <c r="J787">
        <f>IF(HeartData[[#This Row],[exang]]="TRUE",1,0)</f>
        <v>0</v>
      </c>
      <c r="K787">
        <f>IF(HeartData[[#This Row],[fbs]]="TRUE",1,0)</f>
        <v>0</v>
      </c>
      <c r="L787">
        <f>IF(HeartData[[#This Row],[ca]]&gt;0,1,0)</f>
        <v>0</v>
      </c>
      <c r="M787">
        <f t="shared" si="37"/>
        <v>2</v>
      </c>
      <c r="N787">
        <f t="shared" si="38"/>
        <v>1</v>
      </c>
    </row>
    <row r="788" spans="1:14" x14ac:dyDescent="0.3">
      <c r="A788">
        <f>HeartData[[#This Row],[id]]</f>
        <v>787</v>
      </c>
      <c r="B788" s="4">
        <f>HeartData[[#This Row],[age]]</f>
        <v>67</v>
      </c>
      <c r="C788" t="str">
        <f>HeartData[[#This Row],[sex]]</f>
        <v>Male</v>
      </c>
      <c r="D788" t="str">
        <f t="shared" si="36"/>
        <v>65+</v>
      </c>
      <c r="E788" t="str">
        <f>HeartData[[#This Row],[cp]]</f>
        <v>typical angina</v>
      </c>
      <c r="F788" t="str">
        <f>IF(HeartData[[#This Row],[num]]&gt;0, "Diseased", "Healthy")</f>
        <v>Diseased</v>
      </c>
      <c r="G788">
        <f>IF(HeartData[[#This Row],[chol]]&gt;$P$3, 1, 0)</f>
        <v>1</v>
      </c>
      <c r="H788">
        <f>IF(HeartData[[#This Row],[trestbps]]&gt;$P$4, 1, 0)</f>
        <v>1</v>
      </c>
      <c r="I788">
        <f>IF(HeartData[[#This Row],[oldpeak]]&gt;$P$5,1,0)</f>
        <v>1</v>
      </c>
      <c r="J788">
        <f>IF(HeartData[[#This Row],[exang]]="TRUE",1,0)</f>
        <v>0</v>
      </c>
      <c r="K788">
        <f>IF(HeartData[[#This Row],[fbs]]="TRUE",1,0)</f>
        <v>1</v>
      </c>
      <c r="L788">
        <f>IF(HeartData[[#This Row],[ca]]&gt;0,1,0)</f>
        <v>0</v>
      </c>
      <c r="M788">
        <f t="shared" si="37"/>
        <v>4</v>
      </c>
      <c r="N788">
        <f t="shared" si="38"/>
        <v>1</v>
      </c>
    </row>
    <row r="789" spans="1:14" x14ac:dyDescent="0.3">
      <c r="A789">
        <f>HeartData[[#This Row],[id]]</f>
        <v>788</v>
      </c>
      <c r="B789" s="4">
        <f>HeartData[[#This Row],[age]]</f>
        <v>58</v>
      </c>
      <c r="C789" t="str">
        <f>HeartData[[#This Row],[sex]]</f>
        <v>Male</v>
      </c>
      <c r="D789" t="str">
        <f t="shared" si="36"/>
        <v>55-64</v>
      </c>
      <c r="E789" t="str">
        <f>HeartData[[#This Row],[cp]]</f>
        <v>asymptomatic</v>
      </c>
      <c r="F789" t="str">
        <f>IF(HeartData[[#This Row],[num]]&gt;0, "Diseased", "Healthy")</f>
        <v>Diseased</v>
      </c>
      <c r="G789">
        <f>IF(HeartData[[#This Row],[chol]]&gt;$P$3, 1, 0)</f>
        <v>0</v>
      </c>
      <c r="H789">
        <f>IF(HeartData[[#This Row],[trestbps]]&gt;$P$4, 1, 0)</f>
        <v>1</v>
      </c>
      <c r="I789">
        <f>IF(HeartData[[#This Row],[oldpeak]]&gt;$P$5,1,0)</f>
        <v>1</v>
      </c>
      <c r="J789">
        <f>IF(HeartData[[#This Row],[exang]]="TRUE",1,0)</f>
        <v>1</v>
      </c>
      <c r="K789">
        <f>IF(HeartData[[#This Row],[fbs]]="TRUE",1,0)</f>
        <v>0</v>
      </c>
      <c r="L789">
        <f>IF(HeartData[[#This Row],[ca]]&gt;0,1,0)</f>
        <v>0</v>
      </c>
      <c r="M789">
        <f t="shared" si="37"/>
        <v>3</v>
      </c>
      <c r="N789">
        <f t="shared" si="38"/>
        <v>1</v>
      </c>
    </row>
    <row r="790" spans="1:14" x14ac:dyDescent="0.3">
      <c r="A790">
        <f>HeartData[[#This Row],[id]]</f>
        <v>789</v>
      </c>
      <c r="B790" s="4">
        <f>HeartData[[#This Row],[age]]</f>
        <v>65</v>
      </c>
      <c r="C790" t="str">
        <f>HeartData[[#This Row],[sex]]</f>
        <v>Male</v>
      </c>
      <c r="D790" t="str">
        <f t="shared" si="36"/>
        <v>65+</v>
      </c>
      <c r="E790" t="str">
        <f>HeartData[[#This Row],[cp]]</f>
        <v>asymptomatic</v>
      </c>
      <c r="F790" t="str">
        <f>IF(HeartData[[#This Row],[num]]&gt;0, "Diseased", "Healthy")</f>
        <v>Diseased</v>
      </c>
      <c r="G790">
        <f>IF(HeartData[[#This Row],[chol]]&gt;$P$3, 1, 0)</f>
        <v>0</v>
      </c>
      <c r="H790">
        <f>IF(HeartData[[#This Row],[trestbps]]&gt;$P$4, 1, 0)</f>
        <v>0</v>
      </c>
      <c r="I790">
        <f>IF(HeartData[[#This Row],[oldpeak]]&gt;$P$5,1,0)</f>
        <v>0</v>
      </c>
      <c r="J790">
        <f>IF(HeartData[[#This Row],[exang]]="TRUE",1,0)</f>
        <v>0</v>
      </c>
      <c r="K790">
        <f>IF(HeartData[[#This Row],[fbs]]="TRUE",1,0)</f>
        <v>0</v>
      </c>
      <c r="L790">
        <f>IF(HeartData[[#This Row],[ca]]&gt;0,1,0)</f>
        <v>0</v>
      </c>
      <c r="M790">
        <f t="shared" si="37"/>
        <v>0</v>
      </c>
      <c r="N790">
        <f t="shared" si="38"/>
        <v>1</v>
      </c>
    </row>
    <row r="791" spans="1:14" x14ac:dyDescent="0.3">
      <c r="A791">
        <f>HeartData[[#This Row],[id]]</f>
        <v>790</v>
      </c>
      <c r="B791" s="4">
        <f>HeartData[[#This Row],[age]]</f>
        <v>63</v>
      </c>
      <c r="C791" t="str">
        <f>HeartData[[#This Row],[sex]]</f>
        <v>Male</v>
      </c>
      <c r="D791" t="str">
        <f t="shared" si="36"/>
        <v>55-64</v>
      </c>
      <c r="E791" t="str">
        <f>HeartData[[#This Row],[cp]]</f>
        <v>atypical angina</v>
      </c>
      <c r="F791" t="str">
        <f>IF(HeartData[[#This Row],[num]]&gt;0, "Diseased", "Healthy")</f>
        <v>Diseased</v>
      </c>
      <c r="G791">
        <f>IF(HeartData[[#This Row],[chol]]&gt;$P$3, 1, 0)</f>
        <v>1</v>
      </c>
      <c r="H791">
        <f>IF(HeartData[[#This Row],[trestbps]]&gt;$P$4, 1, 0)</f>
        <v>0</v>
      </c>
      <c r="I791">
        <f>IF(HeartData[[#This Row],[oldpeak]]&gt;$P$5,1,0)</f>
        <v>0</v>
      </c>
      <c r="J791">
        <f>IF(HeartData[[#This Row],[exang]]="TRUE",1,0)</f>
        <v>0</v>
      </c>
      <c r="K791">
        <f>IF(HeartData[[#This Row],[fbs]]="TRUE",1,0)</f>
        <v>1</v>
      </c>
      <c r="L791">
        <f>IF(HeartData[[#This Row],[ca]]&gt;0,1,0)</f>
        <v>0</v>
      </c>
      <c r="M791">
        <f t="shared" si="37"/>
        <v>2</v>
      </c>
      <c r="N791">
        <f t="shared" si="38"/>
        <v>1</v>
      </c>
    </row>
    <row r="792" spans="1:14" x14ac:dyDescent="0.3">
      <c r="A792">
        <f>HeartData[[#This Row],[id]]</f>
        <v>791</v>
      </c>
      <c r="B792" s="4">
        <f>HeartData[[#This Row],[age]]</f>
        <v>55</v>
      </c>
      <c r="C792" t="str">
        <f>HeartData[[#This Row],[sex]]</f>
        <v>Male</v>
      </c>
      <c r="D792" t="str">
        <f t="shared" si="36"/>
        <v>55-64</v>
      </c>
      <c r="E792" t="str">
        <f>HeartData[[#This Row],[cp]]</f>
        <v>atypical angina</v>
      </c>
      <c r="F792" t="str">
        <f>IF(HeartData[[#This Row],[num]]&gt;0, "Diseased", "Healthy")</f>
        <v>Healthy</v>
      </c>
      <c r="G792">
        <f>IF(HeartData[[#This Row],[chol]]&gt;$P$3, 1, 0)</f>
        <v>1</v>
      </c>
      <c r="H792">
        <f>IF(HeartData[[#This Row],[trestbps]]&gt;$P$4, 1, 0)</f>
        <v>1</v>
      </c>
      <c r="I792">
        <f>IF(HeartData[[#This Row],[oldpeak]]&gt;$P$5,1,0)</f>
        <v>0</v>
      </c>
      <c r="J792">
        <f>IF(HeartData[[#This Row],[exang]]="TRUE",1,0)</f>
        <v>0</v>
      </c>
      <c r="K792">
        <f>IF(HeartData[[#This Row],[fbs]]="TRUE",1,0)</f>
        <v>1</v>
      </c>
      <c r="L792">
        <f>IF(HeartData[[#This Row],[ca]]&gt;0,1,0)</f>
        <v>0</v>
      </c>
      <c r="M792">
        <f t="shared" si="37"/>
        <v>3</v>
      </c>
      <c r="N792">
        <f t="shared" si="38"/>
        <v>0</v>
      </c>
    </row>
    <row r="793" spans="1:14" x14ac:dyDescent="0.3">
      <c r="A793">
        <f>HeartData[[#This Row],[id]]</f>
        <v>792</v>
      </c>
      <c r="B793" s="4">
        <f>HeartData[[#This Row],[age]]</f>
        <v>57</v>
      </c>
      <c r="C793" t="str">
        <f>HeartData[[#This Row],[sex]]</f>
        <v>Male</v>
      </c>
      <c r="D793" t="str">
        <f t="shared" si="36"/>
        <v>55-64</v>
      </c>
      <c r="E793" t="str">
        <f>HeartData[[#This Row],[cp]]</f>
        <v>asymptomatic</v>
      </c>
      <c r="F793" t="str">
        <f>IF(HeartData[[#This Row],[num]]&gt;0, "Diseased", "Healthy")</f>
        <v>Diseased</v>
      </c>
      <c r="G793">
        <f>IF(HeartData[[#This Row],[chol]]&gt;$P$3, 1, 0)</f>
        <v>1</v>
      </c>
      <c r="H793">
        <f>IF(HeartData[[#This Row],[trestbps]]&gt;$P$4, 1, 0)</f>
        <v>1</v>
      </c>
      <c r="I793">
        <f>IF(HeartData[[#This Row],[oldpeak]]&gt;$P$5,1,0)</f>
        <v>1</v>
      </c>
      <c r="J793">
        <f>IF(HeartData[[#This Row],[exang]]="TRUE",1,0)</f>
        <v>1</v>
      </c>
      <c r="K793">
        <f>IF(HeartData[[#This Row],[fbs]]="TRUE",1,0)</f>
        <v>0</v>
      </c>
      <c r="L793">
        <f>IF(HeartData[[#This Row],[ca]]&gt;0,1,0)</f>
        <v>0</v>
      </c>
      <c r="M793">
        <f t="shared" si="37"/>
        <v>4</v>
      </c>
      <c r="N793">
        <f t="shared" si="38"/>
        <v>1</v>
      </c>
    </row>
    <row r="794" spans="1:14" x14ac:dyDescent="0.3">
      <c r="A794">
        <f>HeartData[[#This Row],[id]]</f>
        <v>793</v>
      </c>
      <c r="B794" s="4">
        <f>HeartData[[#This Row],[age]]</f>
        <v>65</v>
      </c>
      <c r="C794" t="str">
        <f>HeartData[[#This Row],[sex]]</f>
        <v>Male</v>
      </c>
      <c r="D794" t="str">
        <f t="shared" si="36"/>
        <v>65+</v>
      </c>
      <c r="E794" t="str">
        <f>HeartData[[#This Row],[cp]]</f>
        <v>typical angina</v>
      </c>
      <c r="F794" t="str">
        <f>IF(HeartData[[#This Row],[num]]&gt;0, "Diseased", "Healthy")</f>
        <v>Healthy</v>
      </c>
      <c r="G794">
        <f>IF(HeartData[[#This Row],[chol]]&gt;$P$3, 1, 0)</f>
        <v>1</v>
      </c>
      <c r="H794">
        <f>IF(HeartData[[#This Row],[trestbps]]&gt;$P$4, 1, 0)</f>
        <v>0</v>
      </c>
      <c r="I794">
        <f>IF(HeartData[[#This Row],[oldpeak]]&gt;$P$5,1,0)</f>
        <v>0</v>
      </c>
      <c r="J794">
        <f>IF(HeartData[[#This Row],[exang]]="TRUE",1,0)</f>
        <v>0</v>
      </c>
      <c r="K794">
        <f>IF(HeartData[[#This Row],[fbs]]="TRUE",1,0)</f>
        <v>0</v>
      </c>
      <c r="L794">
        <f>IF(HeartData[[#This Row],[ca]]&gt;0,1,0)</f>
        <v>0</v>
      </c>
      <c r="M794">
        <f t="shared" si="37"/>
        <v>1</v>
      </c>
      <c r="N794">
        <f t="shared" si="38"/>
        <v>0</v>
      </c>
    </row>
    <row r="795" spans="1:14" x14ac:dyDescent="0.3">
      <c r="A795">
        <f>HeartData[[#This Row],[id]]</f>
        <v>794</v>
      </c>
      <c r="B795" s="4">
        <f>HeartData[[#This Row],[age]]</f>
        <v>54</v>
      </c>
      <c r="C795" t="str">
        <f>HeartData[[#This Row],[sex]]</f>
        <v>Male</v>
      </c>
      <c r="D795" t="str">
        <f t="shared" si="36"/>
        <v>45-54</v>
      </c>
      <c r="E795" t="str">
        <f>HeartData[[#This Row],[cp]]</f>
        <v>asymptomatic</v>
      </c>
      <c r="F795" t="str">
        <f>IF(HeartData[[#This Row],[num]]&gt;0, "Diseased", "Healthy")</f>
        <v>Diseased</v>
      </c>
      <c r="G795">
        <f>IF(HeartData[[#This Row],[chol]]&gt;$P$3, 1, 0)</f>
        <v>1</v>
      </c>
      <c r="H795">
        <f>IF(HeartData[[#This Row],[trestbps]]&gt;$P$4, 1, 0)</f>
        <v>1</v>
      </c>
      <c r="I795">
        <f>IF(HeartData[[#This Row],[oldpeak]]&gt;$P$5,1,0)</f>
        <v>1</v>
      </c>
      <c r="J795">
        <f>IF(HeartData[[#This Row],[exang]]="TRUE",1,0)</f>
        <v>1</v>
      </c>
      <c r="K795">
        <f>IF(HeartData[[#This Row],[fbs]]="TRUE",1,0)</f>
        <v>0</v>
      </c>
      <c r="L795">
        <f>IF(HeartData[[#This Row],[ca]]&gt;0,1,0)</f>
        <v>0</v>
      </c>
      <c r="M795">
        <f t="shared" si="37"/>
        <v>4</v>
      </c>
      <c r="N795">
        <f t="shared" si="38"/>
        <v>1</v>
      </c>
    </row>
    <row r="796" spans="1:14" x14ac:dyDescent="0.3">
      <c r="A796">
        <f>HeartData[[#This Row],[id]]</f>
        <v>795</v>
      </c>
      <c r="B796" s="4">
        <f>HeartData[[#This Row],[age]]</f>
        <v>72</v>
      </c>
      <c r="C796" t="str">
        <f>HeartData[[#This Row],[sex]]</f>
        <v>Male</v>
      </c>
      <c r="D796" t="str">
        <f t="shared" si="36"/>
        <v>65+</v>
      </c>
      <c r="E796" t="str">
        <f>HeartData[[#This Row],[cp]]</f>
        <v>non-anginal</v>
      </c>
      <c r="F796" t="str">
        <f>IF(HeartData[[#This Row],[num]]&gt;0, "Diseased", "Healthy")</f>
        <v>Diseased</v>
      </c>
      <c r="G796">
        <f>IF(HeartData[[#This Row],[chol]]&gt;$P$3, 1, 0)</f>
        <v>1</v>
      </c>
      <c r="H796">
        <f>IF(HeartData[[#This Row],[trestbps]]&gt;$P$4, 1, 0)</f>
        <v>1</v>
      </c>
      <c r="I796">
        <f>IF(HeartData[[#This Row],[oldpeak]]&gt;$P$5,1,0)</f>
        <v>1</v>
      </c>
      <c r="J796">
        <f>IF(HeartData[[#This Row],[exang]]="TRUE",1,0)</f>
        <v>1</v>
      </c>
      <c r="K796">
        <f>IF(HeartData[[#This Row],[fbs]]="TRUE",1,0)</f>
        <v>0</v>
      </c>
      <c r="L796">
        <f>IF(HeartData[[#This Row],[ca]]&gt;0,1,0)</f>
        <v>0</v>
      </c>
      <c r="M796">
        <f t="shared" si="37"/>
        <v>4</v>
      </c>
      <c r="N796">
        <f t="shared" si="38"/>
        <v>1</v>
      </c>
    </row>
    <row r="797" spans="1:14" x14ac:dyDescent="0.3">
      <c r="A797">
        <f>HeartData[[#This Row],[id]]</f>
        <v>796</v>
      </c>
      <c r="B797" s="4">
        <f>HeartData[[#This Row],[age]]</f>
        <v>75</v>
      </c>
      <c r="C797" t="str">
        <f>HeartData[[#This Row],[sex]]</f>
        <v>Male</v>
      </c>
      <c r="D797" t="str">
        <f t="shared" si="36"/>
        <v>65+</v>
      </c>
      <c r="E797" t="str">
        <f>HeartData[[#This Row],[cp]]</f>
        <v>asymptomatic</v>
      </c>
      <c r="F797" t="str">
        <f>IF(HeartData[[#This Row],[num]]&gt;0, "Diseased", "Healthy")</f>
        <v>Diseased</v>
      </c>
      <c r="G797">
        <f>IF(HeartData[[#This Row],[chol]]&gt;$P$3, 1, 0)</f>
        <v>1</v>
      </c>
      <c r="H797">
        <f>IF(HeartData[[#This Row],[trestbps]]&gt;$P$4, 1, 0)</f>
        <v>1</v>
      </c>
      <c r="I797">
        <f>IF(HeartData[[#This Row],[oldpeak]]&gt;$P$5,1,0)</f>
        <v>0</v>
      </c>
      <c r="J797">
        <f>IF(HeartData[[#This Row],[exang]]="TRUE",1,0)</f>
        <v>0</v>
      </c>
      <c r="K797">
        <f>IF(HeartData[[#This Row],[fbs]]="TRUE",1,0)</f>
        <v>1</v>
      </c>
      <c r="L797">
        <f>IF(HeartData[[#This Row],[ca]]&gt;0,1,0)</f>
        <v>0</v>
      </c>
      <c r="M797">
        <f t="shared" si="37"/>
        <v>3</v>
      </c>
      <c r="N797">
        <f t="shared" si="38"/>
        <v>1</v>
      </c>
    </row>
    <row r="798" spans="1:14" x14ac:dyDescent="0.3">
      <c r="A798">
        <f>HeartData[[#This Row],[id]]</f>
        <v>797</v>
      </c>
      <c r="B798" s="4">
        <f>HeartData[[#This Row],[age]]</f>
        <v>49</v>
      </c>
      <c r="C798" t="str">
        <f>HeartData[[#This Row],[sex]]</f>
        <v>Male</v>
      </c>
      <c r="D798" t="str">
        <f t="shared" si="36"/>
        <v>45-54</v>
      </c>
      <c r="E798" t="str">
        <f>HeartData[[#This Row],[cp]]</f>
        <v>typical angina</v>
      </c>
      <c r="F798" t="str">
        <f>IF(HeartData[[#This Row],[num]]&gt;0, "Diseased", "Healthy")</f>
        <v>Diseased</v>
      </c>
      <c r="G798">
        <f>IF(HeartData[[#This Row],[chol]]&gt;$P$3, 1, 0)</f>
        <v>0</v>
      </c>
      <c r="H798">
        <f>IF(HeartData[[#This Row],[trestbps]]&gt;$P$4, 1, 0)</f>
        <v>1</v>
      </c>
      <c r="I798">
        <f>IF(HeartData[[#This Row],[oldpeak]]&gt;$P$5,1,0)</f>
        <v>1</v>
      </c>
      <c r="J798">
        <f>IF(HeartData[[#This Row],[exang]]="TRUE",1,0)</f>
        <v>0</v>
      </c>
      <c r="K798">
        <f>IF(HeartData[[#This Row],[fbs]]="TRUE",1,0)</f>
        <v>0</v>
      </c>
      <c r="L798">
        <f>IF(HeartData[[#This Row],[ca]]&gt;0,1,0)</f>
        <v>0</v>
      </c>
      <c r="M798">
        <f t="shared" si="37"/>
        <v>2</v>
      </c>
      <c r="N798">
        <f t="shared" si="38"/>
        <v>1</v>
      </c>
    </row>
    <row r="799" spans="1:14" x14ac:dyDescent="0.3">
      <c r="A799">
        <f>HeartData[[#This Row],[id]]</f>
        <v>798</v>
      </c>
      <c r="B799" s="4">
        <f>HeartData[[#This Row],[age]]</f>
        <v>51</v>
      </c>
      <c r="C799" t="str">
        <f>HeartData[[#This Row],[sex]]</f>
        <v>Male</v>
      </c>
      <c r="D799" t="str">
        <f t="shared" si="36"/>
        <v>45-54</v>
      </c>
      <c r="E799" t="str">
        <f>HeartData[[#This Row],[cp]]</f>
        <v>non-anginal</v>
      </c>
      <c r="F799" t="str">
        <f>IF(HeartData[[#This Row],[num]]&gt;0, "Diseased", "Healthy")</f>
        <v>Diseased</v>
      </c>
      <c r="G799">
        <f>IF(HeartData[[#This Row],[chol]]&gt;$P$3, 1, 0)</f>
        <v>1</v>
      </c>
      <c r="H799">
        <f>IF(HeartData[[#This Row],[trestbps]]&gt;$P$4, 1, 0)</f>
        <v>0</v>
      </c>
      <c r="I799">
        <f>IF(HeartData[[#This Row],[oldpeak]]&gt;$P$5,1,0)</f>
        <v>0</v>
      </c>
      <c r="J799">
        <f>IF(HeartData[[#This Row],[exang]]="TRUE",1,0)</f>
        <v>0</v>
      </c>
      <c r="K799">
        <f>IF(HeartData[[#This Row],[fbs]]="TRUE",1,0)</f>
        <v>0</v>
      </c>
      <c r="L799">
        <f>IF(HeartData[[#This Row],[ca]]&gt;0,1,0)</f>
        <v>0</v>
      </c>
      <c r="M799">
        <f t="shared" si="37"/>
        <v>1</v>
      </c>
      <c r="N799">
        <f t="shared" si="38"/>
        <v>1</v>
      </c>
    </row>
    <row r="800" spans="1:14" x14ac:dyDescent="0.3">
      <c r="A800">
        <f>HeartData[[#This Row],[id]]</f>
        <v>799</v>
      </c>
      <c r="B800" s="4">
        <f>HeartData[[#This Row],[age]]</f>
        <v>60</v>
      </c>
      <c r="C800" t="str">
        <f>HeartData[[#This Row],[sex]]</f>
        <v>Male</v>
      </c>
      <c r="D800" t="str">
        <f t="shared" si="36"/>
        <v>55-64</v>
      </c>
      <c r="E800" t="str">
        <f>HeartData[[#This Row],[cp]]</f>
        <v>asymptomatic</v>
      </c>
      <c r="F800" t="str">
        <f>IF(HeartData[[#This Row],[num]]&gt;0, "Diseased", "Healthy")</f>
        <v>Diseased</v>
      </c>
      <c r="G800">
        <f>IF(HeartData[[#This Row],[chol]]&gt;$P$3, 1, 0)</f>
        <v>1</v>
      </c>
      <c r="H800">
        <f>IF(HeartData[[#This Row],[trestbps]]&gt;$P$4, 1, 0)</f>
        <v>1</v>
      </c>
      <c r="I800">
        <f>IF(HeartData[[#This Row],[oldpeak]]&gt;$P$5,1,0)</f>
        <v>1</v>
      </c>
      <c r="J800">
        <f>IF(HeartData[[#This Row],[exang]]="TRUE",1,0)</f>
        <v>1</v>
      </c>
      <c r="K800">
        <f>IF(HeartData[[#This Row],[fbs]]="TRUE",1,0)</f>
        <v>0</v>
      </c>
      <c r="L800">
        <f>IF(HeartData[[#This Row],[ca]]&gt;0,1,0)</f>
        <v>0</v>
      </c>
      <c r="M800">
        <f t="shared" si="37"/>
        <v>4</v>
      </c>
      <c r="N800">
        <f t="shared" si="38"/>
        <v>1</v>
      </c>
    </row>
    <row r="801" spans="1:14" x14ac:dyDescent="0.3">
      <c r="A801">
        <f>HeartData[[#This Row],[id]]</f>
        <v>800</v>
      </c>
      <c r="B801" s="4">
        <f>HeartData[[#This Row],[age]]</f>
        <v>64</v>
      </c>
      <c r="C801" t="str">
        <f>HeartData[[#This Row],[sex]]</f>
        <v>Female</v>
      </c>
      <c r="D801" t="str">
        <f t="shared" si="36"/>
        <v>55-64</v>
      </c>
      <c r="E801" t="str">
        <f>HeartData[[#This Row],[cp]]</f>
        <v>asymptomatic</v>
      </c>
      <c r="F801" t="str">
        <f>IF(HeartData[[#This Row],[num]]&gt;0, "Diseased", "Healthy")</f>
        <v>Diseased</v>
      </c>
      <c r="G801">
        <f>IF(HeartData[[#This Row],[chol]]&gt;$P$3, 1, 0)</f>
        <v>1</v>
      </c>
      <c r="H801">
        <f>IF(HeartData[[#This Row],[trestbps]]&gt;$P$4, 1, 0)</f>
        <v>1</v>
      </c>
      <c r="I801">
        <f>IF(HeartData[[#This Row],[oldpeak]]&gt;$P$5,1,0)</f>
        <v>1</v>
      </c>
      <c r="J801">
        <f>IF(HeartData[[#This Row],[exang]]="TRUE",1,0)</f>
        <v>1</v>
      </c>
      <c r="K801">
        <f>IF(HeartData[[#This Row],[fbs]]="TRUE",1,0)</f>
        <v>0</v>
      </c>
      <c r="L801">
        <f>IF(HeartData[[#This Row],[ca]]&gt;0,1,0)</f>
        <v>0</v>
      </c>
      <c r="M801">
        <f t="shared" si="37"/>
        <v>4</v>
      </c>
      <c r="N801">
        <f t="shared" si="38"/>
        <v>1</v>
      </c>
    </row>
    <row r="802" spans="1:14" x14ac:dyDescent="0.3">
      <c r="A802">
        <f>HeartData[[#This Row],[id]]</f>
        <v>801</v>
      </c>
      <c r="B802" s="4">
        <f>HeartData[[#This Row],[age]]</f>
        <v>58</v>
      </c>
      <c r="C802" t="str">
        <f>HeartData[[#This Row],[sex]]</f>
        <v>Male</v>
      </c>
      <c r="D802" t="str">
        <f t="shared" si="36"/>
        <v>55-64</v>
      </c>
      <c r="E802" t="str">
        <f>HeartData[[#This Row],[cp]]</f>
        <v>asymptomatic</v>
      </c>
      <c r="F802" t="str">
        <f>IF(HeartData[[#This Row],[num]]&gt;0, "Diseased", "Healthy")</f>
        <v>Healthy</v>
      </c>
      <c r="G802">
        <f>IF(HeartData[[#This Row],[chol]]&gt;$P$3, 1, 0)</f>
        <v>1</v>
      </c>
      <c r="H802">
        <f>IF(HeartData[[#This Row],[trestbps]]&gt;$P$4, 1, 0)</f>
        <v>1</v>
      </c>
      <c r="I802">
        <f>IF(HeartData[[#This Row],[oldpeak]]&gt;$P$5,1,0)</f>
        <v>1</v>
      </c>
      <c r="J802">
        <f>IF(HeartData[[#This Row],[exang]]="TRUE",1,0)</f>
        <v>0</v>
      </c>
      <c r="K802">
        <f>IF(HeartData[[#This Row],[fbs]]="TRUE",1,0)</f>
        <v>1</v>
      </c>
      <c r="L802">
        <f>IF(HeartData[[#This Row],[ca]]&gt;0,1,0)</f>
        <v>0</v>
      </c>
      <c r="M802">
        <f t="shared" si="37"/>
        <v>4</v>
      </c>
      <c r="N802">
        <f t="shared" si="38"/>
        <v>0</v>
      </c>
    </row>
    <row r="803" spans="1:14" x14ac:dyDescent="0.3">
      <c r="A803">
        <f>HeartData[[#This Row],[id]]</f>
        <v>802</v>
      </c>
      <c r="B803" s="4">
        <f>HeartData[[#This Row],[age]]</f>
        <v>61</v>
      </c>
      <c r="C803" t="str">
        <f>HeartData[[#This Row],[sex]]</f>
        <v>Male</v>
      </c>
      <c r="D803" t="str">
        <f t="shared" si="36"/>
        <v>55-64</v>
      </c>
      <c r="E803" t="str">
        <f>HeartData[[#This Row],[cp]]</f>
        <v>asymptomatic</v>
      </c>
      <c r="F803" t="str">
        <f>IF(HeartData[[#This Row],[num]]&gt;0, "Diseased", "Healthy")</f>
        <v>Diseased</v>
      </c>
      <c r="G803">
        <f>IF(HeartData[[#This Row],[chol]]&gt;$P$3, 1, 0)</f>
        <v>1</v>
      </c>
      <c r="H803">
        <f>IF(HeartData[[#This Row],[trestbps]]&gt;$P$4, 1, 0)</f>
        <v>1</v>
      </c>
      <c r="I803">
        <f>IF(HeartData[[#This Row],[oldpeak]]&gt;$P$5,1,0)</f>
        <v>1</v>
      </c>
      <c r="J803">
        <f>IF(HeartData[[#This Row],[exang]]="TRUE",1,0)</f>
        <v>1</v>
      </c>
      <c r="K803">
        <f>IF(HeartData[[#This Row],[fbs]]="TRUE",1,0)</f>
        <v>0</v>
      </c>
      <c r="L803">
        <f>IF(HeartData[[#This Row],[ca]]&gt;0,1,0)</f>
        <v>0</v>
      </c>
      <c r="M803">
        <f t="shared" si="37"/>
        <v>4</v>
      </c>
      <c r="N803">
        <f t="shared" si="38"/>
        <v>1</v>
      </c>
    </row>
    <row r="804" spans="1:14" x14ac:dyDescent="0.3">
      <c r="A804">
        <f>HeartData[[#This Row],[id]]</f>
        <v>803</v>
      </c>
      <c r="B804" s="4">
        <f>HeartData[[#This Row],[age]]</f>
        <v>67</v>
      </c>
      <c r="C804" t="str">
        <f>HeartData[[#This Row],[sex]]</f>
        <v>Male</v>
      </c>
      <c r="D804" t="str">
        <f t="shared" si="36"/>
        <v>65+</v>
      </c>
      <c r="E804" t="str">
        <f>HeartData[[#This Row],[cp]]</f>
        <v>asymptomatic</v>
      </c>
      <c r="F804" t="str">
        <f>IF(HeartData[[#This Row],[num]]&gt;0, "Diseased", "Healthy")</f>
        <v>Diseased</v>
      </c>
      <c r="G804">
        <f>IF(HeartData[[#This Row],[chol]]&gt;$P$3, 1, 0)</f>
        <v>1</v>
      </c>
      <c r="H804">
        <f>IF(HeartData[[#This Row],[trestbps]]&gt;$P$4, 1, 0)</f>
        <v>1</v>
      </c>
      <c r="I804">
        <f>IF(HeartData[[#This Row],[oldpeak]]&gt;$P$5,1,0)</f>
        <v>0</v>
      </c>
      <c r="J804">
        <f>IF(HeartData[[#This Row],[exang]]="TRUE",1,0)</f>
        <v>1</v>
      </c>
      <c r="K804">
        <f>IF(HeartData[[#This Row],[fbs]]="TRUE",1,0)</f>
        <v>1</v>
      </c>
      <c r="L804">
        <f>IF(HeartData[[#This Row],[ca]]&gt;0,1,0)</f>
        <v>0</v>
      </c>
      <c r="M804">
        <f t="shared" si="37"/>
        <v>4</v>
      </c>
      <c r="N804">
        <f t="shared" si="38"/>
        <v>1</v>
      </c>
    </row>
    <row r="805" spans="1:14" x14ac:dyDescent="0.3">
      <c r="A805">
        <f>HeartData[[#This Row],[id]]</f>
        <v>804</v>
      </c>
      <c r="B805" s="4">
        <f>HeartData[[#This Row],[age]]</f>
        <v>62</v>
      </c>
      <c r="C805" t="str">
        <f>HeartData[[#This Row],[sex]]</f>
        <v>Male</v>
      </c>
      <c r="D805" t="str">
        <f t="shared" si="36"/>
        <v>55-64</v>
      </c>
      <c r="E805" t="str">
        <f>HeartData[[#This Row],[cp]]</f>
        <v>asymptomatic</v>
      </c>
      <c r="F805" t="str">
        <f>IF(HeartData[[#This Row],[num]]&gt;0, "Diseased", "Healthy")</f>
        <v>Diseased</v>
      </c>
      <c r="G805">
        <f>IF(HeartData[[#This Row],[chol]]&gt;$P$3, 1, 0)</f>
        <v>1</v>
      </c>
      <c r="H805">
        <f>IF(HeartData[[#This Row],[trestbps]]&gt;$P$4, 1, 0)</f>
        <v>1</v>
      </c>
      <c r="I805">
        <f>IF(HeartData[[#This Row],[oldpeak]]&gt;$P$5,1,0)</f>
        <v>1</v>
      </c>
      <c r="J805">
        <f>IF(HeartData[[#This Row],[exang]]="TRUE",1,0)</f>
        <v>1</v>
      </c>
      <c r="K805">
        <f>IF(HeartData[[#This Row],[fbs]]="TRUE",1,0)</f>
        <v>0</v>
      </c>
      <c r="L805">
        <f>IF(HeartData[[#This Row],[ca]]&gt;0,1,0)</f>
        <v>0</v>
      </c>
      <c r="M805">
        <f t="shared" si="37"/>
        <v>4</v>
      </c>
      <c r="N805">
        <f t="shared" si="38"/>
        <v>1</v>
      </c>
    </row>
    <row r="806" spans="1:14" x14ac:dyDescent="0.3">
      <c r="A806">
        <f>HeartData[[#This Row],[id]]</f>
        <v>805</v>
      </c>
      <c r="B806" s="4">
        <f>HeartData[[#This Row],[age]]</f>
        <v>65</v>
      </c>
      <c r="C806" t="str">
        <f>HeartData[[#This Row],[sex]]</f>
        <v>Male</v>
      </c>
      <c r="D806" t="str">
        <f t="shared" si="36"/>
        <v>65+</v>
      </c>
      <c r="E806" t="str">
        <f>HeartData[[#This Row],[cp]]</f>
        <v>asymptomatic</v>
      </c>
      <c r="F806" t="str">
        <f>IF(HeartData[[#This Row],[num]]&gt;0, "Diseased", "Healthy")</f>
        <v>Diseased</v>
      </c>
      <c r="G806">
        <f>IF(HeartData[[#This Row],[chol]]&gt;$P$3, 1, 0)</f>
        <v>1</v>
      </c>
      <c r="H806">
        <f>IF(HeartData[[#This Row],[trestbps]]&gt;$P$4, 1, 0)</f>
        <v>1</v>
      </c>
      <c r="I806">
        <f>IF(HeartData[[#This Row],[oldpeak]]&gt;$P$5,1,0)</f>
        <v>1</v>
      </c>
      <c r="J806">
        <f>IF(HeartData[[#This Row],[exang]]="TRUE",1,0)</f>
        <v>1</v>
      </c>
      <c r="K806">
        <f>IF(HeartData[[#This Row],[fbs]]="TRUE",1,0)</f>
        <v>0</v>
      </c>
      <c r="L806">
        <f>IF(HeartData[[#This Row],[ca]]&gt;0,1,0)</f>
        <v>0</v>
      </c>
      <c r="M806">
        <f t="shared" si="37"/>
        <v>4</v>
      </c>
      <c r="N806">
        <f t="shared" si="38"/>
        <v>1</v>
      </c>
    </row>
    <row r="807" spans="1:14" x14ac:dyDescent="0.3">
      <c r="A807">
        <f>HeartData[[#This Row],[id]]</f>
        <v>806</v>
      </c>
      <c r="B807" s="4">
        <f>HeartData[[#This Row],[age]]</f>
        <v>63</v>
      </c>
      <c r="C807" t="str">
        <f>HeartData[[#This Row],[sex]]</f>
        <v>Male</v>
      </c>
      <c r="D807" t="str">
        <f t="shared" si="36"/>
        <v>55-64</v>
      </c>
      <c r="E807" t="str">
        <f>HeartData[[#This Row],[cp]]</f>
        <v>asymptomatic</v>
      </c>
      <c r="F807" t="str">
        <f>IF(HeartData[[#This Row],[num]]&gt;0, "Diseased", "Healthy")</f>
        <v>Diseased</v>
      </c>
      <c r="G807">
        <f>IF(HeartData[[#This Row],[chol]]&gt;$P$3, 1, 0)</f>
        <v>1</v>
      </c>
      <c r="H807">
        <f>IF(HeartData[[#This Row],[trestbps]]&gt;$P$4, 1, 0)</f>
        <v>1</v>
      </c>
      <c r="I807">
        <f>IF(HeartData[[#This Row],[oldpeak]]&gt;$P$5,1,0)</f>
        <v>1</v>
      </c>
      <c r="J807">
        <f>IF(HeartData[[#This Row],[exang]]="TRUE",1,0)</f>
        <v>1</v>
      </c>
      <c r="K807">
        <f>IF(HeartData[[#This Row],[fbs]]="TRUE",1,0)</f>
        <v>0</v>
      </c>
      <c r="L807">
        <f>IF(HeartData[[#This Row],[ca]]&gt;0,1,0)</f>
        <v>0</v>
      </c>
      <c r="M807">
        <f t="shared" si="37"/>
        <v>4</v>
      </c>
      <c r="N807">
        <f t="shared" si="38"/>
        <v>1</v>
      </c>
    </row>
    <row r="808" spans="1:14" x14ac:dyDescent="0.3">
      <c r="A808">
        <f>HeartData[[#This Row],[id]]</f>
        <v>807</v>
      </c>
      <c r="B808" s="4">
        <f>HeartData[[#This Row],[age]]</f>
        <v>69</v>
      </c>
      <c r="C808" t="str">
        <f>HeartData[[#This Row],[sex]]</f>
        <v>Male</v>
      </c>
      <c r="D808" t="str">
        <f t="shared" si="36"/>
        <v>65+</v>
      </c>
      <c r="E808" t="str">
        <f>HeartData[[#This Row],[cp]]</f>
        <v>asymptomatic</v>
      </c>
      <c r="F808" t="str">
        <f>IF(HeartData[[#This Row],[num]]&gt;0, "Diseased", "Healthy")</f>
        <v>Diseased</v>
      </c>
      <c r="G808">
        <f>IF(HeartData[[#This Row],[chol]]&gt;$P$3, 1, 0)</f>
        <v>1</v>
      </c>
      <c r="H808">
        <f>IF(HeartData[[#This Row],[trestbps]]&gt;$P$4, 1, 0)</f>
        <v>1</v>
      </c>
      <c r="I808">
        <f>IF(HeartData[[#This Row],[oldpeak]]&gt;$P$5,1,0)</f>
        <v>1</v>
      </c>
      <c r="J808">
        <f>IF(HeartData[[#This Row],[exang]]="TRUE",1,0)</f>
        <v>1</v>
      </c>
      <c r="K808">
        <f>IF(HeartData[[#This Row],[fbs]]="TRUE",1,0)</f>
        <v>0</v>
      </c>
      <c r="L808">
        <f>IF(HeartData[[#This Row],[ca]]&gt;0,1,0)</f>
        <v>0</v>
      </c>
      <c r="M808">
        <f t="shared" si="37"/>
        <v>4</v>
      </c>
      <c r="N808">
        <f t="shared" si="38"/>
        <v>1</v>
      </c>
    </row>
    <row r="809" spans="1:14" x14ac:dyDescent="0.3">
      <c r="A809">
        <f>HeartData[[#This Row],[id]]</f>
        <v>808</v>
      </c>
      <c r="B809" s="4">
        <f>HeartData[[#This Row],[age]]</f>
        <v>51</v>
      </c>
      <c r="C809" t="str">
        <f>HeartData[[#This Row],[sex]]</f>
        <v>Male</v>
      </c>
      <c r="D809" t="str">
        <f t="shared" si="36"/>
        <v>45-54</v>
      </c>
      <c r="E809" t="str">
        <f>HeartData[[#This Row],[cp]]</f>
        <v>asymptomatic</v>
      </c>
      <c r="F809" t="str">
        <f>IF(HeartData[[#This Row],[num]]&gt;0, "Diseased", "Healthy")</f>
        <v>Healthy</v>
      </c>
      <c r="G809">
        <f>IF(HeartData[[#This Row],[chol]]&gt;$P$3, 1, 0)</f>
        <v>1</v>
      </c>
      <c r="H809">
        <f>IF(HeartData[[#This Row],[trestbps]]&gt;$P$4, 1, 0)</f>
        <v>0</v>
      </c>
      <c r="I809">
        <f>IF(HeartData[[#This Row],[oldpeak]]&gt;$P$5,1,0)</f>
        <v>0</v>
      </c>
      <c r="J809">
        <f>IF(HeartData[[#This Row],[exang]]="TRUE",1,0)</f>
        <v>0</v>
      </c>
      <c r="K809">
        <f>IF(HeartData[[#This Row],[fbs]]="TRUE",1,0)</f>
        <v>1</v>
      </c>
      <c r="L809">
        <f>IF(HeartData[[#This Row],[ca]]&gt;0,1,0)</f>
        <v>0</v>
      </c>
      <c r="M809">
        <f t="shared" si="37"/>
        <v>2</v>
      </c>
      <c r="N809">
        <f t="shared" si="38"/>
        <v>0</v>
      </c>
    </row>
    <row r="810" spans="1:14" x14ac:dyDescent="0.3">
      <c r="A810">
        <f>HeartData[[#This Row],[id]]</f>
        <v>809</v>
      </c>
      <c r="B810" s="4">
        <f>HeartData[[#This Row],[age]]</f>
        <v>62</v>
      </c>
      <c r="C810" t="str">
        <f>HeartData[[#This Row],[sex]]</f>
        <v>Male</v>
      </c>
      <c r="D810" t="str">
        <f t="shared" si="36"/>
        <v>55-64</v>
      </c>
      <c r="E810" t="str">
        <f>HeartData[[#This Row],[cp]]</f>
        <v>asymptomatic</v>
      </c>
      <c r="F810" t="str">
        <f>IF(HeartData[[#This Row],[num]]&gt;0, "Diseased", "Healthy")</f>
        <v>Diseased</v>
      </c>
      <c r="G810">
        <f>IF(HeartData[[#This Row],[chol]]&gt;$P$3, 1, 0)</f>
        <v>1</v>
      </c>
      <c r="H810">
        <f>IF(HeartData[[#This Row],[trestbps]]&gt;$P$4, 1, 0)</f>
        <v>1</v>
      </c>
      <c r="I810">
        <f>IF(HeartData[[#This Row],[oldpeak]]&gt;$P$5,1,0)</f>
        <v>1</v>
      </c>
      <c r="J810">
        <f>IF(HeartData[[#This Row],[exang]]="TRUE",1,0)</f>
        <v>1</v>
      </c>
      <c r="K810">
        <f>IF(HeartData[[#This Row],[fbs]]="TRUE",1,0)</f>
        <v>1</v>
      </c>
      <c r="L810">
        <f>IF(HeartData[[#This Row],[ca]]&gt;0,1,0)</f>
        <v>0</v>
      </c>
      <c r="M810">
        <f t="shared" si="37"/>
        <v>5</v>
      </c>
      <c r="N810">
        <f t="shared" si="38"/>
        <v>1</v>
      </c>
    </row>
    <row r="811" spans="1:14" x14ac:dyDescent="0.3">
      <c r="A811">
        <f>HeartData[[#This Row],[id]]</f>
        <v>810</v>
      </c>
      <c r="B811" s="4">
        <f>HeartData[[#This Row],[age]]</f>
        <v>55</v>
      </c>
      <c r="C811" t="str">
        <f>HeartData[[#This Row],[sex]]</f>
        <v>Male</v>
      </c>
      <c r="D811" t="str">
        <f t="shared" si="36"/>
        <v>55-64</v>
      </c>
      <c r="E811" t="str">
        <f>HeartData[[#This Row],[cp]]</f>
        <v>non-anginal</v>
      </c>
      <c r="F811" t="str">
        <f>IF(HeartData[[#This Row],[num]]&gt;0, "Diseased", "Healthy")</f>
        <v>Diseased</v>
      </c>
      <c r="G811">
        <f>IF(HeartData[[#This Row],[chol]]&gt;$P$3, 1, 0)</f>
        <v>1</v>
      </c>
      <c r="H811">
        <f>IF(HeartData[[#This Row],[trestbps]]&gt;$P$4, 1, 0)</f>
        <v>0</v>
      </c>
      <c r="I811">
        <f>IF(HeartData[[#This Row],[oldpeak]]&gt;$P$5,1,0)</f>
        <v>0</v>
      </c>
      <c r="J811">
        <f>IF(HeartData[[#This Row],[exang]]="TRUE",1,0)</f>
        <v>0</v>
      </c>
      <c r="K811">
        <f>IF(HeartData[[#This Row],[fbs]]="TRUE",1,0)</f>
        <v>1</v>
      </c>
      <c r="L811">
        <f>IF(HeartData[[#This Row],[ca]]&gt;0,1,0)</f>
        <v>0</v>
      </c>
      <c r="M811">
        <f t="shared" si="37"/>
        <v>2</v>
      </c>
      <c r="N811">
        <f t="shared" si="38"/>
        <v>1</v>
      </c>
    </row>
    <row r="812" spans="1:14" x14ac:dyDescent="0.3">
      <c r="A812">
        <f>HeartData[[#This Row],[id]]</f>
        <v>811</v>
      </c>
      <c r="B812" s="4">
        <f>HeartData[[#This Row],[age]]</f>
        <v>75</v>
      </c>
      <c r="C812" t="str">
        <f>HeartData[[#This Row],[sex]]</f>
        <v>Male</v>
      </c>
      <c r="D812" t="str">
        <f t="shared" si="36"/>
        <v>65+</v>
      </c>
      <c r="E812" t="str">
        <f>HeartData[[#This Row],[cp]]</f>
        <v>asymptomatic</v>
      </c>
      <c r="F812" t="str">
        <f>IF(HeartData[[#This Row],[num]]&gt;0, "Diseased", "Healthy")</f>
        <v>Diseased</v>
      </c>
      <c r="G812">
        <f>IF(HeartData[[#This Row],[chol]]&gt;$P$3, 1, 0)</f>
        <v>1</v>
      </c>
      <c r="H812">
        <f>IF(HeartData[[#This Row],[trestbps]]&gt;$P$4, 1, 0)</f>
        <v>1</v>
      </c>
      <c r="I812">
        <f>IF(HeartData[[#This Row],[oldpeak]]&gt;$P$5,1,0)</f>
        <v>1</v>
      </c>
      <c r="J812">
        <f>IF(HeartData[[#This Row],[exang]]="TRUE",1,0)</f>
        <v>1</v>
      </c>
      <c r="K812">
        <f>IF(HeartData[[#This Row],[fbs]]="TRUE",1,0)</f>
        <v>0</v>
      </c>
      <c r="L812">
        <f>IF(HeartData[[#This Row],[ca]]&gt;0,1,0)</f>
        <v>0</v>
      </c>
      <c r="M812">
        <f t="shared" si="37"/>
        <v>4</v>
      </c>
      <c r="N812">
        <f t="shared" si="38"/>
        <v>1</v>
      </c>
    </row>
    <row r="813" spans="1:14" x14ac:dyDescent="0.3">
      <c r="A813">
        <f>HeartData[[#This Row],[id]]</f>
        <v>812</v>
      </c>
      <c r="B813" s="4">
        <f>HeartData[[#This Row],[age]]</f>
        <v>40</v>
      </c>
      <c r="C813" t="str">
        <f>HeartData[[#This Row],[sex]]</f>
        <v>Male</v>
      </c>
      <c r="D813" t="str">
        <f t="shared" si="36"/>
        <v>Under 45</v>
      </c>
      <c r="E813" t="str">
        <f>HeartData[[#This Row],[cp]]</f>
        <v>non-anginal</v>
      </c>
      <c r="F813" t="str">
        <f>IF(HeartData[[#This Row],[num]]&gt;0, "Diseased", "Healthy")</f>
        <v>Healthy</v>
      </c>
      <c r="G813">
        <f>IF(HeartData[[#This Row],[chol]]&gt;$P$3, 1, 0)</f>
        <v>1</v>
      </c>
      <c r="H813">
        <f>IF(HeartData[[#This Row],[trestbps]]&gt;$P$4, 1, 0)</f>
        <v>1</v>
      </c>
      <c r="I813">
        <f>IF(HeartData[[#This Row],[oldpeak]]&gt;$P$5,1,0)</f>
        <v>0</v>
      </c>
      <c r="J813">
        <f>IF(HeartData[[#This Row],[exang]]="TRUE",1,0)</f>
        <v>1</v>
      </c>
      <c r="K813">
        <f>IF(HeartData[[#This Row],[fbs]]="TRUE",1,0)</f>
        <v>0</v>
      </c>
      <c r="L813">
        <f>IF(HeartData[[#This Row],[ca]]&gt;0,1,0)</f>
        <v>0</v>
      </c>
      <c r="M813">
        <f t="shared" si="37"/>
        <v>3</v>
      </c>
      <c r="N813">
        <f t="shared" si="38"/>
        <v>0</v>
      </c>
    </row>
    <row r="814" spans="1:14" x14ac:dyDescent="0.3">
      <c r="A814">
        <f>HeartData[[#This Row],[id]]</f>
        <v>813</v>
      </c>
      <c r="B814" s="4">
        <f>HeartData[[#This Row],[age]]</f>
        <v>67</v>
      </c>
      <c r="C814" t="str">
        <f>HeartData[[#This Row],[sex]]</f>
        <v>Male</v>
      </c>
      <c r="D814" t="str">
        <f t="shared" si="36"/>
        <v>65+</v>
      </c>
      <c r="E814" t="str">
        <f>HeartData[[#This Row],[cp]]</f>
        <v>asymptomatic</v>
      </c>
      <c r="F814" t="str">
        <f>IF(HeartData[[#This Row],[num]]&gt;0, "Diseased", "Healthy")</f>
        <v>Diseased</v>
      </c>
      <c r="G814">
        <f>IF(HeartData[[#This Row],[chol]]&gt;$P$3, 1, 0)</f>
        <v>0</v>
      </c>
      <c r="H814">
        <f>IF(HeartData[[#This Row],[trestbps]]&gt;$P$4, 1, 0)</f>
        <v>1</v>
      </c>
      <c r="I814">
        <f>IF(HeartData[[#This Row],[oldpeak]]&gt;$P$5,1,0)</f>
        <v>1</v>
      </c>
      <c r="J814">
        <f>IF(HeartData[[#This Row],[exang]]="TRUE",1,0)</f>
        <v>0</v>
      </c>
      <c r="K814">
        <f>IF(HeartData[[#This Row],[fbs]]="TRUE",1,0)</f>
        <v>1</v>
      </c>
      <c r="L814">
        <f>IF(HeartData[[#This Row],[ca]]&gt;0,1,0)</f>
        <v>0</v>
      </c>
      <c r="M814">
        <f t="shared" si="37"/>
        <v>3</v>
      </c>
      <c r="N814">
        <f t="shared" si="38"/>
        <v>1</v>
      </c>
    </row>
    <row r="815" spans="1:14" x14ac:dyDescent="0.3">
      <c r="A815">
        <f>HeartData[[#This Row],[id]]</f>
        <v>814</v>
      </c>
      <c r="B815" s="4">
        <f>HeartData[[#This Row],[age]]</f>
        <v>58</v>
      </c>
      <c r="C815" t="str">
        <f>HeartData[[#This Row],[sex]]</f>
        <v>Male</v>
      </c>
      <c r="D815" t="str">
        <f t="shared" si="36"/>
        <v>55-64</v>
      </c>
      <c r="E815" t="str">
        <f>HeartData[[#This Row],[cp]]</f>
        <v>asymptomatic</v>
      </c>
      <c r="F815" t="str">
        <f>IF(HeartData[[#This Row],[num]]&gt;0, "Diseased", "Healthy")</f>
        <v>Diseased</v>
      </c>
      <c r="G815">
        <f>IF(HeartData[[#This Row],[chol]]&gt;$P$3, 1, 0)</f>
        <v>1</v>
      </c>
      <c r="H815">
        <f>IF(HeartData[[#This Row],[trestbps]]&gt;$P$4, 1, 0)</f>
        <v>1</v>
      </c>
      <c r="I815">
        <f>IF(HeartData[[#This Row],[oldpeak]]&gt;$P$5,1,0)</f>
        <v>0</v>
      </c>
      <c r="J815">
        <f>IF(HeartData[[#This Row],[exang]]="TRUE",1,0)</f>
        <v>0</v>
      </c>
      <c r="K815">
        <f>IF(HeartData[[#This Row],[fbs]]="TRUE",1,0)</f>
        <v>0</v>
      </c>
      <c r="L815">
        <f>IF(HeartData[[#This Row],[ca]]&gt;0,1,0)</f>
        <v>0</v>
      </c>
      <c r="M815">
        <f t="shared" si="37"/>
        <v>2</v>
      </c>
      <c r="N815">
        <f t="shared" si="38"/>
        <v>1</v>
      </c>
    </row>
    <row r="816" spans="1:14" x14ac:dyDescent="0.3">
      <c r="A816">
        <f>HeartData[[#This Row],[id]]</f>
        <v>815</v>
      </c>
      <c r="B816" s="4">
        <f>HeartData[[#This Row],[age]]</f>
        <v>60</v>
      </c>
      <c r="C816" t="str">
        <f>HeartData[[#This Row],[sex]]</f>
        <v>Male</v>
      </c>
      <c r="D816" t="str">
        <f t="shared" si="36"/>
        <v>55-64</v>
      </c>
      <c r="E816" t="str">
        <f>HeartData[[#This Row],[cp]]</f>
        <v>asymptomatic</v>
      </c>
      <c r="F816" t="str">
        <f>IF(HeartData[[#This Row],[num]]&gt;0, "Diseased", "Healthy")</f>
        <v>Healthy</v>
      </c>
      <c r="G816">
        <f>IF(HeartData[[#This Row],[chol]]&gt;$P$3, 1, 0)</f>
        <v>1</v>
      </c>
      <c r="H816">
        <f>IF(HeartData[[#This Row],[trestbps]]&gt;$P$4, 1, 0)</f>
        <v>0</v>
      </c>
      <c r="I816">
        <f>IF(HeartData[[#This Row],[oldpeak]]&gt;$P$5,1,0)</f>
        <v>0</v>
      </c>
      <c r="J816">
        <f>IF(HeartData[[#This Row],[exang]]="TRUE",1,0)</f>
        <v>0</v>
      </c>
      <c r="K816">
        <f>IF(HeartData[[#This Row],[fbs]]="TRUE",1,0)</f>
        <v>0</v>
      </c>
      <c r="L816">
        <f>IF(HeartData[[#This Row],[ca]]&gt;0,1,0)</f>
        <v>0</v>
      </c>
      <c r="M816">
        <f t="shared" si="37"/>
        <v>1</v>
      </c>
      <c r="N816">
        <f t="shared" si="38"/>
        <v>0</v>
      </c>
    </row>
    <row r="817" spans="1:14" x14ac:dyDescent="0.3">
      <c r="A817">
        <f>HeartData[[#This Row],[id]]</f>
        <v>816</v>
      </c>
      <c r="B817" s="4">
        <f>HeartData[[#This Row],[age]]</f>
        <v>63</v>
      </c>
      <c r="C817" t="str">
        <f>HeartData[[#This Row],[sex]]</f>
        <v>Male</v>
      </c>
      <c r="D817" t="str">
        <f t="shared" si="36"/>
        <v>55-64</v>
      </c>
      <c r="E817" t="str">
        <f>HeartData[[#This Row],[cp]]</f>
        <v>asymptomatic</v>
      </c>
      <c r="F817" t="str">
        <f>IF(HeartData[[#This Row],[num]]&gt;0, "Diseased", "Healthy")</f>
        <v>Diseased</v>
      </c>
      <c r="G817">
        <f>IF(HeartData[[#This Row],[chol]]&gt;$P$3, 1, 0)</f>
        <v>1</v>
      </c>
      <c r="H817">
        <f>IF(HeartData[[#This Row],[trestbps]]&gt;$P$4, 1, 0)</f>
        <v>1</v>
      </c>
      <c r="I817">
        <f>IF(HeartData[[#This Row],[oldpeak]]&gt;$P$5,1,0)</f>
        <v>1</v>
      </c>
      <c r="J817">
        <f>IF(HeartData[[#This Row],[exang]]="TRUE",1,0)</f>
        <v>1</v>
      </c>
      <c r="K817">
        <f>IF(HeartData[[#This Row],[fbs]]="TRUE",1,0)</f>
        <v>1</v>
      </c>
      <c r="L817">
        <f>IF(HeartData[[#This Row],[ca]]&gt;0,1,0)</f>
        <v>0</v>
      </c>
      <c r="M817">
        <f t="shared" si="37"/>
        <v>5</v>
      </c>
      <c r="N817">
        <f t="shared" si="38"/>
        <v>1</v>
      </c>
    </row>
    <row r="818" spans="1:14" x14ac:dyDescent="0.3">
      <c r="A818">
        <f>HeartData[[#This Row],[id]]</f>
        <v>817</v>
      </c>
      <c r="B818" s="4">
        <f>HeartData[[#This Row],[age]]</f>
        <v>35</v>
      </c>
      <c r="C818" t="str">
        <f>HeartData[[#This Row],[sex]]</f>
        <v>Male</v>
      </c>
      <c r="D818" t="str">
        <f t="shared" si="36"/>
        <v>Under 45</v>
      </c>
      <c r="E818" t="str">
        <f>HeartData[[#This Row],[cp]]</f>
        <v>non-anginal</v>
      </c>
      <c r="F818" t="str">
        <f>IF(HeartData[[#This Row],[num]]&gt;0, "Diseased", "Healthy")</f>
        <v>Healthy</v>
      </c>
      <c r="G818">
        <f>IF(HeartData[[#This Row],[chol]]&gt;$P$3, 1, 0)</f>
        <v>1</v>
      </c>
      <c r="H818">
        <f>IF(HeartData[[#This Row],[trestbps]]&gt;$P$4, 1, 0)</f>
        <v>0</v>
      </c>
      <c r="I818">
        <f>IF(HeartData[[#This Row],[oldpeak]]&gt;$P$5,1,0)</f>
        <v>0</v>
      </c>
      <c r="J818">
        <f>IF(HeartData[[#This Row],[exang]]="TRUE",1,0)</f>
        <v>0</v>
      </c>
      <c r="K818">
        <f>IF(HeartData[[#This Row],[fbs]]="TRUE",1,0)</f>
        <v>0</v>
      </c>
      <c r="L818">
        <f>IF(HeartData[[#This Row],[ca]]&gt;0,1,0)</f>
        <v>0</v>
      </c>
      <c r="M818">
        <f t="shared" si="37"/>
        <v>1</v>
      </c>
      <c r="N818">
        <f t="shared" si="38"/>
        <v>0</v>
      </c>
    </row>
    <row r="819" spans="1:14" x14ac:dyDescent="0.3">
      <c r="A819">
        <f>HeartData[[#This Row],[id]]</f>
        <v>818</v>
      </c>
      <c r="B819" s="4">
        <f>HeartData[[#This Row],[age]]</f>
        <v>62</v>
      </c>
      <c r="C819" t="str">
        <f>HeartData[[#This Row],[sex]]</f>
        <v>Male</v>
      </c>
      <c r="D819" t="str">
        <f t="shared" si="36"/>
        <v>55-64</v>
      </c>
      <c r="E819" t="str">
        <f>HeartData[[#This Row],[cp]]</f>
        <v>typical angina</v>
      </c>
      <c r="F819" t="str">
        <f>IF(HeartData[[#This Row],[num]]&gt;0, "Diseased", "Healthy")</f>
        <v>Diseased</v>
      </c>
      <c r="G819">
        <f>IF(HeartData[[#This Row],[chol]]&gt;$P$3, 1, 0)</f>
        <v>1</v>
      </c>
      <c r="H819">
        <f>IF(HeartData[[#This Row],[trestbps]]&gt;$P$4, 1, 0)</f>
        <v>1</v>
      </c>
      <c r="I819">
        <f>IF(HeartData[[#This Row],[oldpeak]]&gt;$P$5,1,0)</f>
        <v>0</v>
      </c>
      <c r="J819">
        <f>IF(HeartData[[#This Row],[exang]]="TRUE",1,0)</f>
        <v>1</v>
      </c>
      <c r="K819">
        <f>IF(HeartData[[#This Row],[fbs]]="TRUE",1,0)</f>
        <v>0</v>
      </c>
      <c r="L819">
        <f>IF(HeartData[[#This Row],[ca]]&gt;0,1,0)</f>
        <v>0</v>
      </c>
      <c r="M819">
        <f t="shared" si="37"/>
        <v>3</v>
      </c>
      <c r="N819">
        <f t="shared" si="38"/>
        <v>1</v>
      </c>
    </row>
    <row r="820" spans="1:14" x14ac:dyDescent="0.3">
      <c r="A820">
        <f>HeartData[[#This Row],[id]]</f>
        <v>819</v>
      </c>
      <c r="B820" s="4">
        <f>HeartData[[#This Row],[age]]</f>
        <v>43</v>
      </c>
      <c r="C820" t="str">
        <f>HeartData[[#This Row],[sex]]</f>
        <v>Male</v>
      </c>
      <c r="D820" t="str">
        <f t="shared" si="36"/>
        <v>Under 45</v>
      </c>
      <c r="E820" t="str">
        <f>HeartData[[#This Row],[cp]]</f>
        <v>asymptomatic</v>
      </c>
      <c r="F820" t="str">
        <f>IF(HeartData[[#This Row],[num]]&gt;0, "Diseased", "Healthy")</f>
        <v>Diseased</v>
      </c>
      <c r="G820">
        <f>IF(HeartData[[#This Row],[chol]]&gt;$P$3, 1, 0)</f>
        <v>0</v>
      </c>
      <c r="H820">
        <f>IF(HeartData[[#This Row],[trestbps]]&gt;$P$4, 1, 0)</f>
        <v>1</v>
      </c>
      <c r="I820">
        <f>IF(HeartData[[#This Row],[oldpeak]]&gt;$P$5,1,0)</f>
        <v>1</v>
      </c>
      <c r="J820">
        <f>IF(HeartData[[#This Row],[exang]]="TRUE",1,0)</f>
        <v>0</v>
      </c>
      <c r="K820">
        <f>IF(HeartData[[#This Row],[fbs]]="TRUE",1,0)</f>
        <v>0</v>
      </c>
      <c r="L820">
        <f>IF(HeartData[[#This Row],[ca]]&gt;0,1,0)</f>
        <v>0</v>
      </c>
      <c r="M820">
        <f t="shared" si="37"/>
        <v>2</v>
      </c>
      <c r="N820">
        <f t="shared" si="38"/>
        <v>1</v>
      </c>
    </row>
    <row r="821" spans="1:14" x14ac:dyDescent="0.3">
      <c r="A821">
        <f>HeartData[[#This Row],[id]]</f>
        <v>820</v>
      </c>
      <c r="B821" s="4">
        <f>HeartData[[#This Row],[age]]</f>
        <v>63</v>
      </c>
      <c r="C821" t="str">
        <f>HeartData[[#This Row],[sex]]</f>
        <v>Male</v>
      </c>
      <c r="D821" t="str">
        <f t="shared" si="36"/>
        <v>55-64</v>
      </c>
      <c r="E821" t="str">
        <f>HeartData[[#This Row],[cp]]</f>
        <v>non-anginal</v>
      </c>
      <c r="F821" t="str">
        <f>IF(HeartData[[#This Row],[num]]&gt;0, "Diseased", "Healthy")</f>
        <v>Healthy</v>
      </c>
      <c r="G821">
        <f>IF(HeartData[[#This Row],[chol]]&gt;$P$3, 1, 0)</f>
        <v>0</v>
      </c>
      <c r="H821">
        <f>IF(HeartData[[#This Row],[trestbps]]&gt;$P$4, 1, 0)</f>
        <v>1</v>
      </c>
      <c r="I821">
        <f>IF(HeartData[[#This Row],[oldpeak]]&gt;$P$5,1,0)</f>
        <v>1</v>
      </c>
      <c r="J821">
        <f>IF(HeartData[[#This Row],[exang]]="TRUE",1,0)</f>
        <v>0</v>
      </c>
      <c r="K821">
        <f>IF(HeartData[[#This Row],[fbs]]="TRUE",1,0)</f>
        <v>1</v>
      </c>
      <c r="L821">
        <f>IF(HeartData[[#This Row],[ca]]&gt;0,1,0)</f>
        <v>0</v>
      </c>
      <c r="M821">
        <f t="shared" si="37"/>
        <v>3</v>
      </c>
      <c r="N821">
        <f t="shared" si="38"/>
        <v>0</v>
      </c>
    </row>
    <row r="822" spans="1:14" x14ac:dyDescent="0.3">
      <c r="A822">
        <f>HeartData[[#This Row],[id]]</f>
        <v>821</v>
      </c>
      <c r="B822" s="4">
        <f>HeartData[[#This Row],[age]]</f>
        <v>68</v>
      </c>
      <c r="C822" t="str">
        <f>HeartData[[#This Row],[sex]]</f>
        <v>Male</v>
      </c>
      <c r="D822" t="str">
        <f t="shared" si="36"/>
        <v>65+</v>
      </c>
      <c r="E822" t="str">
        <f>HeartData[[#This Row],[cp]]</f>
        <v>non-anginal</v>
      </c>
      <c r="F822" t="str">
        <f>IF(HeartData[[#This Row],[num]]&gt;0, "Diseased", "Healthy")</f>
        <v>Diseased</v>
      </c>
      <c r="G822">
        <f>IF(HeartData[[#This Row],[chol]]&gt;$P$3, 1, 0)</f>
        <v>1</v>
      </c>
      <c r="H822">
        <f>IF(HeartData[[#This Row],[trestbps]]&gt;$P$4, 1, 0)</f>
        <v>1</v>
      </c>
      <c r="I822">
        <f>IF(HeartData[[#This Row],[oldpeak]]&gt;$P$5,1,0)</f>
        <v>0</v>
      </c>
      <c r="J822">
        <f>IF(HeartData[[#This Row],[exang]]="TRUE",1,0)</f>
        <v>0</v>
      </c>
      <c r="K822">
        <f>IF(HeartData[[#This Row],[fbs]]="TRUE",1,0)</f>
        <v>1</v>
      </c>
      <c r="L822">
        <f>IF(HeartData[[#This Row],[ca]]&gt;0,1,0)</f>
        <v>0</v>
      </c>
      <c r="M822">
        <f t="shared" si="37"/>
        <v>3</v>
      </c>
      <c r="N822">
        <f t="shared" si="38"/>
        <v>1</v>
      </c>
    </row>
    <row r="823" spans="1:14" x14ac:dyDescent="0.3">
      <c r="A823">
        <f>HeartData[[#This Row],[id]]</f>
        <v>822</v>
      </c>
      <c r="B823" s="4">
        <f>HeartData[[#This Row],[age]]</f>
        <v>65</v>
      </c>
      <c r="C823" t="str">
        <f>HeartData[[#This Row],[sex]]</f>
        <v>Male</v>
      </c>
      <c r="D823" t="str">
        <f t="shared" si="36"/>
        <v>65+</v>
      </c>
      <c r="E823" t="str">
        <f>HeartData[[#This Row],[cp]]</f>
        <v>asymptomatic</v>
      </c>
      <c r="F823" t="str">
        <f>IF(HeartData[[#This Row],[num]]&gt;0, "Diseased", "Healthy")</f>
        <v>Diseased</v>
      </c>
      <c r="G823">
        <f>IF(HeartData[[#This Row],[chol]]&gt;$P$3, 1, 0)</f>
        <v>1</v>
      </c>
      <c r="H823">
        <f>IF(HeartData[[#This Row],[trestbps]]&gt;$P$4, 1, 0)</f>
        <v>1</v>
      </c>
      <c r="I823">
        <f>IF(HeartData[[#This Row],[oldpeak]]&gt;$P$5,1,0)</f>
        <v>1</v>
      </c>
      <c r="J823">
        <f>IF(HeartData[[#This Row],[exang]]="TRUE",1,0)</f>
        <v>1</v>
      </c>
      <c r="K823">
        <f>IF(HeartData[[#This Row],[fbs]]="TRUE",1,0)</f>
        <v>0</v>
      </c>
      <c r="L823">
        <f>IF(HeartData[[#This Row],[ca]]&gt;0,1,0)</f>
        <v>0</v>
      </c>
      <c r="M823">
        <f t="shared" si="37"/>
        <v>4</v>
      </c>
      <c r="N823">
        <f t="shared" si="38"/>
        <v>1</v>
      </c>
    </row>
    <row r="824" spans="1:14" x14ac:dyDescent="0.3">
      <c r="A824">
        <f>HeartData[[#This Row],[id]]</f>
        <v>823</v>
      </c>
      <c r="B824" s="4">
        <f>HeartData[[#This Row],[age]]</f>
        <v>48</v>
      </c>
      <c r="C824" t="str">
        <f>HeartData[[#This Row],[sex]]</f>
        <v>Male</v>
      </c>
      <c r="D824" t="str">
        <f t="shared" si="36"/>
        <v>45-54</v>
      </c>
      <c r="E824" t="str">
        <f>HeartData[[#This Row],[cp]]</f>
        <v>non-anginal</v>
      </c>
      <c r="F824" t="str">
        <f>IF(HeartData[[#This Row],[num]]&gt;0, "Diseased", "Healthy")</f>
        <v>Diseased</v>
      </c>
      <c r="G824">
        <f>IF(HeartData[[#This Row],[chol]]&gt;$P$3, 1, 0)</f>
        <v>0</v>
      </c>
      <c r="H824">
        <f>IF(HeartData[[#This Row],[trestbps]]&gt;$P$4, 1, 0)</f>
        <v>1</v>
      </c>
      <c r="I824">
        <f>IF(HeartData[[#This Row],[oldpeak]]&gt;$P$5,1,0)</f>
        <v>1</v>
      </c>
      <c r="J824">
        <f>IF(HeartData[[#This Row],[exang]]="TRUE",1,0)</f>
        <v>1</v>
      </c>
      <c r="K824">
        <f>IF(HeartData[[#This Row],[fbs]]="TRUE",1,0)</f>
        <v>0</v>
      </c>
      <c r="L824">
        <f>IF(HeartData[[#This Row],[ca]]&gt;0,1,0)</f>
        <v>0</v>
      </c>
      <c r="M824">
        <f t="shared" si="37"/>
        <v>3</v>
      </c>
      <c r="N824">
        <f t="shared" si="38"/>
        <v>1</v>
      </c>
    </row>
    <row r="825" spans="1:14" x14ac:dyDescent="0.3">
      <c r="A825">
        <f>HeartData[[#This Row],[id]]</f>
        <v>824</v>
      </c>
      <c r="B825" s="4">
        <f>HeartData[[#This Row],[age]]</f>
        <v>63</v>
      </c>
      <c r="C825" t="str">
        <f>HeartData[[#This Row],[sex]]</f>
        <v>Male</v>
      </c>
      <c r="D825" t="str">
        <f t="shared" si="36"/>
        <v>55-64</v>
      </c>
      <c r="E825" t="str">
        <f>HeartData[[#This Row],[cp]]</f>
        <v>asymptomatic</v>
      </c>
      <c r="F825" t="str">
        <f>IF(HeartData[[#This Row],[num]]&gt;0, "Diseased", "Healthy")</f>
        <v>Diseased</v>
      </c>
      <c r="G825">
        <f>IF(HeartData[[#This Row],[chol]]&gt;$P$3, 1, 0)</f>
        <v>1</v>
      </c>
      <c r="H825">
        <f>IF(HeartData[[#This Row],[trestbps]]&gt;$P$4, 1, 0)</f>
        <v>1</v>
      </c>
      <c r="I825">
        <f>IF(HeartData[[#This Row],[oldpeak]]&gt;$P$5,1,0)</f>
        <v>1</v>
      </c>
      <c r="J825">
        <f>IF(HeartData[[#This Row],[exang]]="TRUE",1,0)</f>
        <v>1</v>
      </c>
      <c r="K825">
        <f>IF(HeartData[[#This Row],[fbs]]="TRUE",1,0)</f>
        <v>0</v>
      </c>
      <c r="L825">
        <f>IF(HeartData[[#This Row],[ca]]&gt;0,1,0)</f>
        <v>0</v>
      </c>
      <c r="M825">
        <f t="shared" si="37"/>
        <v>4</v>
      </c>
      <c r="N825">
        <f t="shared" si="38"/>
        <v>1</v>
      </c>
    </row>
    <row r="826" spans="1:14" x14ac:dyDescent="0.3">
      <c r="A826">
        <f>HeartData[[#This Row],[id]]</f>
        <v>825</v>
      </c>
      <c r="B826" s="4">
        <f>HeartData[[#This Row],[age]]</f>
        <v>64</v>
      </c>
      <c r="C826" t="str">
        <f>HeartData[[#This Row],[sex]]</f>
        <v>Male</v>
      </c>
      <c r="D826" t="str">
        <f t="shared" si="36"/>
        <v>55-64</v>
      </c>
      <c r="E826" t="str">
        <f>HeartData[[#This Row],[cp]]</f>
        <v>asymptomatic</v>
      </c>
      <c r="F826" t="str">
        <f>IF(HeartData[[#This Row],[num]]&gt;0, "Diseased", "Healthy")</f>
        <v>Healthy</v>
      </c>
      <c r="G826">
        <f>IF(HeartData[[#This Row],[chol]]&gt;$P$3, 1, 0)</f>
        <v>1</v>
      </c>
      <c r="H826">
        <f>IF(HeartData[[#This Row],[trestbps]]&gt;$P$4, 1, 0)</f>
        <v>1</v>
      </c>
      <c r="I826">
        <f>IF(HeartData[[#This Row],[oldpeak]]&gt;$P$5,1,0)</f>
        <v>1</v>
      </c>
      <c r="J826">
        <f>IF(HeartData[[#This Row],[exang]]="TRUE",1,0)</f>
        <v>0</v>
      </c>
      <c r="K826">
        <f>IF(HeartData[[#This Row],[fbs]]="TRUE",1,0)</f>
        <v>0</v>
      </c>
      <c r="L826">
        <f>IF(HeartData[[#This Row],[ca]]&gt;0,1,0)</f>
        <v>0</v>
      </c>
      <c r="M826">
        <f t="shared" si="37"/>
        <v>3</v>
      </c>
      <c r="N826">
        <f t="shared" si="38"/>
        <v>0</v>
      </c>
    </row>
    <row r="827" spans="1:14" x14ac:dyDescent="0.3">
      <c r="A827">
        <f>HeartData[[#This Row],[id]]</f>
        <v>826</v>
      </c>
      <c r="B827" s="4">
        <f>HeartData[[#This Row],[age]]</f>
        <v>61</v>
      </c>
      <c r="C827" t="str">
        <f>HeartData[[#This Row],[sex]]</f>
        <v>Male</v>
      </c>
      <c r="D827" t="str">
        <f t="shared" si="36"/>
        <v>55-64</v>
      </c>
      <c r="E827" t="str">
        <f>HeartData[[#This Row],[cp]]</f>
        <v>asymptomatic</v>
      </c>
      <c r="F827" t="str">
        <f>IF(HeartData[[#This Row],[num]]&gt;0, "Diseased", "Healthy")</f>
        <v>Diseased</v>
      </c>
      <c r="G827">
        <f>IF(HeartData[[#This Row],[chol]]&gt;$P$3, 1, 0)</f>
        <v>1</v>
      </c>
      <c r="H827">
        <f>IF(HeartData[[#This Row],[trestbps]]&gt;$P$4, 1, 0)</f>
        <v>1</v>
      </c>
      <c r="I827">
        <f>IF(HeartData[[#This Row],[oldpeak]]&gt;$P$5,1,0)</f>
        <v>1</v>
      </c>
      <c r="J827">
        <f>IF(HeartData[[#This Row],[exang]]="TRUE",1,0)</f>
        <v>1</v>
      </c>
      <c r="K827">
        <f>IF(HeartData[[#This Row],[fbs]]="TRUE",1,0)</f>
        <v>0</v>
      </c>
      <c r="L827">
        <f>IF(HeartData[[#This Row],[ca]]&gt;0,1,0)</f>
        <v>0</v>
      </c>
      <c r="M827">
        <f t="shared" si="37"/>
        <v>4</v>
      </c>
      <c r="N827">
        <f t="shared" si="38"/>
        <v>1</v>
      </c>
    </row>
    <row r="828" spans="1:14" x14ac:dyDescent="0.3">
      <c r="A828">
        <f>HeartData[[#This Row],[id]]</f>
        <v>827</v>
      </c>
      <c r="B828" s="4">
        <f>HeartData[[#This Row],[age]]</f>
        <v>50</v>
      </c>
      <c r="C828" t="str">
        <f>HeartData[[#This Row],[sex]]</f>
        <v>Male</v>
      </c>
      <c r="D828" t="str">
        <f t="shared" si="36"/>
        <v>45-54</v>
      </c>
      <c r="E828" t="str">
        <f>HeartData[[#This Row],[cp]]</f>
        <v>asymptomatic</v>
      </c>
      <c r="F828" t="str">
        <f>IF(HeartData[[#This Row],[num]]&gt;0, "Diseased", "Healthy")</f>
        <v>Diseased</v>
      </c>
      <c r="G828">
        <f>IF(HeartData[[#This Row],[chol]]&gt;$P$3, 1, 0)</f>
        <v>1</v>
      </c>
      <c r="H828">
        <f>IF(HeartData[[#This Row],[trestbps]]&gt;$P$4, 1, 0)</f>
        <v>1</v>
      </c>
      <c r="I828">
        <f>IF(HeartData[[#This Row],[oldpeak]]&gt;$P$5,1,0)</f>
        <v>1</v>
      </c>
      <c r="J828">
        <f>IF(HeartData[[#This Row],[exang]]="TRUE",1,0)</f>
        <v>1</v>
      </c>
      <c r="K828">
        <f>IF(HeartData[[#This Row],[fbs]]="TRUE",1,0)</f>
        <v>0</v>
      </c>
      <c r="L828">
        <f>IF(HeartData[[#This Row],[ca]]&gt;0,1,0)</f>
        <v>0</v>
      </c>
      <c r="M828">
        <f t="shared" si="37"/>
        <v>4</v>
      </c>
      <c r="N828">
        <f t="shared" si="38"/>
        <v>1</v>
      </c>
    </row>
    <row r="829" spans="1:14" x14ac:dyDescent="0.3">
      <c r="A829">
        <f>HeartData[[#This Row],[id]]</f>
        <v>828</v>
      </c>
      <c r="B829" s="4">
        <f>HeartData[[#This Row],[age]]</f>
        <v>59</v>
      </c>
      <c r="C829" t="str">
        <f>HeartData[[#This Row],[sex]]</f>
        <v>Male</v>
      </c>
      <c r="D829" t="str">
        <f t="shared" si="36"/>
        <v>55-64</v>
      </c>
      <c r="E829" t="str">
        <f>HeartData[[#This Row],[cp]]</f>
        <v>asymptomatic</v>
      </c>
      <c r="F829" t="str">
        <f>IF(HeartData[[#This Row],[num]]&gt;0, "Diseased", "Healthy")</f>
        <v>Diseased</v>
      </c>
      <c r="G829">
        <f>IF(HeartData[[#This Row],[chol]]&gt;$P$3, 1, 0)</f>
        <v>0</v>
      </c>
      <c r="H829">
        <f>IF(HeartData[[#This Row],[trestbps]]&gt;$P$4, 1, 0)</f>
        <v>1</v>
      </c>
      <c r="I829">
        <f>IF(HeartData[[#This Row],[oldpeak]]&gt;$P$5,1,0)</f>
        <v>1</v>
      </c>
      <c r="J829">
        <f>IF(HeartData[[#This Row],[exang]]="TRUE",1,0)</f>
        <v>1</v>
      </c>
      <c r="K829">
        <f>IF(HeartData[[#This Row],[fbs]]="TRUE",1,0)</f>
        <v>0</v>
      </c>
      <c r="L829">
        <f>IF(HeartData[[#This Row],[ca]]&gt;0,1,0)</f>
        <v>0</v>
      </c>
      <c r="M829">
        <f t="shared" si="37"/>
        <v>3</v>
      </c>
      <c r="N829">
        <f t="shared" si="38"/>
        <v>1</v>
      </c>
    </row>
    <row r="830" spans="1:14" x14ac:dyDescent="0.3">
      <c r="A830">
        <f>HeartData[[#This Row],[id]]</f>
        <v>829</v>
      </c>
      <c r="B830" s="4">
        <f>HeartData[[#This Row],[age]]</f>
        <v>55</v>
      </c>
      <c r="C830" t="str">
        <f>HeartData[[#This Row],[sex]]</f>
        <v>Male</v>
      </c>
      <c r="D830" t="str">
        <f t="shared" si="36"/>
        <v>55-64</v>
      </c>
      <c r="E830" t="str">
        <f>HeartData[[#This Row],[cp]]</f>
        <v>asymptomatic</v>
      </c>
      <c r="F830" t="str">
        <f>IF(HeartData[[#This Row],[num]]&gt;0, "Diseased", "Healthy")</f>
        <v>Healthy</v>
      </c>
      <c r="G830">
        <f>IF(HeartData[[#This Row],[chol]]&gt;$P$3, 1, 0)</f>
        <v>1</v>
      </c>
      <c r="H830">
        <f>IF(HeartData[[#This Row],[trestbps]]&gt;$P$4, 1, 0)</f>
        <v>1</v>
      </c>
      <c r="I830">
        <f>IF(HeartData[[#This Row],[oldpeak]]&gt;$P$5,1,0)</f>
        <v>0</v>
      </c>
      <c r="J830">
        <f>IF(HeartData[[#This Row],[exang]]="TRUE",1,0)</f>
        <v>0</v>
      </c>
      <c r="K830">
        <f>IF(HeartData[[#This Row],[fbs]]="TRUE",1,0)</f>
        <v>0</v>
      </c>
      <c r="L830">
        <f>IF(HeartData[[#This Row],[ca]]&gt;0,1,0)</f>
        <v>0</v>
      </c>
      <c r="M830">
        <f t="shared" si="37"/>
        <v>2</v>
      </c>
      <c r="N830">
        <f t="shared" si="38"/>
        <v>0</v>
      </c>
    </row>
    <row r="831" spans="1:14" x14ac:dyDescent="0.3">
      <c r="A831">
        <f>HeartData[[#This Row],[id]]</f>
        <v>830</v>
      </c>
      <c r="B831" s="4">
        <f>HeartData[[#This Row],[age]]</f>
        <v>45</v>
      </c>
      <c r="C831" t="str">
        <f>HeartData[[#This Row],[sex]]</f>
        <v>Male</v>
      </c>
      <c r="D831" t="str">
        <f t="shared" si="36"/>
        <v>45-54</v>
      </c>
      <c r="E831" t="str">
        <f>HeartData[[#This Row],[cp]]</f>
        <v>non-anginal</v>
      </c>
      <c r="F831" t="str">
        <f>IF(HeartData[[#This Row],[num]]&gt;0, "Diseased", "Healthy")</f>
        <v>Healthy</v>
      </c>
      <c r="G831">
        <f>IF(HeartData[[#This Row],[chol]]&gt;$P$3, 1, 0)</f>
        <v>1</v>
      </c>
      <c r="H831">
        <f>IF(HeartData[[#This Row],[trestbps]]&gt;$P$4, 1, 0)</f>
        <v>0</v>
      </c>
      <c r="I831">
        <f>IF(HeartData[[#This Row],[oldpeak]]&gt;$P$5,1,0)</f>
        <v>0</v>
      </c>
      <c r="J831">
        <f>IF(HeartData[[#This Row],[exang]]="TRUE",1,0)</f>
        <v>0</v>
      </c>
      <c r="K831">
        <f>IF(HeartData[[#This Row],[fbs]]="TRUE",1,0)</f>
        <v>0</v>
      </c>
      <c r="L831">
        <f>IF(HeartData[[#This Row],[ca]]&gt;0,1,0)</f>
        <v>0</v>
      </c>
      <c r="M831">
        <f t="shared" si="37"/>
        <v>1</v>
      </c>
      <c r="N831">
        <f t="shared" si="38"/>
        <v>0</v>
      </c>
    </row>
    <row r="832" spans="1:14" x14ac:dyDescent="0.3">
      <c r="A832">
        <f>HeartData[[#This Row],[id]]</f>
        <v>831</v>
      </c>
      <c r="B832" s="4">
        <f>HeartData[[#This Row],[age]]</f>
        <v>65</v>
      </c>
      <c r="C832" t="str">
        <f>HeartData[[#This Row],[sex]]</f>
        <v>Male</v>
      </c>
      <c r="D832" t="str">
        <f t="shared" si="36"/>
        <v>65+</v>
      </c>
      <c r="E832" t="str">
        <f>HeartData[[#This Row],[cp]]</f>
        <v>asymptomatic</v>
      </c>
      <c r="F832" t="str">
        <f>IF(HeartData[[#This Row],[num]]&gt;0, "Diseased", "Healthy")</f>
        <v>Diseased</v>
      </c>
      <c r="G832">
        <f>IF(HeartData[[#This Row],[chol]]&gt;$P$3, 1, 0)</f>
        <v>1</v>
      </c>
      <c r="H832">
        <f>IF(HeartData[[#This Row],[trestbps]]&gt;$P$4, 1, 0)</f>
        <v>0</v>
      </c>
      <c r="I832">
        <f>IF(HeartData[[#This Row],[oldpeak]]&gt;$P$5,1,0)</f>
        <v>0</v>
      </c>
      <c r="J832">
        <f>IF(HeartData[[#This Row],[exang]]="TRUE",1,0)</f>
        <v>0</v>
      </c>
      <c r="K832">
        <f>IF(HeartData[[#This Row],[fbs]]="TRUE",1,0)</f>
        <v>0</v>
      </c>
      <c r="L832">
        <f>IF(HeartData[[#This Row],[ca]]&gt;0,1,0)</f>
        <v>0</v>
      </c>
      <c r="M832">
        <f t="shared" si="37"/>
        <v>1</v>
      </c>
      <c r="N832">
        <f t="shared" si="38"/>
        <v>1</v>
      </c>
    </row>
    <row r="833" spans="1:14" x14ac:dyDescent="0.3">
      <c r="A833">
        <f>HeartData[[#This Row],[id]]</f>
        <v>832</v>
      </c>
      <c r="B833" s="4">
        <f>HeartData[[#This Row],[age]]</f>
        <v>61</v>
      </c>
      <c r="C833" t="str">
        <f>HeartData[[#This Row],[sex]]</f>
        <v>Male</v>
      </c>
      <c r="D833" t="str">
        <f t="shared" si="36"/>
        <v>55-64</v>
      </c>
      <c r="E833" t="str">
        <f>HeartData[[#This Row],[cp]]</f>
        <v>atypical angina</v>
      </c>
      <c r="F833" t="str">
        <f>IF(HeartData[[#This Row],[num]]&gt;0, "Diseased", "Healthy")</f>
        <v>Healthy</v>
      </c>
      <c r="G833">
        <f>IF(HeartData[[#This Row],[chol]]&gt;$P$3, 1, 0)</f>
        <v>1</v>
      </c>
      <c r="H833">
        <f>IF(HeartData[[#This Row],[trestbps]]&gt;$P$4, 1, 0)</f>
        <v>0</v>
      </c>
      <c r="I833">
        <f>IF(HeartData[[#This Row],[oldpeak]]&gt;$P$5,1,0)</f>
        <v>0</v>
      </c>
      <c r="J833">
        <f>IF(HeartData[[#This Row],[exang]]="TRUE",1,0)</f>
        <v>0</v>
      </c>
      <c r="K833">
        <f>IF(HeartData[[#This Row],[fbs]]="TRUE",1,0)</f>
        <v>0</v>
      </c>
      <c r="L833">
        <f>IF(HeartData[[#This Row],[ca]]&gt;0,1,0)</f>
        <v>0</v>
      </c>
      <c r="M833">
        <f t="shared" si="37"/>
        <v>1</v>
      </c>
      <c r="N833">
        <f t="shared" si="38"/>
        <v>0</v>
      </c>
    </row>
    <row r="834" spans="1:14" x14ac:dyDescent="0.3">
      <c r="A834">
        <f>HeartData[[#This Row],[id]]</f>
        <v>833</v>
      </c>
      <c r="B834" s="4">
        <f>HeartData[[#This Row],[age]]</f>
        <v>49</v>
      </c>
      <c r="C834" t="str">
        <f>HeartData[[#This Row],[sex]]</f>
        <v>Male</v>
      </c>
      <c r="D834" t="str">
        <f t="shared" ref="D834:D897" si="39">IF(B834&lt;45,"Under 45",IF(B834&lt;=54,"45-54",IF(B834&lt;=64,"55-64","65+")))</f>
        <v>45-54</v>
      </c>
      <c r="E834" t="str">
        <f>HeartData[[#This Row],[cp]]</f>
        <v>non-anginal</v>
      </c>
      <c r="F834" t="str">
        <f>IF(HeartData[[#This Row],[num]]&gt;0, "Diseased", "Healthy")</f>
        <v>Diseased</v>
      </c>
      <c r="G834">
        <f>IF(HeartData[[#This Row],[chol]]&gt;$P$3, 1, 0)</f>
        <v>1</v>
      </c>
      <c r="H834">
        <f>IF(HeartData[[#This Row],[trestbps]]&gt;$P$4, 1, 0)</f>
        <v>0</v>
      </c>
      <c r="I834">
        <f>IF(HeartData[[#This Row],[oldpeak]]&gt;$P$5,1,0)</f>
        <v>0</v>
      </c>
      <c r="J834">
        <f>IF(HeartData[[#This Row],[exang]]="TRUE",1,0)</f>
        <v>0</v>
      </c>
      <c r="K834">
        <f>IF(HeartData[[#This Row],[fbs]]="TRUE",1,0)</f>
        <v>0</v>
      </c>
      <c r="L834">
        <f>IF(HeartData[[#This Row],[ca]]&gt;0,1,0)</f>
        <v>0</v>
      </c>
      <c r="M834">
        <f t="shared" si="37"/>
        <v>1</v>
      </c>
      <c r="N834">
        <f t="shared" si="38"/>
        <v>1</v>
      </c>
    </row>
    <row r="835" spans="1:14" x14ac:dyDescent="0.3">
      <c r="A835">
        <f>HeartData[[#This Row],[id]]</f>
        <v>834</v>
      </c>
      <c r="B835" s="4">
        <f>HeartData[[#This Row],[age]]</f>
        <v>72</v>
      </c>
      <c r="C835" t="str">
        <f>HeartData[[#This Row],[sex]]</f>
        <v>Male</v>
      </c>
      <c r="D835" t="str">
        <f t="shared" si="39"/>
        <v>65+</v>
      </c>
      <c r="E835" t="str">
        <f>HeartData[[#This Row],[cp]]</f>
        <v>asymptomatic</v>
      </c>
      <c r="F835" t="str">
        <f>IF(HeartData[[#This Row],[num]]&gt;0, "Diseased", "Healthy")</f>
        <v>Diseased</v>
      </c>
      <c r="G835">
        <f>IF(HeartData[[#This Row],[chol]]&gt;$P$3, 1, 0)</f>
        <v>1</v>
      </c>
      <c r="H835">
        <f>IF(HeartData[[#This Row],[trestbps]]&gt;$P$4, 1, 0)</f>
        <v>0</v>
      </c>
      <c r="I835">
        <f>IF(HeartData[[#This Row],[oldpeak]]&gt;$P$5,1,0)</f>
        <v>0</v>
      </c>
      <c r="J835">
        <f>IF(HeartData[[#This Row],[exang]]="TRUE",1,0)</f>
        <v>0</v>
      </c>
      <c r="K835">
        <f>IF(HeartData[[#This Row],[fbs]]="TRUE",1,0)</f>
        <v>0</v>
      </c>
      <c r="L835">
        <f>IF(HeartData[[#This Row],[ca]]&gt;0,1,0)</f>
        <v>0</v>
      </c>
      <c r="M835">
        <f t="shared" ref="M835:M898" si="40">G835+H835+I835+J835+K835+L835</f>
        <v>1</v>
      </c>
      <c r="N835">
        <f t="shared" ref="N835:N898" si="41">IF(F835="Diseased",1,0)</f>
        <v>1</v>
      </c>
    </row>
    <row r="836" spans="1:14" x14ac:dyDescent="0.3">
      <c r="A836">
        <f>HeartData[[#This Row],[id]]</f>
        <v>835</v>
      </c>
      <c r="B836" s="4">
        <f>HeartData[[#This Row],[age]]</f>
        <v>50</v>
      </c>
      <c r="C836" t="str">
        <f>HeartData[[#This Row],[sex]]</f>
        <v>Male</v>
      </c>
      <c r="D836" t="str">
        <f t="shared" si="39"/>
        <v>45-54</v>
      </c>
      <c r="E836" t="str">
        <f>HeartData[[#This Row],[cp]]</f>
        <v>asymptomatic</v>
      </c>
      <c r="F836" t="str">
        <f>IF(HeartData[[#This Row],[num]]&gt;0, "Diseased", "Healthy")</f>
        <v>Diseased</v>
      </c>
      <c r="G836">
        <f>IF(HeartData[[#This Row],[chol]]&gt;$P$3, 1, 0)</f>
        <v>1</v>
      </c>
      <c r="H836">
        <f>IF(HeartData[[#This Row],[trestbps]]&gt;$P$4, 1, 0)</f>
        <v>0</v>
      </c>
      <c r="I836">
        <f>IF(HeartData[[#This Row],[oldpeak]]&gt;$P$5,1,0)</f>
        <v>0</v>
      </c>
      <c r="J836">
        <f>IF(HeartData[[#This Row],[exang]]="TRUE",1,0)</f>
        <v>0</v>
      </c>
      <c r="K836">
        <f>IF(HeartData[[#This Row],[fbs]]="TRUE",1,0)</f>
        <v>0</v>
      </c>
      <c r="L836">
        <f>IF(HeartData[[#This Row],[ca]]&gt;0,1,0)</f>
        <v>0</v>
      </c>
      <c r="M836">
        <f t="shared" si="40"/>
        <v>1</v>
      </c>
      <c r="N836">
        <f t="shared" si="41"/>
        <v>1</v>
      </c>
    </row>
    <row r="837" spans="1:14" x14ac:dyDescent="0.3">
      <c r="A837">
        <f>HeartData[[#This Row],[id]]</f>
        <v>836</v>
      </c>
      <c r="B837" s="4">
        <f>HeartData[[#This Row],[age]]</f>
        <v>64</v>
      </c>
      <c r="C837" t="str">
        <f>HeartData[[#This Row],[sex]]</f>
        <v>Male</v>
      </c>
      <c r="D837" t="str">
        <f t="shared" si="39"/>
        <v>55-64</v>
      </c>
      <c r="E837" t="str">
        <f>HeartData[[#This Row],[cp]]</f>
        <v>asymptomatic</v>
      </c>
      <c r="F837" t="str">
        <f>IF(HeartData[[#This Row],[num]]&gt;0, "Diseased", "Healthy")</f>
        <v>Diseased</v>
      </c>
      <c r="G837">
        <f>IF(HeartData[[#This Row],[chol]]&gt;$P$3, 1, 0)</f>
        <v>1</v>
      </c>
      <c r="H837">
        <f>IF(HeartData[[#This Row],[trestbps]]&gt;$P$4, 1, 0)</f>
        <v>0</v>
      </c>
      <c r="I837">
        <f>IF(HeartData[[#This Row],[oldpeak]]&gt;$P$5,1,0)</f>
        <v>0</v>
      </c>
      <c r="J837">
        <f>IF(HeartData[[#This Row],[exang]]="TRUE",1,0)</f>
        <v>0</v>
      </c>
      <c r="K837">
        <f>IF(HeartData[[#This Row],[fbs]]="TRUE",1,0)</f>
        <v>1</v>
      </c>
      <c r="L837">
        <f>IF(HeartData[[#This Row],[ca]]&gt;0,1,0)</f>
        <v>0</v>
      </c>
      <c r="M837">
        <f t="shared" si="40"/>
        <v>2</v>
      </c>
      <c r="N837">
        <f t="shared" si="41"/>
        <v>1</v>
      </c>
    </row>
    <row r="838" spans="1:14" x14ac:dyDescent="0.3">
      <c r="A838">
        <f>HeartData[[#This Row],[id]]</f>
        <v>837</v>
      </c>
      <c r="B838" s="4">
        <f>HeartData[[#This Row],[age]]</f>
        <v>55</v>
      </c>
      <c r="C838" t="str">
        <f>HeartData[[#This Row],[sex]]</f>
        <v>Male</v>
      </c>
      <c r="D838" t="str">
        <f t="shared" si="39"/>
        <v>55-64</v>
      </c>
      <c r="E838" t="str">
        <f>HeartData[[#This Row],[cp]]</f>
        <v>asymptomatic</v>
      </c>
      <c r="F838" t="str">
        <f>IF(HeartData[[#This Row],[num]]&gt;0, "Diseased", "Healthy")</f>
        <v>Diseased</v>
      </c>
      <c r="G838">
        <f>IF(HeartData[[#This Row],[chol]]&gt;$P$3, 1, 0)</f>
        <v>1</v>
      </c>
      <c r="H838">
        <f>IF(HeartData[[#This Row],[trestbps]]&gt;$P$4, 1, 0)</f>
        <v>1</v>
      </c>
      <c r="I838">
        <f>IF(HeartData[[#This Row],[oldpeak]]&gt;$P$5,1,0)</f>
        <v>0</v>
      </c>
      <c r="J838">
        <f>IF(HeartData[[#This Row],[exang]]="TRUE",1,0)</f>
        <v>0</v>
      </c>
      <c r="K838">
        <f>IF(HeartData[[#This Row],[fbs]]="TRUE",1,0)</f>
        <v>1</v>
      </c>
      <c r="L838">
        <f>IF(HeartData[[#This Row],[ca]]&gt;0,1,0)</f>
        <v>0</v>
      </c>
      <c r="M838">
        <f t="shared" si="40"/>
        <v>3</v>
      </c>
      <c r="N838">
        <f t="shared" si="41"/>
        <v>1</v>
      </c>
    </row>
    <row r="839" spans="1:14" x14ac:dyDescent="0.3">
      <c r="A839">
        <f>HeartData[[#This Row],[id]]</f>
        <v>838</v>
      </c>
      <c r="B839" s="4">
        <f>HeartData[[#This Row],[age]]</f>
        <v>63</v>
      </c>
      <c r="C839" t="str">
        <f>HeartData[[#This Row],[sex]]</f>
        <v>Male</v>
      </c>
      <c r="D839" t="str">
        <f t="shared" si="39"/>
        <v>55-64</v>
      </c>
      <c r="E839" t="str">
        <f>HeartData[[#This Row],[cp]]</f>
        <v>asymptomatic</v>
      </c>
      <c r="F839" t="str">
        <f>IF(HeartData[[#This Row],[num]]&gt;0, "Diseased", "Healthy")</f>
        <v>Diseased</v>
      </c>
      <c r="G839">
        <f>IF(HeartData[[#This Row],[chol]]&gt;$P$3, 1, 0)</f>
        <v>1</v>
      </c>
      <c r="H839">
        <f>IF(HeartData[[#This Row],[trestbps]]&gt;$P$4, 1, 0)</f>
        <v>1</v>
      </c>
      <c r="I839">
        <f>IF(HeartData[[#This Row],[oldpeak]]&gt;$P$5,1,0)</f>
        <v>1</v>
      </c>
      <c r="J839">
        <f>IF(HeartData[[#This Row],[exang]]="TRUE",1,0)</f>
        <v>1</v>
      </c>
      <c r="K839">
        <f>IF(HeartData[[#This Row],[fbs]]="TRUE",1,0)</f>
        <v>0</v>
      </c>
      <c r="L839">
        <f>IF(HeartData[[#This Row],[ca]]&gt;0,1,0)</f>
        <v>0</v>
      </c>
      <c r="M839">
        <f t="shared" si="40"/>
        <v>4</v>
      </c>
      <c r="N839">
        <f t="shared" si="41"/>
        <v>1</v>
      </c>
    </row>
    <row r="840" spans="1:14" x14ac:dyDescent="0.3">
      <c r="A840">
        <f>HeartData[[#This Row],[id]]</f>
        <v>839</v>
      </c>
      <c r="B840" s="4">
        <f>HeartData[[#This Row],[age]]</f>
        <v>59</v>
      </c>
      <c r="C840" t="str">
        <f>HeartData[[#This Row],[sex]]</f>
        <v>Male</v>
      </c>
      <c r="D840" t="str">
        <f t="shared" si="39"/>
        <v>55-64</v>
      </c>
      <c r="E840" t="str">
        <f>HeartData[[#This Row],[cp]]</f>
        <v>asymptomatic</v>
      </c>
      <c r="F840" t="str">
        <f>IF(HeartData[[#This Row],[num]]&gt;0, "Diseased", "Healthy")</f>
        <v>Diseased</v>
      </c>
      <c r="G840">
        <f>IF(HeartData[[#This Row],[chol]]&gt;$P$3, 1, 0)</f>
        <v>1</v>
      </c>
      <c r="H840">
        <f>IF(HeartData[[#This Row],[trestbps]]&gt;$P$4, 1, 0)</f>
        <v>1</v>
      </c>
      <c r="I840">
        <f>IF(HeartData[[#This Row],[oldpeak]]&gt;$P$5,1,0)</f>
        <v>1</v>
      </c>
      <c r="J840">
        <f>IF(HeartData[[#This Row],[exang]]="TRUE",1,0)</f>
        <v>1</v>
      </c>
      <c r="K840">
        <f>IF(HeartData[[#This Row],[fbs]]="TRUE",1,0)</f>
        <v>0</v>
      </c>
      <c r="L840">
        <f>IF(HeartData[[#This Row],[ca]]&gt;0,1,0)</f>
        <v>0</v>
      </c>
      <c r="M840">
        <f t="shared" si="40"/>
        <v>4</v>
      </c>
      <c r="N840">
        <f t="shared" si="41"/>
        <v>1</v>
      </c>
    </row>
    <row r="841" spans="1:14" x14ac:dyDescent="0.3">
      <c r="A841">
        <f>HeartData[[#This Row],[id]]</f>
        <v>840</v>
      </c>
      <c r="B841" s="4">
        <f>HeartData[[#This Row],[age]]</f>
        <v>56</v>
      </c>
      <c r="C841" t="str">
        <f>HeartData[[#This Row],[sex]]</f>
        <v>Male</v>
      </c>
      <c r="D841" t="str">
        <f t="shared" si="39"/>
        <v>55-64</v>
      </c>
      <c r="E841" t="str">
        <f>HeartData[[#This Row],[cp]]</f>
        <v>asymptomatic</v>
      </c>
      <c r="F841" t="str">
        <f>IF(HeartData[[#This Row],[num]]&gt;0, "Diseased", "Healthy")</f>
        <v>Diseased</v>
      </c>
      <c r="G841">
        <f>IF(HeartData[[#This Row],[chol]]&gt;$P$3, 1, 0)</f>
        <v>0</v>
      </c>
      <c r="H841">
        <f>IF(HeartData[[#This Row],[trestbps]]&gt;$P$4, 1, 0)</f>
        <v>0</v>
      </c>
      <c r="I841">
        <f>IF(HeartData[[#This Row],[oldpeak]]&gt;$P$5,1,0)</f>
        <v>0</v>
      </c>
      <c r="J841">
        <f>IF(HeartData[[#This Row],[exang]]="TRUE",1,0)</f>
        <v>0</v>
      </c>
      <c r="K841">
        <f>IF(HeartData[[#This Row],[fbs]]="TRUE",1,0)</f>
        <v>0</v>
      </c>
      <c r="L841">
        <f>IF(HeartData[[#This Row],[ca]]&gt;0,1,0)</f>
        <v>0</v>
      </c>
      <c r="M841">
        <f t="shared" si="40"/>
        <v>0</v>
      </c>
      <c r="N841">
        <f t="shared" si="41"/>
        <v>1</v>
      </c>
    </row>
    <row r="842" spans="1:14" x14ac:dyDescent="0.3">
      <c r="A842">
        <f>HeartData[[#This Row],[id]]</f>
        <v>841</v>
      </c>
      <c r="B842" s="4">
        <f>HeartData[[#This Row],[age]]</f>
        <v>62</v>
      </c>
      <c r="C842" t="str">
        <f>HeartData[[#This Row],[sex]]</f>
        <v>Male</v>
      </c>
      <c r="D842" t="str">
        <f t="shared" si="39"/>
        <v>55-64</v>
      </c>
      <c r="E842" t="str">
        <f>HeartData[[#This Row],[cp]]</f>
        <v>non-anginal</v>
      </c>
      <c r="F842" t="str">
        <f>IF(HeartData[[#This Row],[num]]&gt;0, "Diseased", "Healthy")</f>
        <v>Diseased</v>
      </c>
      <c r="G842">
        <f>IF(HeartData[[#This Row],[chol]]&gt;$P$3, 1, 0)</f>
        <v>0</v>
      </c>
      <c r="H842">
        <f>IF(HeartData[[#This Row],[trestbps]]&gt;$P$4, 1, 0)</f>
        <v>0</v>
      </c>
      <c r="I842">
        <f>IF(HeartData[[#This Row],[oldpeak]]&gt;$P$5,1,0)</f>
        <v>0</v>
      </c>
      <c r="J842">
        <f>IF(HeartData[[#This Row],[exang]]="TRUE",1,0)</f>
        <v>0</v>
      </c>
      <c r="K842">
        <f>IF(HeartData[[#This Row],[fbs]]="TRUE",1,0)</f>
        <v>1</v>
      </c>
      <c r="L842">
        <f>IF(HeartData[[#This Row],[ca]]&gt;0,1,0)</f>
        <v>0</v>
      </c>
      <c r="M842">
        <f t="shared" si="40"/>
        <v>1</v>
      </c>
      <c r="N842">
        <f t="shared" si="41"/>
        <v>1</v>
      </c>
    </row>
    <row r="843" spans="1:14" x14ac:dyDescent="0.3">
      <c r="A843">
        <f>HeartData[[#This Row],[id]]</f>
        <v>842</v>
      </c>
      <c r="B843" s="4">
        <f>HeartData[[#This Row],[age]]</f>
        <v>74</v>
      </c>
      <c r="C843" t="str">
        <f>HeartData[[#This Row],[sex]]</f>
        <v>Male</v>
      </c>
      <c r="D843" t="str">
        <f t="shared" si="39"/>
        <v>65+</v>
      </c>
      <c r="E843" t="str">
        <f>HeartData[[#This Row],[cp]]</f>
        <v>asymptomatic</v>
      </c>
      <c r="F843" t="str">
        <f>IF(HeartData[[#This Row],[num]]&gt;0, "Diseased", "Healthy")</f>
        <v>Diseased</v>
      </c>
      <c r="G843">
        <f>IF(HeartData[[#This Row],[chol]]&gt;$P$3, 1, 0)</f>
        <v>1</v>
      </c>
      <c r="H843">
        <f>IF(HeartData[[#This Row],[trestbps]]&gt;$P$4, 1, 0)</f>
        <v>1</v>
      </c>
      <c r="I843">
        <f>IF(HeartData[[#This Row],[oldpeak]]&gt;$P$5,1,0)</f>
        <v>1</v>
      </c>
      <c r="J843">
        <f>IF(HeartData[[#This Row],[exang]]="TRUE",1,0)</f>
        <v>1</v>
      </c>
      <c r="K843">
        <f>IF(HeartData[[#This Row],[fbs]]="TRUE",1,0)</f>
        <v>1</v>
      </c>
      <c r="L843">
        <f>IF(HeartData[[#This Row],[ca]]&gt;0,1,0)</f>
        <v>0</v>
      </c>
      <c r="M843">
        <f t="shared" si="40"/>
        <v>5</v>
      </c>
      <c r="N843">
        <f t="shared" si="41"/>
        <v>1</v>
      </c>
    </row>
    <row r="844" spans="1:14" x14ac:dyDescent="0.3">
      <c r="A844">
        <f>HeartData[[#This Row],[id]]</f>
        <v>843</v>
      </c>
      <c r="B844" s="4">
        <f>HeartData[[#This Row],[age]]</f>
        <v>54</v>
      </c>
      <c r="C844" t="str">
        <f>HeartData[[#This Row],[sex]]</f>
        <v>Male</v>
      </c>
      <c r="D844" t="str">
        <f t="shared" si="39"/>
        <v>45-54</v>
      </c>
      <c r="E844" t="str">
        <f>HeartData[[#This Row],[cp]]</f>
        <v>asymptomatic</v>
      </c>
      <c r="F844" t="str">
        <f>IF(HeartData[[#This Row],[num]]&gt;0, "Diseased", "Healthy")</f>
        <v>Diseased</v>
      </c>
      <c r="G844">
        <f>IF(HeartData[[#This Row],[chol]]&gt;$P$3, 1, 0)</f>
        <v>1</v>
      </c>
      <c r="H844">
        <f>IF(HeartData[[#This Row],[trestbps]]&gt;$P$4, 1, 0)</f>
        <v>1</v>
      </c>
      <c r="I844">
        <f>IF(HeartData[[#This Row],[oldpeak]]&gt;$P$5,1,0)</f>
        <v>1</v>
      </c>
      <c r="J844">
        <f>IF(HeartData[[#This Row],[exang]]="TRUE",1,0)</f>
        <v>1</v>
      </c>
      <c r="K844">
        <f>IF(HeartData[[#This Row],[fbs]]="TRUE",1,0)</f>
        <v>1</v>
      </c>
      <c r="L844">
        <f>IF(HeartData[[#This Row],[ca]]&gt;0,1,0)</f>
        <v>0</v>
      </c>
      <c r="M844">
        <f t="shared" si="40"/>
        <v>5</v>
      </c>
      <c r="N844">
        <f t="shared" si="41"/>
        <v>1</v>
      </c>
    </row>
    <row r="845" spans="1:14" x14ac:dyDescent="0.3">
      <c r="A845">
        <f>HeartData[[#This Row],[id]]</f>
        <v>844</v>
      </c>
      <c r="B845" s="4">
        <f>HeartData[[#This Row],[age]]</f>
        <v>57</v>
      </c>
      <c r="C845" t="str">
        <f>HeartData[[#This Row],[sex]]</f>
        <v>Male</v>
      </c>
      <c r="D845" t="str">
        <f t="shared" si="39"/>
        <v>55-64</v>
      </c>
      <c r="E845" t="str">
        <f>HeartData[[#This Row],[cp]]</f>
        <v>asymptomatic</v>
      </c>
      <c r="F845" t="str">
        <f>IF(HeartData[[#This Row],[num]]&gt;0, "Diseased", "Healthy")</f>
        <v>Healthy</v>
      </c>
      <c r="G845">
        <f>IF(HeartData[[#This Row],[chol]]&gt;$P$3, 1, 0)</f>
        <v>1</v>
      </c>
      <c r="H845">
        <f>IF(HeartData[[#This Row],[trestbps]]&gt;$P$4, 1, 0)</f>
        <v>1</v>
      </c>
      <c r="I845">
        <f>IF(HeartData[[#This Row],[oldpeak]]&gt;$P$5,1,0)</f>
        <v>0</v>
      </c>
      <c r="J845">
        <f>IF(HeartData[[#This Row],[exang]]="TRUE",1,0)</f>
        <v>0</v>
      </c>
      <c r="K845">
        <f>IF(HeartData[[#This Row],[fbs]]="TRUE",1,0)</f>
        <v>0</v>
      </c>
      <c r="L845">
        <f>IF(HeartData[[#This Row],[ca]]&gt;0,1,0)</f>
        <v>0</v>
      </c>
      <c r="M845">
        <f t="shared" si="40"/>
        <v>2</v>
      </c>
      <c r="N845">
        <f t="shared" si="41"/>
        <v>0</v>
      </c>
    </row>
    <row r="846" spans="1:14" x14ac:dyDescent="0.3">
      <c r="A846">
        <f>HeartData[[#This Row],[id]]</f>
        <v>845</v>
      </c>
      <c r="B846" s="4">
        <f>HeartData[[#This Row],[age]]</f>
        <v>62</v>
      </c>
      <c r="C846" t="str">
        <f>HeartData[[#This Row],[sex]]</f>
        <v>Male</v>
      </c>
      <c r="D846" t="str">
        <f t="shared" si="39"/>
        <v>55-64</v>
      </c>
      <c r="E846" t="str">
        <f>HeartData[[#This Row],[cp]]</f>
        <v>non-anginal</v>
      </c>
      <c r="F846" t="str">
        <f>IF(HeartData[[#This Row],[num]]&gt;0, "Diseased", "Healthy")</f>
        <v>Diseased</v>
      </c>
      <c r="G846">
        <f>IF(HeartData[[#This Row],[chol]]&gt;$P$3, 1, 0)</f>
        <v>1</v>
      </c>
      <c r="H846">
        <f>IF(HeartData[[#This Row],[trestbps]]&gt;$P$4, 1, 0)</f>
        <v>0</v>
      </c>
      <c r="I846">
        <f>IF(HeartData[[#This Row],[oldpeak]]&gt;$P$5,1,0)</f>
        <v>0</v>
      </c>
      <c r="J846">
        <f>IF(HeartData[[#This Row],[exang]]="TRUE",1,0)</f>
        <v>0</v>
      </c>
      <c r="K846">
        <f>IF(HeartData[[#This Row],[fbs]]="TRUE",1,0)</f>
        <v>0</v>
      </c>
      <c r="L846">
        <f>IF(HeartData[[#This Row],[ca]]&gt;0,1,0)</f>
        <v>0</v>
      </c>
      <c r="M846">
        <f t="shared" si="40"/>
        <v>1</v>
      </c>
      <c r="N846">
        <f t="shared" si="41"/>
        <v>1</v>
      </c>
    </row>
    <row r="847" spans="1:14" x14ac:dyDescent="0.3">
      <c r="A847">
        <f>HeartData[[#This Row],[id]]</f>
        <v>846</v>
      </c>
      <c r="B847" s="4">
        <f>HeartData[[#This Row],[age]]</f>
        <v>76</v>
      </c>
      <c r="C847" t="str">
        <f>HeartData[[#This Row],[sex]]</f>
        <v>Male</v>
      </c>
      <c r="D847" t="str">
        <f t="shared" si="39"/>
        <v>65+</v>
      </c>
      <c r="E847" t="str">
        <f>HeartData[[#This Row],[cp]]</f>
        <v>non-anginal</v>
      </c>
      <c r="F847" t="str">
        <f>IF(HeartData[[#This Row],[num]]&gt;0, "Diseased", "Healthy")</f>
        <v>Diseased</v>
      </c>
      <c r="G847">
        <f>IF(HeartData[[#This Row],[chol]]&gt;$P$3, 1, 0)</f>
        <v>0</v>
      </c>
      <c r="H847">
        <f>IF(HeartData[[#This Row],[trestbps]]&gt;$P$4, 1, 0)</f>
        <v>1</v>
      </c>
      <c r="I847">
        <f>IF(HeartData[[#This Row],[oldpeak]]&gt;$P$5,1,0)</f>
        <v>1</v>
      </c>
      <c r="J847">
        <f>IF(HeartData[[#This Row],[exang]]="TRUE",1,0)</f>
        <v>0</v>
      </c>
      <c r="K847">
        <f>IF(HeartData[[#This Row],[fbs]]="TRUE",1,0)</f>
        <v>0</v>
      </c>
      <c r="L847">
        <f>IF(HeartData[[#This Row],[ca]]&gt;0,1,0)</f>
        <v>0</v>
      </c>
      <c r="M847">
        <f t="shared" si="40"/>
        <v>2</v>
      </c>
      <c r="N847">
        <f t="shared" si="41"/>
        <v>1</v>
      </c>
    </row>
    <row r="848" spans="1:14" x14ac:dyDescent="0.3">
      <c r="A848">
        <f>HeartData[[#This Row],[id]]</f>
        <v>847</v>
      </c>
      <c r="B848" s="4">
        <f>HeartData[[#This Row],[age]]</f>
        <v>54</v>
      </c>
      <c r="C848" t="str">
        <f>HeartData[[#This Row],[sex]]</f>
        <v>Female</v>
      </c>
      <c r="D848" t="str">
        <f t="shared" si="39"/>
        <v>45-54</v>
      </c>
      <c r="E848" t="str">
        <f>HeartData[[#This Row],[cp]]</f>
        <v>asymptomatic</v>
      </c>
      <c r="F848" t="str">
        <f>IF(HeartData[[#This Row],[num]]&gt;0, "Diseased", "Healthy")</f>
        <v>Diseased</v>
      </c>
      <c r="G848">
        <f>IF(HeartData[[#This Row],[chol]]&gt;$P$3, 1, 0)</f>
        <v>1</v>
      </c>
      <c r="H848">
        <f>IF(HeartData[[#This Row],[trestbps]]&gt;$P$4, 1, 0)</f>
        <v>1</v>
      </c>
      <c r="I848">
        <f>IF(HeartData[[#This Row],[oldpeak]]&gt;$P$5,1,0)</f>
        <v>1</v>
      </c>
      <c r="J848">
        <f>IF(HeartData[[#This Row],[exang]]="TRUE",1,0)</f>
        <v>1</v>
      </c>
      <c r="K848">
        <f>IF(HeartData[[#This Row],[fbs]]="TRUE",1,0)</f>
        <v>0</v>
      </c>
      <c r="L848">
        <f>IF(HeartData[[#This Row],[ca]]&gt;0,1,0)</f>
        <v>0</v>
      </c>
      <c r="M848">
        <f t="shared" si="40"/>
        <v>4</v>
      </c>
      <c r="N848">
        <f t="shared" si="41"/>
        <v>1</v>
      </c>
    </row>
    <row r="849" spans="1:14" x14ac:dyDescent="0.3">
      <c r="A849">
        <f>HeartData[[#This Row],[id]]</f>
        <v>848</v>
      </c>
      <c r="B849" s="4">
        <f>HeartData[[#This Row],[age]]</f>
        <v>70</v>
      </c>
      <c r="C849" t="str">
        <f>HeartData[[#This Row],[sex]]</f>
        <v>Male</v>
      </c>
      <c r="D849" t="str">
        <f t="shared" si="39"/>
        <v>65+</v>
      </c>
      <c r="E849" t="str">
        <f>HeartData[[#This Row],[cp]]</f>
        <v>asymptomatic</v>
      </c>
      <c r="F849" t="str">
        <f>IF(HeartData[[#This Row],[num]]&gt;0, "Diseased", "Healthy")</f>
        <v>Diseased</v>
      </c>
      <c r="G849">
        <f>IF(HeartData[[#This Row],[chol]]&gt;$P$3, 1, 0)</f>
        <v>1</v>
      </c>
      <c r="H849">
        <f>IF(HeartData[[#This Row],[trestbps]]&gt;$P$4, 1, 0)</f>
        <v>1</v>
      </c>
      <c r="I849">
        <f>IF(HeartData[[#This Row],[oldpeak]]&gt;$P$5,1,0)</f>
        <v>1</v>
      </c>
      <c r="J849">
        <f>IF(HeartData[[#This Row],[exang]]="TRUE",1,0)</f>
        <v>1</v>
      </c>
      <c r="K849">
        <f>IF(HeartData[[#This Row],[fbs]]="TRUE",1,0)</f>
        <v>0</v>
      </c>
      <c r="L849">
        <f>IF(HeartData[[#This Row],[ca]]&gt;0,1,0)</f>
        <v>0</v>
      </c>
      <c r="M849">
        <f t="shared" si="40"/>
        <v>4</v>
      </c>
      <c r="N849">
        <f t="shared" si="41"/>
        <v>1</v>
      </c>
    </row>
    <row r="850" spans="1:14" x14ac:dyDescent="0.3">
      <c r="A850">
        <f>HeartData[[#This Row],[id]]</f>
        <v>849</v>
      </c>
      <c r="B850" s="4">
        <f>HeartData[[#This Row],[age]]</f>
        <v>61</v>
      </c>
      <c r="C850" t="str">
        <f>HeartData[[#This Row],[sex]]</f>
        <v>Female</v>
      </c>
      <c r="D850" t="str">
        <f t="shared" si="39"/>
        <v>55-64</v>
      </c>
      <c r="E850" t="str">
        <f>HeartData[[#This Row],[cp]]</f>
        <v>atypical angina</v>
      </c>
      <c r="F850" t="str">
        <f>IF(HeartData[[#This Row],[num]]&gt;0, "Diseased", "Healthy")</f>
        <v>Healthy</v>
      </c>
      <c r="G850">
        <f>IF(HeartData[[#This Row],[chol]]&gt;$P$3, 1, 0)</f>
        <v>1</v>
      </c>
      <c r="H850">
        <f>IF(HeartData[[#This Row],[trestbps]]&gt;$P$4, 1, 0)</f>
        <v>1</v>
      </c>
      <c r="I850">
        <f>IF(HeartData[[#This Row],[oldpeak]]&gt;$P$5,1,0)</f>
        <v>0</v>
      </c>
      <c r="J850">
        <f>IF(HeartData[[#This Row],[exang]]="TRUE",1,0)</f>
        <v>1</v>
      </c>
      <c r="K850">
        <f>IF(HeartData[[#This Row],[fbs]]="TRUE",1,0)</f>
        <v>1</v>
      </c>
      <c r="L850">
        <f>IF(HeartData[[#This Row],[ca]]&gt;0,1,0)</f>
        <v>0</v>
      </c>
      <c r="M850">
        <f t="shared" si="40"/>
        <v>4</v>
      </c>
      <c r="N850">
        <f t="shared" si="41"/>
        <v>0</v>
      </c>
    </row>
    <row r="851" spans="1:14" x14ac:dyDescent="0.3">
      <c r="A851">
        <f>HeartData[[#This Row],[id]]</f>
        <v>850</v>
      </c>
      <c r="B851" s="4">
        <f>HeartData[[#This Row],[age]]</f>
        <v>48</v>
      </c>
      <c r="C851" t="str">
        <f>HeartData[[#This Row],[sex]]</f>
        <v>Male</v>
      </c>
      <c r="D851" t="str">
        <f t="shared" si="39"/>
        <v>45-54</v>
      </c>
      <c r="E851" t="str">
        <f>HeartData[[#This Row],[cp]]</f>
        <v>asymptomatic</v>
      </c>
      <c r="F851" t="str">
        <f>IF(HeartData[[#This Row],[num]]&gt;0, "Diseased", "Healthy")</f>
        <v>Healthy</v>
      </c>
      <c r="G851">
        <f>IF(HeartData[[#This Row],[chol]]&gt;$P$3, 1, 0)</f>
        <v>1</v>
      </c>
      <c r="H851">
        <f>IF(HeartData[[#This Row],[trestbps]]&gt;$P$4, 1, 0)</f>
        <v>0</v>
      </c>
      <c r="I851">
        <f>IF(HeartData[[#This Row],[oldpeak]]&gt;$P$5,1,0)</f>
        <v>0</v>
      </c>
      <c r="J851">
        <f>IF(HeartData[[#This Row],[exang]]="TRUE",1,0)</f>
        <v>0</v>
      </c>
      <c r="K851">
        <f>IF(HeartData[[#This Row],[fbs]]="TRUE",1,0)</f>
        <v>0</v>
      </c>
      <c r="L851">
        <f>IF(HeartData[[#This Row],[ca]]&gt;0,1,0)</f>
        <v>0</v>
      </c>
      <c r="M851">
        <f t="shared" si="40"/>
        <v>1</v>
      </c>
      <c r="N851">
        <f t="shared" si="41"/>
        <v>0</v>
      </c>
    </row>
    <row r="852" spans="1:14" x14ac:dyDescent="0.3">
      <c r="A852">
        <f>HeartData[[#This Row],[id]]</f>
        <v>851</v>
      </c>
      <c r="B852" s="4">
        <f>HeartData[[#This Row],[age]]</f>
        <v>48</v>
      </c>
      <c r="C852" t="str">
        <f>HeartData[[#This Row],[sex]]</f>
        <v>Male</v>
      </c>
      <c r="D852" t="str">
        <f t="shared" si="39"/>
        <v>45-54</v>
      </c>
      <c r="E852" t="str">
        <f>HeartData[[#This Row],[cp]]</f>
        <v>non-anginal</v>
      </c>
      <c r="F852" t="str">
        <f>IF(HeartData[[#This Row],[num]]&gt;0, "Diseased", "Healthy")</f>
        <v>Diseased</v>
      </c>
      <c r="G852">
        <f>IF(HeartData[[#This Row],[chol]]&gt;$P$3, 1, 0)</f>
        <v>1</v>
      </c>
      <c r="H852">
        <f>IF(HeartData[[#This Row],[trestbps]]&gt;$P$4, 1, 0)</f>
        <v>1</v>
      </c>
      <c r="I852">
        <f>IF(HeartData[[#This Row],[oldpeak]]&gt;$P$5,1,0)</f>
        <v>0</v>
      </c>
      <c r="J852">
        <f>IF(HeartData[[#This Row],[exang]]="TRUE",1,0)</f>
        <v>0</v>
      </c>
      <c r="K852">
        <f>IF(HeartData[[#This Row],[fbs]]="TRUE",1,0)</f>
        <v>1</v>
      </c>
      <c r="L852">
        <f>IF(HeartData[[#This Row],[ca]]&gt;0,1,0)</f>
        <v>0</v>
      </c>
      <c r="M852">
        <f t="shared" si="40"/>
        <v>3</v>
      </c>
      <c r="N852">
        <f t="shared" si="41"/>
        <v>1</v>
      </c>
    </row>
    <row r="853" spans="1:14" x14ac:dyDescent="0.3">
      <c r="A853">
        <f>HeartData[[#This Row],[id]]</f>
        <v>852</v>
      </c>
      <c r="B853" s="4">
        <f>HeartData[[#This Row],[age]]</f>
        <v>61</v>
      </c>
      <c r="C853" t="str">
        <f>HeartData[[#This Row],[sex]]</f>
        <v>Male</v>
      </c>
      <c r="D853" t="str">
        <f t="shared" si="39"/>
        <v>55-64</v>
      </c>
      <c r="E853" t="str">
        <f>HeartData[[#This Row],[cp]]</f>
        <v>typical angina</v>
      </c>
      <c r="F853" t="str">
        <f>IF(HeartData[[#This Row],[num]]&gt;0, "Diseased", "Healthy")</f>
        <v>Diseased</v>
      </c>
      <c r="G853">
        <f>IF(HeartData[[#This Row],[chol]]&gt;$P$3, 1, 0)</f>
        <v>1</v>
      </c>
      <c r="H853">
        <f>IF(HeartData[[#This Row],[trestbps]]&gt;$P$4, 1, 0)</f>
        <v>1</v>
      </c>
      <c r="I853">
        <f>IF(HeartData[[#This Row],[oldpeak]]&gt;$P$5,1,0)</f>
        <v>1</v>
      </c>
      <c r="J853">
        <f>IF(HeartData[[#This Row],[exang]]="TRUE",1,0)</f>
        <v>0</v>
      </c>
      <c r="K853">
        <f>IF(HeartData[[#This Row],[fbs]]="TRUE",1,0)</f>
        <v>1</v>
      </c>
      <c r="L853">
        <f>IF(HeartData[[#This Row],[ca]]&gt;0,1,0)</f>
        <v>0</v>
      </c>
      <c r="M853">
        <f t="shared" si="40"/>
        <v>4</v>
      </c>
      <c r="N853">
        <f t="shared" si="41"/>
        <v>1</v>
      </c>
    </row>
    <row r="854" spans="1:14" x14ac:dyDescent="0.3">
      <c r="A854">
        <f>HeartData[[#This Row],[id]]</f>
        <v>853</v>
      </c>
      <c r="B854" s="4">
        <f>HeartData[[#This Row],[age]]</f>
        <v>66</v>
      </c>
      <c r="C854" t="str">
        <f>HeartData[[#This Row],[sex]]</f>
        <v>Male</v>
      </c>
      <c r="D854" t="str">
        <f t="shared" si="39"/>
        <v>65+</v>
      </c>
      <c r="E854" t="str">
        <f>HeartData[[#This Row],[cp]]</f>
        <v>asymptomatic</v>
      </c>
      <c r="F854" t="str">
        <f>IF(HeartData[[#This Row],[num]]&gt;0, "Diseased", "Healthy")</f>
        <v>Diseased</v>
      </c>
      <c r="G854">
        <f>IF(HeartData[[#This Row],[chol]]&gt;$P$3, 1, 0)</f>
        <v>1</v>
      </c>
      <c r="H854">
        <f>IF(HeartData[[#This Row],[trestbps]]&gt;$P$4, 1, 0)</f>
        <v>1</v>
      </c>
      <c r="I854">
        <f>IF(HeartData[[#This Row],[oldpeak]]&gt;$P$5,1,0)</f>
        <v>1</v>
      </c>
      <c r="J854">
        <f>IF(HeartData[[#This Row],[exang]]="TRUE",1,0)</f>
        <v>0</v>
      </c>
      <c r="K854">
        <f>IF(HeartData[[#This Row],[fbs]]="TRUE",1,0)</f>
        <v>0</v>
      </c>
      <c r="L854">
        <f>IF(HeartData[[#This Row],[ca]]&gt;0,1,0)</f>
        <v>0</v>
      </c>
      <c r="M854">
        <f t="shared" si="40"/>
        <v>3</v>
      </c>
      <c r="N854">
        <f t="shared" si="41"/>
        <v>1</v>
      </c>
    </row>
    <row r="855" spans="1:14" x14ac:dyDescent="0.3">
      <c r="A855">
        <f>HeartData[[#This Row],[id]]</f>
        <v>854</v>
      </c>
      <c r="B855" s="4">
        <f>HeartData[[#This Row],[age]]</f>
        <v>68</v>
      </c>
      <c r="C855" t="str">
        <f>HeartData[[#This Row],[sex]]</f>
        <v>Male</v>
      </c>
      <c r="D855" t="str">
        <f t="shared" si="39"/>
        <v>65+</v>
      </c>
      <c r="E855" t="str">
        <f>HeartData[[#This Row],[cp]]</f>
        <v>typical angina</v>
      </c>
      <c r="F855" t="str">
        <f>IF(HeartData[[#This Row],[num]]&gt;0, "Diseased", "Healthy")</f>
        <v>Healthy</v>
      </c>
      <c r="G855">
        <f>IF(HeartData[[#This Row],[chol]]&gt;$P$3, 1, 0)</f>
        <v>1</v>
      </c>
      <c r="H855">
        <f>IF(HeartData[[#This Row],[trestbps]]&gt;$P$4, 1, 0)</f>
        <v>0</v>
      </c>
      <c r="I855">
        <f>IF(HeartData[[#This Row],[oldpeak]]&gt;$P$5,1,0)</f>
        <v>0</v>
      </c>
      <c r="J855">
        <f>IF(HeartData[[#This Row],[exang]]="TRUE",1,0)</f>
        <v>0</v>
      </c>
      <c r="K855">
        <f>IF(HeartData[[#This Row],[fbs]]="TRUE",1,0)</f>
        <v>1</v>
      </c>
      <c r="L855">
        <f>IF(HeartData[[#This Row],[ca]]&gt;0,1,0)</f>
        <v>0</v>
      </c>
      <c r="M855">
        <f t="shared" si="40"/>
        <v>2</v>
      </c>
      <c r="N855">
        <f t="shared" si="41"/>
        <v>0</v>
      </c>
    </row>
    <row r="856" spans="1:14" x14ac:dyDescent="0.3">
      <c r="A856">
        <f>HeartData[[#This Row],[id]]</f>
        <v>855</v>
      </c>
      <c r="B856" s="4">
        <f>HeartData[[#This Row],[age]]</f>
        <v>55</v>
      </c>
      <c r="C856" t="str">
        <f>HeartData[[#This Row],[sex]]</f>
        <v>Male</v>
      </c>
      <c r="D856" t="str">
        <f t="shared" si="39"/>
        <v>55-64</v>
      </c>
      <c r="E856" t="str">
        <f>HeartData[[#This Row],[cp]]</f>
        <v>asymptomatic</v>
      </c>
      <c r="F856" t="str">
        <f>IF(HeartData[[#This Row],[num]]&gt;0, "Diseased", "Healthy")</f>
        <v>Diseased</v>
      </c>
      <c r="G856">
        <f>IF(HeartData[[#This Row],[chol]]&gt;$P$3, 1, 0)</f>
        <v>1</v>
      </c>
      <c r="H856">
        <f>IF(HeartData[[#This Row],[trestbps]]&gt;$P$4, 1, 0)</f>
        <v>1</v>
      </c>
      <c r="I856">
        <f>IF(HeartData[[#This Row],[oldpeak]]&gt;$P$5,1,0)</f>
        <v>1</v>
      </c>
      <c r="J856">
        <f>IF(HeartData[[#This Row],[exang]]="TRUE",1,0)</f>
        <v>0</v>
      </c>
      <c r="K856">
        <f>IF(HeartData[[#This Row],[fbs]]="TRUE",1,0)</f>
        <v>0</v>
      </c>
      <c r="L856">
        <f>IF(HeartData[[#This Row],[ca]]&gt;0,1,0)</f>
        <v>0</v>
      </c>
      <c r="M856">
        <f t="shared" si="40"/>
        <v>3</v>
      </c>
      <c r="N856">
        <f t="shared" si="41"/>
        <v>1</v>
      </c>
    </row>
    <row r="857" spans="1:14" x14ac:dyDescent="0.3">
      <c r="A857">
        <f>HeartData[[#This Row],[id]]</f>
        <v>856</v>
      </c>
      <c r="B857" s="4">
        <f>HeartData[[#This Row],[age]]</f>
        <v>62</v>
      </c>
      <c r="C857" t="str">
        <f>HeartData[[#This Row],[sex]]</f>
        <v>Male</v>
      </c>
      <c r="D857" t="str">
        <f t="shared" si="39"/>
        <v>55-64</v>
      </c>
      <c r="E857" t="str">
        <f>HeartData[[#This Row],[cp]]</f>
        <v>non-anginal</v>
      </c>
      <c r="F857" t="str">
        <f>IF(HeartData[[#This Row],[num]]&gt;0, "Diseased", "Healthy")</f>
        <v>Healthy</v>
      </c>
      <c r="G857">
        <f>IF(HeartData[[#This Row],[chol]]&gt;$P$3, 1, 0)</f>
        <v>1</v>
      </c>
      <c r="H857">
        <f>IF(HeartData[[#This Row],[trestbps]]&gt;$P$4, 1, 0)</f>
        <v>1</v>
      </c>
      <c r="I857">
        <f>IF(HeartData[[#This Row],[oldpeak]]&gt;$P$5,1,0)</f>
        <v>0</v>
      </c>
      <c r="J857">
        <f>IF(HeartData[[#This Row],[exang]]="TRUE",1,0)</f>
        <v>0</v>
      </c>
      <c r="K857">
        <f>IF(HeartData[[#This Row],[fbs]]="TRUE",1,0)</f>
        <v>0</v>
      </c>
      <c r="L857">
        <f>IF(HeartData[[#This Row],[ca]]&gt;0,1,0)</f>
        <v>0</v>
      </c>
      <c r="M857">
        <f t="shared" si="40"/>
        <v>2</v>
      </c>
      <c r="N857">
        <f t="shared" si="41"/>
        <v>0</v>
      </c>
    </row>
    <row r="858" spans="1:14" x14ac:dyDescent="0.3">
      <c r="A858">
        <f>HeartData[[#This Row],[id]]</f>
        <v>857</v>
      </c>
      <c r="B858" s="4">
        <f>HeartData[[#This Row],[age]]</f>
        <v>71</v>
      </c>
      <c r="C858" t="str">
        <f>HeartData[[#This Row],[sex]]</f>
        <v>Male</v>
      </c>
      <c r="D858" t="str">
        <f t="shared" si="39"/>
        <v>65+</v>
      </c>
      <c r="E858" t="str">
        <f>HeartData[[#This Row],[cp]]</f>
        <v>non-anginal</v>
      </c>
      <c r="F858" t="str">
        <f>IF(HeartData[[#This Row],[num]]&gt;0, "Diseased", "Healthy")</f>
        <v>Diseased</v>
      </c>
      <c r="G858">
        <f>IF(HeartData[[#This Row],[chol]]&gt;$P$3, 1, 0)</f>
        <v>1</v>
      </c>
      <c r="H858">
        <f>IF(HeartData[[#This Row],[trestbps]]&gt;$P$4, 1, 0)</f>
        <v>0</v>
      </c>
      <c r="I858">
        <f>IF(HeartData[[#This Row],[oldpeak]]&gt;$P$5,1,0)</f>
        <v>0</v>
      </c>
      <c r="J858">
        <f>IF(HeartData[[#This Row],[exang]]="TRUE",1,0)</f>
        <v>0</v>
      </c>
      <c r="K858">
        <f>IF(HeartData[[#This Row],[fbs]]="TRUE",1,0)</f>
        <v>0</v>
      </c>
      <c r="L858">
        <f>IF(HeartData[[#This Row],[ca]]&gt;0,1,0)</f>
        <v>0</v>
      </c>
      <c r="M858">
        <f t="shared" si="40"/>
        <v>1</v>
      </c>
      <c r="N858">
        <f t="shared" si="41"/>
        <v>1</v>
      </c>
    </row>
    <row r="859" spans="1:14" x14ac:dyDescent="0.3">
      <c r="A859">
        <f>HeartData[[#This Row],[id]]</f>
        <v>858</v>
      </c>
      <c r="B859" s="4">
        <f>HeartData[[#This Row],[age]]</f>
        <v>74</v>
      </c>
      <c r="C859" t="str">
        <f>HeartData[[#This Row],[sex]]</f>
        <v>Male</v>
      </c>
      <c r="D859" t="str">
        <f t="shared" si="39"/>
        <v>65+</v>
      </c>
      <c r="E859" t="str">
        <f>HeartData[[#This Row],[cp]]</f>
        <v>typical angina</v>
      </c>
      <c r="F859" t="str">
        <f>IF(HeartData[[#This Row],[num]]&gt;0, "Diseased", "Healthy")</f>
        <v>Diseased</v>
      </c>
      <c r="G859">
        <f>IF(HeartData[[#This Row],[chol]]&gt;$P$3, 1, 0)</f>
        <v>1</v>
      </c>
      <c r="H859">
        <f>IF(HeartData[[#This Row],[trestbps]]&gt;$P$4, 1, 0)</f>
        <v>0</v>
      </c>
      <c r="I859">
        <f>IF(HeartData[[#This Row],[oldpeak]]&gt;$P$5,1,0)</f>
        <v>0</v>
      </c>
      <c r="J859">
        <f>IF(HeartData[[#This Row],[exang]]="TRUE",1,0)</f>
        <v>0</v>
      </c>
      <c r="K859">
        <f>IF(HeartData[[#This Row],[fbs]]="TRUE",1,0)</f>
        <v>1</v>
      </c>
      <c r="L859">
        <f>IF(HeartData[[#This Row],[ca]]&gt;0,1,0)</f>
        <v>0</v>
      </c>
      <c r="M859">
        <f t="shared" si="40"/>
        <v>2</v>
      </c>
      <c r="N859">
        <f t="shared" si="41"/>
        <v>1</v>
      </c>
    </row>
    <row r="860" spans="1:14" x14ac:dyDescent="0.3">
      <c r="A860">
        <f>HeartData[[#This Row],[id]]</f>
        <v>859</v>
      </c>
      <c r="B860" s="4">
        <f>HeartData[[#This Row],[age]]</f>
        <v>53</v>
      </c>
      <c r="C860" t="str">
        <f>HeartData[[#This Row],[sex]]</f>
        <v>Male</v>
      </c>
      <c r="D860" t="str">
        <f t="shared" si="39"/>
        <v>45-54</v>
      </c>
      <c r="E860" t="str">
        <f>HeartData[[#This Row],[cp]]</f>
        <v>non-anginal</v>
      </c>
      <c r="F860" t="str">
        <f>IF(HeartData[[#This Row],[num]]&gt;0, "Diseased", "Healthy")</f>
        <v>Healthy</v>
      </c>
      <c r="G860">
        <f>IF(HeartData[[#This Row],[chol]]&gt;$P$3, 1, 0)</f>
        <v>1</v>
      </c>
      <c r="H860">
        <f>IF(HeartData[[#This Row],[trestbps]]&gt;$P$4, 1, 0)</f>
        <v>1</v>
      </c>
      <c r="I860">
        <f>IF(HeartData[[#This Row],[oldpeak]]&gt;$P$5,1,0)</f>
        <v>0</v>
      </c>
      <c r="J860">
        <f>IF(HeartData[[#This Row],[exang]]="TRUE",1,0)</f>
        <v>0</v>
      </c>
      <c r="K860">
        <f>IF(HeartData[[#This Row],[fbs]]="TRUE",1,0)</f>
        <v>1</v>
      </c>
      <c r="L860">
        <f>IF(HeartData[[#This Row],[ca]]&gt;0,1,0)</f>
        <v>0</v>
      </c>
      <c r="M860">
        <f t="shared" si="40"/>
        <v>3</v>
      </c>
      <c r="N860">
        <f t="shared" si="41"/>
        <v>0</v>
      </c>
    </row>
    <row r="861" spans="1:14" x14ac:dyDescent="0.3">
      <c r="A861">
        <f>HeartData[[#This Row],[id]]</f>
        <v>860</v>
      </c>
      <c r="B861" s="4">
        <f>HeartData[[#This Row],[age]]</f>
        <v>58</v>
      </c>
      <c r="C861" t="str">
        <f>HeartData[[#This Row],[sex]]</f>
        <v>Male</v>
      </c>
      <c r="D861" t="str">
        <f t="shared" si="39"/>
        <v>55-64</v>
      </c>
      <c r="E861" t="str">
        <f>HeartData[[#This Row],[cp]]</f>
        <v>non-anginal</v>
      </c>
      <c r="F861" t="str">
        <f>IF(HeartData[[#This Row],[num]]&gt;0, "Diseased", "Healthy")</f>
        <v>Diseased</v>
      </c>
      <c r="G861">
        <f>IF(HeartData[[#This Row],[chol]]&gt;$P$3, 1, 0)</f>
        <v>1</v>
      </c>
      <c r="H861">
        <f>IF(HeartData[[#This Row],[trestbps]]&gt;$P$4, 1, 0)</f>
        <v>1</v>
      </c>
      <c r="I861">
        <f>IF(HeartData[[#This Row],[oldpeak]]&gt;$P$5,1,0)</f>
        <v>0</v>
      </c>
      <c r="J861">
        <f>IF(HeartData[[#This Row],[exang]]="TRUE",1,0)</f>
        <v>1</v>
      </c>
      <c r="K861">
        <f>IF(HeartData[[#This Row],[fbs]]="TRUE",1,0)</f>
        <v>0</v>
      </c>
      <c r="L861">
        <f>IF(HeartData[[#This Row],[ca]]&gt;0,1,0)</f>
        <v>0</v>
      </c>
      <c r="M861">
        <f t="shared" si="40"/>
        <v>3</v>
      </c>
      <c r="N861">
        <f t="shared" si="41"/>
        <v>1</v>
      </c>
    </row>
    <row r="862" spans="1:14" x14ac:dyDescent="0.3">
      <c r="A862">
        <f>HeartData[[#This Row],[id]]</f>
        <v>861</v>
      </c>
      <c r="B862" s="4">
        <f>HeartData[[#This Row],[age]]</f>
        <v>75</v>
      </c>
      <c r="C862" t="str">
        <f>HeartData[[#This Row],[sex]]</f>
        <v>Male</v>
      </c>
      <c r="D862" t="str">
        <f t="shared" si="39"/>
        <v>65+</v>
      </c>
      <c r="E862" t="str">
        <f>HeartData[[#This Row],[cp]]</f>
        <v>asymptomatic</v>
      </c>
      <c r="F862" t="str">
        <f>IF(HeartData[[#This Row],[num]]&gt;0, "Diseased", "Healthy")</f>
        <v>Healthy</v>
      </c>
      <c r="G862">
        <f>IF(HeartData[[#This Row],[chol]]&gt;$P$3, 1, 0)</f>
        <v>1</v>
      </c>
      <c r="H862">
        <f>IF(HeartData[[#This Row],[trestbps]]&gt;$P$4, 1, 0)</f>
        <v>1</v>
      </c>
      <c r="I862">
        <f>IF(HeartData[[#This Row],[oldpeak]]&gt;$P$5,1,0)</f>
        <v>1</v>
      </c>
      <c r="J862">
        <f>IF(HeartData[[#This Row],[exang]]="TRUE",1,0)</f>
        <v>1</v>
      </c>
      <c r="K862">
        <f>IF(HeartData[[#This Row],[fbs]]="TRUE",1,0)</f>
        <v>1</v>
      </c>
      <c r="L862">
        <f>IF(HeartData[[#This Row],[ca]]&gt;0,1,0)</f>
        <v>0</v>
      </c>
      <c r="M862">
        <f t="shared" si="40"/>
        <v>5</v>
      </c>
      <c r="N862">
        <f t="shared" si="41"/>
        <v>0</v>
      </c>
    </row>
    <row r="863" spans="1:14" x14ac:dyDescent="0.3">
      <c r="A863">
        <f>HeartData[[#This Row],[id]]</f>
        <v>862</v>
      </c>
      <c r="B863" s="4">
        <f>HeartData[[#This Row],[age]]</f>
        <v>56</v>
      </c>
      <c r="C863" t="str">
        <f>HeartData[[#This Row],[sex]]</f>
        <v>Male</v>
      </c>
      <c r="D863" t="str">
        <f t="shared" si="39"/>
        <v>55-64</v>
      </c>
      <c r="E863" t="str">
        <f>HeartData[[#This Row],[cp]]</f>
        <v>non-anginal</v>
      </c>
      <c r="F863" t="str">
        <f>IF(HeartData[[#This Row],[num]]&gt;0, "Diseased", "Healthy")</f>
        <v>Diseased</v>
      </c>
      <c r="G863">
        <f>IF(HeartData[[#This Row],[chol]]&gt;$P$3, 1, 0)</f>
        <v>1</v>
      </c>
      <c r="H863">
        <f>IF(HeartData[[#This Row],[trestbps]]&gt;$P$4, 1, 0)</f>
        <v>0</v>
      </c>
      <c r="I863">
        <f>IF(HeartData[[#This Row],[oldpeak]]&gt;$P$5,1,0)</f>
        <v>0</v>
      </c>
      <c r="J863">
        <f>IF(HeartData[[#This Row],[exang]]="TRUE",1,0)</f>
        <v>0</v>
      </c>
      <c r="K863">
        <f>IF(HeartData[[#This Row],[fbs]]="TRUE",1,0)</f>
        <v>1</v>
      </c>
      <c r="L863">
        <f>IF(HeartData[[#This Row],[ca]]&gt;0,1,0)</f>
        <v>0</v>
      </c>
      <c r="M863">
        <f t="shared" si="40"/>
        <v>2</v>
      </c>
      <c r="N863">
        <f t="shared" si="41"/>
        <v>1</v>
      </c>
    </row>
    <row r="864" spans="1:14" x14ac:dyDescent="0.3">
      <c r="A864">
        <f>HeartData[[#This Row],[id]]</f>
        <v>863</v>
      </c>
      <c r="B864" s="4">
        <f>HeartData[[#This Row],[age]]</f>
        <v>58</v>
      </c>
      <c r="C864" t="str">
        <f>HeartData[[#This Row],[sex]]</f>
        <v>Male</v>
      </c>
      <c r="D864" t="str">
        <f t="shared" si="39"/>
        <v>55-64</v>
      </c>
      <c r="E864" t="str">
        <f>HeartData[[#This Row],[cp]]</f>
        <v>non-anginal</v>
      </c>
      <c r="F864" t="str">
        <f>IF(HeartData[[#This Row],[num]]&gt;0, "Diseased", "Healthy")</f>
        <v>Diseased</v>
      </c>
      <c r="G864">
        <f>IF(HeartData[[#This Row],[chol]]&gt;$P$3, 1, 0)</f>
        <v>1</v>
      </c>
      <c r="H864">
        <f>IF(HeartData[[#This Row],[trestbps]]&gt;$P$4, 1, 0)</f>
        <v>0</v>
      </c>
      <c r="I864">
        <f>IF(HeartData[[#This Row],[oldpeak]]&gt;$P$5,1,0)</f>
        <v>0</v>
      </c>
      <c r="J864">
        <f>IF(HeartData[[#This Row],[exang]]="TRUE",1,0)</f>
        <v>0</v>
      </c>
      <c r="K864">
        <f>IF(HeartData[[#This Row],[fbs]]="TRUE",1,0)</f>
        <v>0</v>
      </c>
      <c r="L864">
        <f>IF(HeartData[[#This Row],[ca]]&gt;0,1,0)</f>
        <v>0</v>
      </c>
      <c r="M864">
        <f t="shared" si="40"/>
        <v>1</v>
      </c>
      <c r="N864">
        <f t="shared" si="41"/>
        <v>1</v>
      </c>
    </row>
    <row r="865" spans="1:14" x14ac:dyDescent="0.3">
      <c r="A865">
        <f>HeartData[[#This Row],[id]]</f>
        <v>864</v>
      </c>
      <c r="B865" s="4">
        <f>HeartData[[#This Row],[age]]</f>
        <v>64</v>
      </c>
      <c r="C865" t="str">
        <f>HeartData[[#This Row],[sex]]</f>
        <v>Male</v>
      </c>
      <c r="D865" t="str">
        <f t="shared" si="39"/>
        <v>55-64</v>
      </c>
      <c r="E865" t="str">
        <f>HeartData[[#This Row],[cp]]</f>
        <v>asymptomatic</v>
      </c>
      <c r="F865" t="str">
        <f>IF(HeartData[[#This Row],[num]]&gt;0, "Diseased", "Healthy")</f>
        <v>Diseased</v>
      </c>
      <c r="G865">
        <f>IF(HeartData[[#This Row],[chol]]&gt;$P$3, 1, 0)</f>
        <v>1</v>
      </c>
      <c r="H865">
        <f>IF(HeartData[[#This Row],[trestbps]]&gt;$P$4, 1, 0)</f>
        <v>1</v>
      </c>
      <c r="I865">
        <f>IF(HeartData[[#This Row],[oldpeak]]&gt;$P$5,1,0)</f>
        <v>1</v>
      </c>
      <c r="J865">
        <f>IF(HeartData[[#This Row],[exang]]="TRUE",1,0)</f>
        <v>1</v>
      </c>
      <c r="K865">
        <f>IF(HeartData[[#This Row],[fbs]]="TRUE",1,0)</f>
        <v>0</v>
      </c>
      <c r="L865">
        <f>IF(HeartData[[#This Row],[ca]]&gt;0,1,0)</f>
        <v>0</v>
      </c>
      <c r="M865">
        <f t="shared" si="40"/>
        <v>4</v>
      </c>
      <c r="N865">
        <f t="shared" si="41"/>
        <v>1</v>
      </c>
    </row>
    <row r="866" spans="1:14" x14ac:dyDescent="0.3">
      <c r="A866">
        <f>HeartData[[#This Row],[id]]</f>
        <v>865</v>
      </c>
      <c r="B866" s="4">
        <f>HeartData[[#This Row],[age]]</f>
        <v>54</v>
      </c>
      <c r="C866" t="str">
        <f>HeartData[[#This Row],[sex]]</f>
        <v>Male</v>
      </c>
      <c r="D866" t="str">
        <f t="shared" si="39"/>
        <v>45-54</v>
      </c>
      <c r="E866" t="str">
        <f>HeartData[[#This Row],[cp]]</f>
        <v>non-anginal</v>
      </c>
      <c r="F866" t="str">
        <f>IF(HeartData[[#This Row],[num]]&gt;0, "Diseased", "Healthy")</f>
        <v>Healthy</v>
      </c>
      <c r="G866">
        <f>IF(HeartData[[#This Row],[chol]]&gt;$P$3, 1, 0)</f>
        <v>1</v>
      </c>
      <c r="H866">
        <f>IF(HeartData[[#This Row],[trestbps]]&gt;$P$4, 1, 0)</f>
        <v>0</v>
      </c>
      <c r="I866">
        <f>IF(HeartData[[#This Row],[oldpeak]]&gt;$P$5,1,0)</f>
        <v>0</v>
      </c>
      <c r="J866">
        <f>IF(HeartData[[#This Row],[exang]]="TRUE",1,0)</f>
        <v>0</v>
      </c>
      <c r="K866">
        <f>IF(HeartData[[#This Row],[fbs]]="TRUE",1,0)</f>
        <v>0</v>
      </c>
      <c r="L866">
        <f>IF(HeartData[[#This Row],[ca]]&gt;0,1,0)</f>
        <v>0</v>
      </c>
      <c r="M866">
        <f t="shared" si="40"/>
        <v>1</v>
      </c>
      <c r="N866">
        <f t="shared" si="41"/>
        <v>0</v>
      </c>
    </row>
    <row r="867" spans="1:14" x14ac:dyDescent="0.3">
      <c r="A867">
        <f>HeartData[[#This Row],[id]]</f>
        <v>866</v>
      </c>
      <c r="B867" s="4">
        <f>HeartData[[#This Row],[age]]</f>
        <v>54</v>
      </c>
      <c r="C867" t="str">
        <f>HeartData[[#This Row],[sex]]</f>
        <v>Male</v>
      </c>
      <c r="D867" t="str">
        <f t="shared" si="39"/>
        <v>45-54</v>
      </c>
      <c r="E867" t="str">
        <f>HeartData[[#This Row],[cp]]</f>
        <v>atypical angina</v>
      </c>
      <c r="F867" t="str">
        <f>IF(HeartData[[#This Row],[num]]&gt;0, "Diseased", "Healthy")</f>
        <v>Healthy</v>
      </c>
      <c r="G867">
        <f>IF(HeartData[[#This Row],[chol]]&gt;$P$3, 1, 0)</f>
        <v>1</v>
      </c>
      <c r="H867">
        <f>IF(HeartData[[#This Row],[trestbps]]&gt;$P$4, 1, 0)</f>
        <v>0</v>
      </c>
      <c r="I867">
        <f>IF(HeartData[[#This Row],[oldpeak]]&gt;$P$5,1,0)</f>
        <v>0</v>
      </c>
      <c r="J867">
        <f>IF(HeartData[[#This Row],[exang]]="TRUE",1,0)</f>
        <v>0</v>
      </c>
      <c r="K867">
        <f>IF(HeartData[[#This Row],[fbs]]="TRUE",1,0)</f>
        <v>0</v>
      </c>
      <c r="L867">
        <f>IF(HeartData[[#This Row],[ca]]&gt;0,1,0)</f>
        <v>0</v>
      </c>
      <c r="M867">
        <f t="shared" si="40"/>
        <v>1</v>
      </c>
      <c r="N867">
        <f t="shared" si="41"/>
        <v>0</v>
      </c>
    </row>
    <row r="868" spans="1:14" x14ac:dyDescent="0.3">
      <c r="A868">
        <f>HeartData[[#This Row],[id]]</f>
        <v>867</v>
      </c>
      <c r="B868" s="4">
        <f>HeartData[[#This Row],[age]]</f>
        <v>59</v>
      </c>
      <c r="C868" t="str">
        <f>HeartData[[#This Row],[sex]]</f>
        <v>Male</v>
      </c>
      <c r="D868" t="str">
        <f t="shared" si="39"/>
        <v>55-64</v>
      </c>
      <c r="E868" t="str">
        <f>HeartData[[#This Row],[cp]]</f>
        <v>asymptomatic</v>
      </c>
      <c r="F868" t="str">
        <f>IF(HeartData[[#This Row],[num]]&gt;0, "Diseased", "Healthy")</f>
        <v>Healthy</v>
      </c>
      <c r="G868">
        <f>IF(HeartData[[#This Row],[chol]]&gt;$P$3, 1, 0)</f>
        <v>1</v>
      </c>
      <c r="H868">
        <f>IF(HeartData[[#This Row],[trestbps]]&gt;$P$4, 1, 0)</f>
        <v>1</v>
      </c>
      <c r="I868">
        <f>IF(HeartData[[#This Row],[oldpeak]]&gt;$P$5,1,0)</f>
        <v>1</v>
      </c>
      <c r="J868">
        <f>IF(HeartData[[#This Row],[exang]]="TRUE",1,0)</f>
        <v>1</v>
      </c>
      <c r="K868">
        <f>IF(HeartData[[#This Row],[fbs]]="TRUE",1,0)</f>
        <v>0</v>
      </c>
      <c r="L868">
        <f>IF(HeartData[[#This Row],[ca]]&gt;0,1,0)</f>
        <v>0</v>
      </c>
      <c r="M868">
        <f t="shared" si="40"/>
        <v>4</v>
      </c>
      <c r="N868">
        <f t="shared" si="41"/>
        <v>0</v>
      </c>
    </row>
    <row r="869" spans="1:14" x14ac:dyDescent="0.3">
      <c r="A869">
        <f>HeartData[[#This Row],[id]]</f>
        <v>868</v>
      </c>
      <c r="B869" s="4">
        <f>HeartData[[#This Row],[age]]</f>
        <v>55</v>
      </c>
      <c r="C869" t="str">
        <f>HeartData[[#This Row],[sex]]</f>
        <v>Male</v>
      </c>
      <c r="D869" t="str">
        <f t="shared" si="39"/>
        <v>55-64</v>
      </c>
      <c r="E869" t="str">
        <f>HeartData[[#This Row],[cp]]</f>
        <v>asymptomatic</v>
      </c>
      <c r="F869" t="str">
        <f>IF(HeartData[[#This Row],[num]]&gt;0, "Diseased", "Healthy")</f>
        <v>Diseased</v>
      </c>
      <c r="G869">
        <f>IF(HeartData[[#This Row],[chol]]&gt;$P$3, 1, 0)</f>
        <v>1</v>
      </c>
      <c r="H869">
        <f>IF(HeartData[[#This Row],[trestbps]]&gt;$P$4, 1, 0)</f>
        <v>0</v>
      </c>
      <c r="I869">
        <f>IF(HeartData[[#This Row],[oldpeak]]&gt;$P$5,1,0)</f>
        <v>0</v>
      </c>
      <c r="J869">
        <f>IF(HeartData[[#This Row],[exang]]="TRUE",1,0)</f>
        <v>0</v>
      </c>
      <c r="K869">
        <f>IF(HeartData[[#This Row],[fbs]]="TRUE",1,0)</f>
        <v>1</v>
      </c>
      <c r="L869">
        <f>IF(HeartData[[#This Row],[ca]]&gt;0,1,0)</f>
        <v>0</v>
      </c>
      <c r="M869">
        <f t="shared" si="40"/>
        <v>2</v>
      </c>
      <c r="N869">
        <f t="shared" si="41"/>
        <v>1</v>
      </c>
    </row>
    <row r="870" spans="1:14" x14ac:dyDescent="0.3">
      <c r="A870">
        <f>HeartData[[#This Row],[id]]</f>
        <v>869</v>
      </c>
      <c r="B870" s="4">
        <f>HeartData[[#This Row],[age]]</f>
        <v>57</v>
      </c>
      <c r="C870" t="str">
        <f>HeartData[[#This Row],[sex]]</f>
        <v>Male</v>
      </c>
      <c r="D870" t="str">
        <f t="shared" si="39"/>
        <v>55-64</v>
      </c>
      <c r="E870" t="str">
        <f>HeartData[[#This Row],[cp]]</f>
        <v>asymptomatic</v>
      </c>
      <c r="F870" t="str">
        <f>IF(HeartData[[#This Row],[num]]&gt;0, "Diseased", "Healthy")</f>
        <v>Diseased</v>
      </c>
      <c r="G870">
        <f>IF(HeartData[[#This Row],[chol]]&gt;$P$3, 1, 0)</f>
        <v>1</v>
      </c>
      <c r="H870">
        <f>IF(HeartData[[#This Row],[trestbps]]&gt;$P$4, 1, 0)</f>
        <v>1</v>
      </c>
      <c r="I870">
        <f>IF(HeartData[[#This Row],[oldpeak]]&gt;$P$5,1,0)</f>
        <v>1</v>
      </c>
      <c r="J870">
        <f>IF(HeartData[[#This Row],[exang]]="TRUE",1,0)</f>
        <v>1</v>
      </c>
      <c r="K870">
        <f>IF(HeartData[[#This Row],[fbs]]="TRUE",1,0)</f>
        <v>1</v>
      </c>
      <c r="L870">
        <f>IF(HeartData[[#This Row],[ca]]&gt;0,1,0)</f>
        <v>0</v>
      </c>
      <c r="M870">
        <f t="shared" si="40"/>
        <v>5</v>
      </c>
      <c r="N870">
        <f t="shared" si="41"/>
        <v>1</v>
      </c>
    </row>
    <row r="871" spans="1:14" x14ac:dyDescent="0.3">
      <c r="A871">
        <f>HeartData[[#This Row],[id]]</f>
        <v>870</v>
      </c>
      <c r="B871" s="4">
        <f>HeartData[[#This Row],[age]]</f>
        <v>61</v>
      </c>
      <c r="C871" t="str">
        <f>HeartData[[#This Row],[sex]]</f>
        <v>Male</v>
      </c>
      <c r="D871" t="str">
        <f t="shared" si="39"/>
        <v>55-64</v>
      </c>
      <c r="E871" t="str">
        <f>HeartData[[#This Row],[cp]]</f>
        <v>asymptomatic</v>
      </c>
      <c r="F871" t="str">
        <f>IF(HeartData[[#This Row],[num]]&gt;0, "Diseased", "Healthy")</f>
        <v>Diseased</v>
      </c>
      <c r="G871">
        <f>IF(HeartData[[#This Row],[chol]]&gt;$P$3, 1, 0)</f>
        <v>1</v>
      </c>
      <c r="H871">
        <f>IF(HeartData[[#This Row],[trestbps]]&gt;$P$4, 1, 0)</f>
        <v>0</v>
      </c>
      <c r="I871">
        <f>IF(HeartData[[#This Row],[oldpeak]]&gt;$P$5,1,0)</f>
        <v>0</v>
      </c>
      <c r="J871">
        <f>IF(HeartData[[#This Row],[exang]]="TRUE",1,0)</f>
        <v>0</v>
      </c>
      <c r="K871">
        <f>IF(HeartData[[#This Row],[fbs]]="TRUE",1,0)</f>
        <v>0</v>
      </c>
      <c r="L871">
        <f>IF(HeartData[[#This Row],[ca]]&gt;0,1,0)</f>
        <v>0</v>
      </c>
      <c r="M871">
        <f t="shared" si="40"/>
        <v>1</v>
      </c>
      <c r="N871">
        <f t="shared" si="41"/>
        <v>1</v>
      </c>
    </row>
    <row r="872" spans="1:14" x14ac:dyDescent="0.3">
      <c r="A872">
        <f>HeartData[[#This Row],[id]]</f>
        <v>871</v>
      </c>
      <c r="B872" s="4">
        <f>HeartData[[#This Row],[age]]</f>
        <v>41</v>
      </c>
      <c r="C872" t="str">
        <f>HeartData[[#This Row],[sex]]</f>
        <v>Male</v>
      </c>
      <c r="D872" t="str">
        <f t="shared" si="39"/>
        <v>Under 45</v>
      </c>
      <c r="E872" t="str">
        <f>HeartData[[#This Row],[cp]]</f>
        <v>asymptomatic</v>
      </c>
      <c r="F872" t="str">
        <f>IF(HeartData[[#This Row],[num]]&gt;0, "Diseased", "Healthy")</f>
        <v>Healthy</v>
      </c>
      <c r="G872">
        <f>IF(HeartData[[#This Row],[chol]]&gt;$P$3, 1, 0)</f>
        <v>1</v>
      </c>
      <c r="H872">
        <f>IF(HeartData[[#This Row],[trestbps]]&gt;$P$4, 1, 0)</f>
        <v>1</v>
      </c>
      <c r="I872">
        <f>IF(HeartData[[#This Row],[oldpeak]]&gt;$P$5,1,0)</f>
        <v>1</v>
      </c>
      <c r="J872">
        <f>IF(HeartData[[#This Row],[exang]]="TRUE",1,0)</f>
        <v>1</v>
      </c>
      <c r="K872">
        <f>IF(HeartData[[#This Row],[fbs]]="TRUE",1,0)</f>
        <v>0</v>
      </c>
      <c r="L872">
        <f>IF(HeartData[[#This Row],[ca]]&gt;0,1,0)</f>
        <v>0</v>
      </c>
      <c r="M872">
        <f t="shared" si="40"/>
        <v>4</v>
      </c>
      <c r="N872">
        <f t="shared" si="41"/>
        <v>0</v>
      </c>
    </row>
    <row r="873" spans="1:14" x14ac:dyDescent="0.3">
      <c r="A873">
        <f>HeartData[[#This Row],[id]]</f>
        <v>872</v>
      </c>
      <c r="B873" s="4">
        <f>HeartData[[#This Row],[age]]</f>
        <v>71</v>
      </c>
      <c r="C873" t="str">
        <f>HeartData[[#This Row],[sex]]</f>
        <v>Male</v>
      </c>
      <c r="D873" t="str">
        <f t="shared" si="39"/>
        <v>65+</v>
      </c>
      <c r="E873" t="str">
        <f>HeartData[[#This Row],[cp]]</f>
        <v>asymptomatic</v>
      </c>
      <c r="F873" t="str">
        <f>IF(HeartData[[#This Row],[num]]&gt;0, "Diseased", "Healthy")</f>
        <v>Diseased</v>
      </c>
      <c r="G873">
        <f>IF(HeartData[[#This Row],[chol]]&gt;$P$3, 1, 0)</f>
        <v>1</v>
      </c>
      <c r="H873">
        <f>IF(HeartData[[#This Row],[trestbps]]&gt;$P$4, 1, 0)</f>
        <v>1</v>
      </c>
      <c r="I873">
        <f>IF(HeartData[[#This Row],[oldpeak]]&gt;$P$5,1,0)</f>
        <v>0</v>
      </c>
      <c r="J873">
        <f>IF(HeartData[[#This Row],[exang]]="TRUE",1,0)</f>
        <v>1</v>
      </c>
      <c r="K873">
        <f>IF(HeartData[[#This Row],[fbs]]="TRUE",1,0)</f>
        <v>0</v>
      </c>
      <c r="L873">
        <f>IF(HeartData[[#This Row],[ca]]&gt;0,1,0)</f>
        <v>0</v>
      </c>
      <c r="M873">
        <f t="shared" si="40"/>
        <v>3</v>
      </c>
      <c r="N873">
        <f t="shared" si="41"/>
        <v>1</v>
      </c>
    </row>
    <row r="874" spans="1:14" x14ac:dyDescent="0.3">
      <c r="A874">
        <f>HeartData[[#This Row],[id]]</f>
        <v>873</v>
      </c>
      <c r="B874" s="4">
        <f>HeartData[[#This Row],[age]]</f>
        <v>38</v>
      </c>
      <c r="C874" t="str">
        <f>HeartData[[#This Row],[sex]]</f>
        <v>Male</v>
      </c>
      <c r="D874" t="str">
        <f t="shared" si="39"/>
        <v>Under 45</v>
      </c>
      <c r="E874" t="str">
        <f>HeartData[[#This Row],[cp]]</f>
        <v>asymptomatic</v>
      </c>
      <c r="F874" t="str">
        <f>IF(HeartData[[#This Row],[num]]&gt;0, "Diseased", "Healthy")</f>
        <v>Diseased</v>
      </c>
      <c r="G874">
        <f>IF(HeartData[[#This Row],[chol]]&gt;$P$3, 1, 0)</f>
        <v>1</v>
      </c>
      <c r="H874">
        <f>IF(HeartData[[#This Row],[trestbps]]&gt;$P$4, 1, 0)</f>
        <v>1</v>
      </c>
      <c r="I874">
        <f>IF(HeartData[[#This Row],[oldpeak]]&gt;$P$5,1,0)</f>
        <v>1</v>
      </c>
      <c r="J874">
        <f>IF(HeartData[[#This Row],[exang]]="TRUE",1,0)</f>
        <v>1</v>
      </c>
      <c r="K874">
        <f>IF(HeartData[[#This Row],[fbs]]="TRUE",1,0)</f>
        <v>0</v>
      </c>
      <c r="L874">
        <f>IF(HeartData[[#This Row],[ca]]&gt;0,1,0)</f>
        <v>0</v>
      </c>
      <c r="M874">
        <f t="shared" si="40"/>
        <v>4</v>
      </c>
      <c r="N874">
        <f t="shared" si="41"/>
        <v>1</v>
      </c>
    </row>
    <row r="875" spans="1:14" x14ac:dyDescent="0.3">
      <c r="A875">
        <f>HeartData[[#This Row],[id]]</f>
        <v>874</v>
      </c>
      <c r="B875" s="4">
        <f>HeartData[[#This Row],[age]]</f>
        <v>55</v>
      </c>
      <c r="C875" t="str">
        <f>HeartData[[#This Row],[sex]]</f>
        <v>Male</v>
      </c>
      <c r="D875" t="str">
        <f t="shared" si="39"/>
        <v>55-64</v>
      </c>
      <c r="E875" t="str">
        <f>HeartData[[#This Row],[cp]]</f>
        <v>asymptomatic</v>
      </c>
      <c r="F875" t="str">
        <f>IF(HeartData[[#This Row],[num]]&gt;0, "Diseased", "Healthy")</f>
        <v>Diseased</v>
      </c>
      <c r="G875">
        <f>IF(HeartData[[#This Row],[chol]]&gt;$P$3, 1, 0)</f>
        <v>1</v>
      </c>
      <c r="H875">
        <f>IF(HeartData[[#This Row],[trestbps]]&gt;$P$4, 1, 0)</f>
        <v>1</v>
      </c>
      <c r="I875">
        <f>IF(HeartData[[#This Row],[oldpeak]]&gt;$P$5,1,0)</f>
        <v>1</v>
      </c>
      <c r="J875">
        <f>IF(HeartData[[#This Row],[exang]]="TRUE",1,0)</f>
        <v>1</v>
      </c>
      <c r="K875">
        <f>IF(HeartData[[#This Row],[fbs]]="TRUE",1,0)</f>
        <v>0</v>
      </c>
      <c r="L875">
        <f>IF(HeartData[[#This Row],[ca]]&gt;0,1,0)</f>
        <v>0</v>
      </c>
      <c r="M875">
        <f t="shared" si="40"/>
        <v>4</v>
      </c>
      <c r="N875">
        <f t="shared" si="41"/>
        <v>1</v>
      </c>
    </row>
    <row r="876" spans="1:14" x14ac:dyDescent="0.3">
      <c r="A876">
        <f>HeartData[[#This Row],[id]]</f>
        <v>875</v>
      </c>
      <c r="B876" s="4">
        <f>HeartData[[#This Row],[age]]</f>
        <v>56</v>
      </c>
      <c r="C876" t="str">
        <f>HeartData[[#This Row],[sex]]</f>
        <v>Male</v>
      </c>
      <c r="D876" t="str">
        <f t="shared" si="39"/>
        <v>55-64</v>
      </c>
      <c r="E876" t="str">
        <f>HeartData[[#This Row],[cp]]</f>
        <v>asymptomatic</v>
      </c>
      <c r="F876" t="str">
        <f>IF(HeartData[[#This Row],[num]]&gt;0, "Diseased", "Healthy")</f>
        <v>Diseased</v>
      </c>
      <c r="G876">
        <f>IF(HeartData[[#This Row],[chol]]&gt;$P$3, 1, 0)</f>
        <v>1</v>
      </c>
      <c r="H876">
        <f>IF(HeartData[[#This Row],[trestbps]]&gt;$P$4, 1, 0)</f>
        <v>1</v>
      </c>
      <c r="I876">
        <f>IF(HeartData[[#This Row],[oldpeak]]&gt;$P$5,1,0)</f>
        <v>1</v>
      </c>
      <c r="J876">
        <f>IF(HeartData[[#This Row],[exang]]="TRUE",1,0)</f>
        <v>1</v>
      </c>
      <c r="K876">
        <f>IF(HeartData[[#This Row],[fbs]]="TRUE",1,0)</f>
        <v>0</v>
      </c>
      <c r="L876">
        <f>IF(HeartData[[#This Row],[ca]]&gt;0,1,0)</f>
        <v>0</v>
      </c>
      <c r="M876">
        <f t="shared" si="40"/>
        <v>4</v>
      </c>
      <c r="N876">
        <f t="shared" si="41"/>
        <v>1</v>
      </c>
    </row>
    <row r="877" spans="1:14" x14ac:dyDescent="0.3">
      <c r="A877">
        <f>HeartData[[#This Row],[id]]</f>
        <v>876</v>
      </c>
      <c r="B877" s="4">
        <f>HeartData[[#This Row],[age]]</f>
        <v>69</v>
      </c>
      <c r="C877" t="str">
        <f>HeartData[[#This Row],[sex]]</f>
        <v>Male</v>
      </c>
      <c r="D877" t="str">
        <f t="shared" si="39"/>
        <v>65+</v>
      </c>
      <c r="E877" t="str">
        <f>HeartData[[#This Row],[cp]]</f>
        <v>asymptomatic</v>
      </c>
      <c r="F877" t="str">
        <f>IF(HeartData[[#This Row],[num]]&gt;0, "Diseased", "Healthy")</f>
        <v>Diseased</v>
      </c>
      <c r="G877">
        <f>IF(HeartData[[#This Row],[chol]]&gt;$P$3, 1, 0)</f>
        <v>0</v>
      </c>
      <c r="H877">
        <f>IF(HeartData[[#This Row],[trestbps]]&gt;$P$4, 1, 0)</f>
        <v>0</v>
      </c>
      <c r="I877">
        <f>IF(HeartData[[#This Row],[oldpeak]]&gt;$P$5,1,0)</f>
        <v>0</v>
      </c>
      <c r="J877">
        <f>IF(HeartData[[#This Row],[exang]]="TRUE",1,0)</f>
        <v>0</v>
      </c>
      <c r="K877">
        <f>IF(HeartData[[#This Row],[fbs]]="TRUE",1,0)</f>
        <v>1</v>
      </c>
      <c r="L877">
        <f>IF(HeartData[[#This Row],[ca]]&gt;0,1,0)</f>
        <v>0</v>
      </c>
      <c r="M877">
        <f t="shared" si="40"/>
        <v>1</v>
      </c>
      <c r="N877">
        <f t="shared" si="41"/>
        <v>1</v>
      </c>
    </row>
    <row r="878" spans="1:14" x14ac:dyDescent="0.3">
      <c r="A878">
        <f>HeartData[[#This Row],[id]]</f>
        <v>877</v>
      </c>
      <c r="B878" s="4">
        <f>HeartData[[#This Row],[age]]</f>
        <v>64</v>
      </c>
      <c r="C878" t="str">
        <f>HeartData[[#This Row],[sex]]</f>
        <v>Male</v>
      </c>
      <c r="D878" t="str">
        <f t="shared" si="39"/>
        <v>55-64</v>
      </c>
      <c r="E878" t="str">
        <f>HeartData[[#This Row],[cp]]</f>
        <v>asymptomatic</v>
      </c>
      <c r="F878" t="str">
        <f>IF(HeartData[[#This Row],[num]]&gt;0, "Diseased", "Healthy")</f>
        <v>Diseased</v>
      </c>
      <c r="G878">
        <f>IF(HeartData[[#This Row],[chol]]&gt;$P$3, 1, 0)</f>
        <v>1</v>
      </c>
      <c r="H878">
        <f>IF(HeartData[[#This Row],[trestbps]]&gt;$P$4, 1, 0)</f>
        <v>1</v>
      </c>
      <c r="I878">
        <f>IF(HeartData[[#This Row],[oldpeak]]&gt;$P$5,1,0)</f>
        <v>1</v>
      </c>
      <c r="J878">
        <f>IF(HeartData[[#This Row],[exang]]="TRUE",1,0)</f>
        <v>1</v>
      </c>
      <c r="K878">
        <f>IF(HeartData[[#This Row],[fbs]]="TRUE",1,0)</f>
        <v>0</v>
      </c>
      <c r="L878">
        <f>IF(HeartData[[#This Row],[ca]]&gt;0,1,0)</f>
        <v>0</v>
      </c>
      <c r="M878">
        <f t="shared" si="40"/>
        <v>4</v>
      </c>
      <c r="N878">
        <f t="shared" si="41"/>
        <v>1</v>
      </c>
    </row>
    <row r="879" spans="1:14" x14ac:dyDescent="0.3">
      <c r="A879">
        <f>HeartData[[#This Row],[id]]</f>
        <v>878</v>
      </c>
      <c r="B879" s="4">
        <f>HeartData[[#This Row],[age]]</f>
        <v>72</v>
      </c>
      <c r="C879" t="str">
        <f>HeartData[[#This Row],[sex]]</f>
        <v>Male</v>
      </c>
      <c r="D879" t="str">
        <f t="shared" si="39"/>
        <v>65+</v>
      </c>
      <c r="E879" t="str">
        <f>HeartData[[#This Row],[cp]]</f>
        <v>asymptomatic</v>
      </c>
      <c r="F879" t="str">
        <f>IF(HeartData[[#This Row],[num]]&gt;0, "Diseased", "Healthy")</f>
        <v>Diseased</v>
      </c>
      <c r="G879">
        <f>IF(HeartData[[#This Row],[chol]]&gt;$P$3, 1, 0)</f>
        <v>0</v>
      </c>
      <c r="H879">
        <f>IF(HeartData[[#This Row],[trestbps]]&gt;$P$4, 1, 0)</f>
        <v>1</v>
      </c>
      <c r="I879">
        <f>IF(HeartData[[#This Row],[oldpeak]]&gt;$P$5,1,0)</f>
        <v>1</v>
      </c>
      <c r="J879">
        <f>IF(HeartData[[#This Row],[exang]]="TRUE",1,0)</f>
        <v>0</v>
      </c>
      <c r="K879">
        <f>IF(HeartData[[#This Row],[fbs]]="TRUE",1,0)</f>
        <v>1</v>
      </c>
      <c r="L879">
        <f>IF(HeartData[[#This Row],[ca]]&gt;0,1,0)</f>
        <v>0</v>
      </c>
      <c r="M879">
        <f t="shared" si="40"/>
        <v>3</v>
      </c>
      <c r="N879">
        <f t="shared" si="41"/>
        <v>1</v>
      </c>
    </row>
    <row r="880" spans="1:14" x14ac:dyDescent="0.3">
      <c r="A880">
        <f>HeartData[[#This Row],[id]]</f>
        <v>879</v>
      </c>
      <c r="B880" s="4">
        <f>HeartData[[#This Row],[age]]</f>
        <v>69</v>
      </c>
      <c r="C880" t="str">
        <f>HeartData[[#This Row],[sex]]</f>
        <v>Male</v>
      </c>
      <c r="D880" t="str">
        <f t="shared" si="39"/>
        <v>65+</v>
      </c>
      <c r="E880" t="str">
        <f>HeartData[[#This Row],[cp]]</f>
        <v>asymptomatic</v>
      </c>
      <c r="F880" t="str">
        <f>IF(HeartData[[#This Row],[num]]&gt;0, "Diseased", "Healthy")</f>
        <v>Diseased</v>
      </c>
      <c r="G880">
        <f>IF(HeartData[[#This Row],[chol]]&gt;$P$3, 1, 0)</f>
        <v>1</v>
      </c>
      <c r="H880">
        <f>IF(HeartData[[#This Row],[trestbps]]&gt;$P$4, 1, 0)</f>
        <v>0</v>
      </c>
      <c r="I880">
        <f>IF(HeartData[[#This Row],[oldpeak]]&gt;$P$5,1,0)</f>
        <v>0</v>
      </c>
      <c r="J880">
        <f>IF(HeartData[[#This Row],[exang]]="TRUE",1,0)</f>
        <v>0</v>
      </c>
      <c r="K880">
        <f>IF(HeartData[[#This Row],[fbs]]="TRUE",1,0)</f>
        <v>1</v>
      </c>
      <c r="L880">
        <f>IF(HeartData[[#This Row],[ca]]&gt;0,1,0)</f>
        <v>0</v>
      </c>
      <c r="M880">
        <f t="shared" si="40"/>
        <v>2</v>
      </c>
      <c r="N880">
        <f t="shared" si="41"/>
        <v>1</v>
      </c>
    </row>
    <row r="881" spans="1:14" x14ac:dyDescent="0.3">
      <c r="A881">
        <f>HeartData[[#This Row],[id]]</f>
        <v>880</v>
      </c>
      <c r="B881" s="4">
        <f>HeartData[[#This Row],[age]]</f>
        <v>56</v>
      </c>
      <c r="C881" t="str">
        <f>HeartData[[#This Row],[sex]]</f>
        <v>Male</v>
      </c>
      <c r="D881" t="str">
        <f t="shared" si="39"/>
        <v>55-64</v>
      </c>
      <c r="E881" t="str">
        <f>HeartData[[#This Row],[cp]]</f>
        <v>asymptomatic</v>
      </c>
      <c r="F881" t="str">
        <f>IF(HeartData[[#This Row],[num]]&gt;0, "Diseased", "Healthy")</f>
        <v>Diseased</v>
      </c>
      <c r="G881">
        <f>IF(HeartData[[#This Row],[chol]]&gt;$P$3, 1, 0)</f>
        <v>1</v>
      </c>
      <c r="H881">
        <f>IF(HeartData[[#This Row],[trestbps]]&gt;$P$4, 1, 0)</f>
        <v>0</v>
      </c>
      <c r="I881">
        <f>IF(HeartData[[#This Row],[oldpeak]]&gt;$P$5,1,0)</f>
        <v>0</v>
      </c>
      <c r="J881">
        <f>IF(HeartData[[#This Row],[exang]]="TRUE",1,0)</f>
        <v>0</v>
      </c>
      <c r="K881">
        <f>IF(HeartData[[#This Row],[fbs]]="TRUE",1,0)</f>
        <v>1</v>
      </c>
      <c r="L881">
        <f>IF(HeartData[[#This Row],[ca]]&gt;0,1,0)</f>
        <v>0</v>
      </c>
      <c r="M881">
        <f t="shared" si="40"/>
        <v>2</v>
      </c>
      <c r="N881">
        <f t="shared" si="41"/>
        <v>1</v>
      </c>
    </row>
    <row r="882" spans="1:14" x14ac:dyDescent="0.3">
      <c r="A882">
        <f>HeartData[[#This Row],[id]]</f>
        <v>881</v>
      </c>
      <c r="B882" s="4">
        <f>HeartData[[#This Row],[age]]</f>
        <v>62</v>
      </c>
      <c r="C882" t="str">
        <f>HeartData[[#This Row],[sex]]</f>
        <v>Male</v>
      </c>
      <c r="D882" t="str">
        <f t="shared" si="39"/>
        <v>55-64</v>
      </c>
      <c r="E882" t="str">
        <f>HeartData[[#This Row],[cp]]</f>
        <v>asymptomatic</v>
      </c>
      <c r="F882" t="str">
        <f>IF(HeartData[[#This Row],[num]]&gt;0, "Diseased", "Healthy")</f>
        <v>Diseased</v>
      </c>
      <c r="G882">
        <f>IF(HeartData[[#This Row],[chol]]&gt;$P$3, 1, 0)</f>
        <v>1</v>
      </c>
      <c r="H882">
        <f>IF(HeartData[[#This Row],[trestbps]]&gt;$P$4, 1, 0)</f>
        <v>0</v>
      </c>
      <c r="I882">
        <f>IF(HeartData[[#This Row],[oldpeak]]&gt;$P$5,1,0)</f>
        <v>1</v>
      </c>
      <c r="J882">
        <f>IF(HeartData[[#This Row],[exang]]="TRUE",1,0)</f>
        <v>1</v>
      </c>
      <c r="K882">
        <f>IF(HeartData[[#This Row],[fbs]]="TRUE",1,0)</f>
        <v>0</v>
      </c>
      <c r="L882">
        <f>IF(HeartData[[#This Row],[ca]]&gt;0,1,0)</f>
        <v>0</v>
      </c>
      <c r="M882">
        <f t="shared" si="40"/>
        <v>3</v>
      </c>
      <c r="N882">
        <f t="shared" si="41"/>
        <v>1</v>
      </c>
    </row>
    <row r="883" spans="1:14" x14ac:dyDescent="0.3">
      <c r="A883">
        <f>HeartData[[#This Row],[id]]</f>
        <v>882</v>
      </c>
      <c r="B883" s="4">
        <f>HeartData[[#This Row],[age]]</f>
        <v>67</v>
      </c>
      <c r="C883" t="str">
        <f>HeartData[[#This Row],[sex]]</f>
        <v>Male</v>
      </c>
      <c r="D883" t="str">
        <f t="shared" si="39"/>
        <v>65+</v>
      </c>
      <c r="E883" t="str">
        <f>HeartData[[#This Row],[cp]]</f>
        <v>asymptomatic</v>
      </c>
      <c r="F883" t="str">
        <f>IF(HeartData[[#This Row],[num]]&gt;0, "Diseased", "Healthy")</f>
        <v>Diseased</v>
      </c>
      <c r="G883">
        <f>IF(HeartData[[#This Row],[chol]]&gt;$P$3, 1, 0)</f>
        <v>1</v>
      </c>
      <c r="H883">
        <f>IF(HeartData[[#This Row],[trestbps]]&gt;$P$4, 1, 0)</f>
        <v>0</v>
      </c>
      <c r="I883">
        <f>IF(HeartData[[#This Row],[oldpeak]]&gt;$P$5,1,0)</f>
        <v>0</v>
      </c>
      <c r="J883">
        <f>IF(HeartData[[#This Row],[exang]]="TRUE",1,0)</f>
        <v>0</v>
      </c>
      <c r="K883">
        <f>IF(HeartData[[#This Row],[fbs]]="TRUE",1,0)</f>
        <v>0</v>
      </c>
      <c r="L883">
        <f>IF(HeartData[[#This Row],[ca]]&gt;0,1,0)</f>
        <v>0</v>
      </c>
      <c r="M883">
        <f t="shared" si="40"/>
        <v>1</v>
      </c>
      <c r="N883">
        <f t="shared" si="41"/>
        <v>1</v>
      </c>
    </row>
    <row r="884" spans="1:14" x14ac:dyDescent="0.3">
      <c r="A884">
        <f>HeartData[[#This Row],[id]]</f>
        <v>883</v>
      </c>
      <c r="B884" s="4">
        <f>HeartData[[#This Row],[age]]</f>
        <v>57</v>
      </c>
      <c r="C884" t="str">
        <f>HeartData[[#This Row],[sex]]</f>
        <v>Male</v>
      </c>
      <c r="D884" t="str">
        <f t="shared" si="39"/>
        <v>55-64</v>
      </c>
      <c r="E884" t="str">
        <f>HeartData[[#This Row],[cp]]</f>
        <v>asymptomatic</v>
      </c>
      <c r="F884" t="str">
        <f>IF(HeartData[[#This Row],[num]]&gt;0, "Diseased", "Healthy")</f>
        <v>Diseased</v>
      </c>
      <c r="G884">
        <f>IF(HeartData[[#This Row],[chol]]&gt;$P$3, 1, 0)</f>
        <v>1</v>
      </c>
      <c r="H884">
        <f>IF(HeartData[[#This Row],[trestbps]]&gt;$P$4, 1, 0)</f>
        <v>1</v>
      </c>
      <c r="I884">
        <f>IF(HeartData[[#This Row],[oldpeak]]&gt;$P$5,1,0)</f>
        <v>1</v>
      </c>
      <c r="J884">
        <f>IF(HeartData[[#This Row],[exang]]="TRUE",1,0)</f>
        <v>1</v>
      </c>
      <c r="K884">
        <f>IF(HeartData[[#This Row],[fbs]]="TRUE",1,0)</f>
        <v>0</v>
      </c>
      <c r="L884">
        <f>IF(HeartData[[#This Row],[ca]]&gt;0,1,0)</f>
        <v>0</v>
      </c>
      <c r="M884">
        <f t="shared" si="40"/>
        <v>4</v>
      </c>
      <c r="N884">
        <f t="shared" si="41"/>
        <v>1</v>
      </c>
    </row>
    <row r="885" spans="1:14" x14ac:dyDescent="0.3">
      <c r="A885">
        <f>HeartData[[#This Row],[id]]</f>
        <v>884</v>
      </c>
      <c r="B885" s="4">
        <f>HeartData[[#This Row],[age]]</f>
        <v>69</v>
      </c>
      <c r="C885" t="str">
        <f>HeartData[[#This Row],[sex]]</f>
        <v>Male</v>
      </c>
      <c r="D885" t="str">
        <f t="shared" si="39"/>
        <v>65+</v>
      </c>
      <c r="E885" t="str">
        <f>HeartData[[#This Row],[cp]]</f>
        <v>asymptomatic</v>
      </c>
      <c r="F885" t="str">
        <f>IF(HeartData[[#This Row],[num]]&gt;0, "Diseased", "Healthy")</f>
        <v>Diseased</v>
      </c>
      <c r="G885">
        <f>IF(HeartData[[#This Row],[chol]]&gt;$P$3, 1, 0)</f>
        <v>1</v>
      </c>
      <c r="H885">
        <f>IF(HeartData[[#This Row],[trestbps]]&gt;$P$4, 1, 0)</f>
        <v>0</v>
      </c>
      <c r="I885">
        <f>IF(HeartData[[#This Row],[oldpeak]]&gt;$P$5,1,0)</f>
        <v>0</v>
      </c>
      <c r="J885">
        <f>IF(HeartData[[#This Row],[exang]]="TRUE",1,0)</f>
        <v>0</v>
      </c>
      <c r="K885">
        <f>IF(HeartData[[#This Row],[fbs]]="TRUE",1,0)</f>
        <v>1</v>
      </c>
      <c r="L885">
        <f>IF(HeartData[[#This Row],[ca]]&gt;0,1,0)</f>
        <v>0</v>
      </c>
      <c r="M885">
        <f t="shared" si="40"/>
        <v>2</v>
      </c>
      <c r="N885">
        <f t="shared" si="41"/>
        <v>1</v>
      </c>
    </row>
    <row r="886" spans="1:14" x14ac:dyDescent="0.3">
      <c r="A886">
        <f>HeartData[[#This Row],[id]]</f>
        <v>885</v>
      </c>
      <c r="B886" s="4">
        <f>HeartData[[#This Row],[age]]</f>
        <v>51</v>
      </c>
      <c r="C886" t="str">
        <f>HeartData[[#This Row],[sex]]</f>
        <v>Male</v>
      </c>
      <c r="D886" t="str">
        <f t="shared" si="39"/>
        <v>45-54</v>
      </c>
      <c r="E886" t="str">
        <f>HeartData[[#This Row],[cp]]</f>
        <v>asymptomatic</v>
      </c>
      <c r="F886" t="str">
        <f>IF(HeartData[[#This Row],[num]]&gt;0, "Diseased", "Healthy")</f>
        <v>Diseased</v>
      </c>
      <c r="G886">
        <f>IF(HeartData[[#This Row],[chol]]&gt;$P$3, 1, 0)</f>
        <v>0</v>
      </c>
      <c r="H886">
        <f>IF(HeartData[[#This Row],[trestbps]]&gt;$P$4, 1, 0)</f>
        <v>0</v>
      </c>
      <c r="I886">
        <f>IF(HeartData[[#This Row],[oldpeak]]&gt;$P$5,1,0)</f>
        <v>0</v>
      </c>
      <c r="J886">
        <f>IF(HeartData[[#This Row],[exang]]="TRUE",1,0)</f>
        <v>0</v>
      </c>
      <c r="K886">
        <f>IF(HeartData[[#This Row],[fbs]]="TRUE",1,0)</f>
        <v>1</v>
      </c>
      <c r="L886">
        <f>IF(HeartData[[#This Row],[ca]]&gt;0,1,0)</f>
        <v>0</v>
      </c>
      <c r="M886">
        <f t="shared" si="40"/>
        <v>1</v>
      </c>
      <c r="N886">
        <f t="shared" si="41"/>
        <v>1</v>
      </c>
    </row>
    <row r="887" spans="1:14" x14ac:dyDescent="0.3">
      <c r="A887">
        <f>HeartData[[#This Row],[id]]</f>
        <v>886</v>
      </c>
      <c r="B887" s="4">
        <f>HeartData[[#This Row],[age]]</f>
        <v>48</v>
      </c>
      <c r="C887" t="str">
        <f>HeartData[[#This Row],[sex]]</f>
        <v>Male</v>
      </c>
      <c r="D887" t="str">
        <f t="shared" si="39"/>
        <v>45-54</v>
      </c>
      <c r="E887" t="str">
        <f>HeartData[[#This Row],[cp]]</f>
        <v>asymptomatic</v>
      </c>
      <c r="F887" t="str">
        <f>IF(HeartData[[#This Row],[num]]&gt;0, "Diseased", "Healthy")</f>
        <v>Diseased</v>
      </c>
      <c r="G887">
        <f>IF(HeartData[[#This Row],[chol]]&gt;$P$3, 1, 0)</f>
        <v>0</v>
      </c>
      <c r="H887">
        <f>IF(HeartData[[#This Row],[trestbps]]&gt;$P$4, 1, 0)</f>
        <v>1</v>
      </c>
      <c r="I887">
        <f>IF(HeartData[[#This Row],[oldpeak]]&gt;$P$5,1,0)</f>
        <v>1</v>
      </c>
      <c r="J887">
        <f>IF(HeartData[[#This Row],[exang]]="TRUE",1,0)</f>
        <v>1</v>
      </c>
      <c r="K887">
        <f>IF(HeartData[[#This Row],[fbs]]="TRUE",1,0)</f>
        <v>0</v>
      </c>
      <c r="L887">
        <f>IF(HeartData[[#This Row],[ca]]&gt;0,1,0)</f>
        <v>0</v>
      </c>
      <c r="M887">
        <f t="shared" si="40"/>
        <v>3</v>
      </c>
      <c r="N887">
        <f t="shared" si="41"/>
        <v>1</v>
      </c>
    </row>
    <row r="888" spans="1:14" x14ac:dyDescent="0.3">
      <c r="A888">
        <f>HeartData[[#This Row],[id]]</f>
        <v>887</v>
      </c>
      <c r="B888" s="4">
        <f>HeartData[[#This Row],[age]]</f>
        <v>69</v>
      </c>
      <c r="C888" t="str">
        <f>HeartData[[#This Row],[sex]]</f>
        <v>Male</v>
      </c>
      <c r="D888" t="str">
        <f t="shared" si="39"/>
        <v>65+</v>
      </c>
      <c r="E888" t="str">
        <f>HeartData[[#This Row],[cp]]</f>
        <v>asymptomatic</v>
      </c>
      <c r="F888" t="str">
        <f>IF(HeartData[[#This Row],[num]]&gt;0, "Diseased", "Healthy")</f>
        <v>Diseased</v>
      </c>
      <c r="G888">
        <f>IF(HeartData[[#This Row],[chol]]&gt;$P$3, 1, 0)</f>
        <v>1</v>
      </c>
      <c r="H888">
        <f>IF(HeartData[[#This Row],[trestbps]]&gt;$P$4, 1, 0)</f>
        <v>1</v>
      </c>
      <c r="I888">
        <f>IF(HeartData[[#This Row],[oldpeak]]&gt;$P$5,1,0)</f>
        <v>0</v>
      </c>
      <c r="J888">
        <f>IF(HeartData[[#This Row],[exang]]="TRUE",1,0)</f>
        <v>1</v>
      </c>
      <c r="K888">
        <f>IF(HeartData[[#This Row],[fbs]]="TRUE",1,0)</f>
        <v>1</v>
      </c>
      <c r="L888">
        <f>IF(HeartData[[#This Row],[ca]]&gt;0,1,0)</f>
        <v>0</v>
      </c>
      <c r="M888">
        <f t="shared" si="40"/>
        <v>4</v>
      </c>
      <c r="N888">
        <f t="shared" si="41"/>
        <v>1</v>
      </c>
    </row>
    <row r="889" spans="1:14" x14ac:dyDescent="0.3">
      <c r="A889">
        <f>HeartData[[#This Row],[id]]</f>
        <v>888</v>
      </c>
      <c r="B889" s="4">
        <f>HeartData[[#This Row],[age]]</f>
        <v>69</v>
      </c>
      <c r="C889" t="str">
        <f>HeartData[[#This Row],[sex]]</f>
        <v>Male</v>
      </c>
      <c r="D889" t="str">
        <f t="shared" si="39"/>
        <v>65+</v>
      </c>
      <c r="E889" t="str">
        <f>HeartData[[#This Row],[cp]]</f>
        <v>non-anginal</v>
      </c>
      <c r="F889" t="str">
        <f>IF(HeartData[[#This Row],[num]]&gt;0, "Diseased", "Healthy")</f>
        <v>Healthy</v>
      </c>
      <c r="G889">
        <f>IF(HeartData[[#This Row],[chol]]&gt;$P$3, 1, 0)</f>
        <v>1</v>
      </c>
      <c r="H889">
        <f>IF(HeartData[[#This Row],[trestbps]]&gt;$P$4, 1, 0)</f>
        <v>0</v>
      </c>
      <c r="I889">
        <f>IF(HeartData[[#This Row],[oldpeak]]&gt;$P$5,1,0)</f>
        <v>0</v>
      </c>
      <c r="J889">
        <f>IF(HeartData[[#This Row],[exang]]="TRUE",1,0)</f>
        <v>0</v>
      </c>
      <c r="K889">
        <f>IF(HeartData[[#This Row],[fbs]]="TRUE",1,0)</f>
        <v>0</v>
      </c>
      <c r="L889">
        <f>IF(HeartData[[#This Row],[ca]]&gt;0,1,0)</f>
        <v>0</v>
      </c>
      <c r="M889">
        <f t="shared" si="40"/>
        <v>1</v>
      </c>
      <c r="N889">
        <f t="shared" si="41"/>
        <v>0</v>
      </c>
    </row>
    <row r="890" spans="1:14" x14ac:dyDescent="0.3">
      <c r="A890">
        <f>HeartData[[#This Row],[id]]</f>
        <v>889</v>
      </c>
      <c r="B890" s="4">
        <f>HeartData[[#This Row],[age]]</f>
        <v>64</v>
      </c>
      <c r="C890" t="str">
        <f>HeartData[[#This Row],[sex]]</f>
        <v>Male</v>
      </c>
      <c r="D890" t="str">
        <f t="shared" si="39"/>
        <v>55-64</v>
      </c>
      <c r="E890" t="str">
        <f>HeartData[[#This Row],[cp]]</f>
        <v>asymptomatic</v>
      </c>
      <c r="F890" t="str">
        <f>IF(HeartData[[#This Row],[num]]&gt;0, "Diseased", "Healthy")</f>
        <v>Diseased</v>
      </c>
      <c r="G890">
        <f>IF(HeartData[[#This Row],[chol]]&gt;$P$3, 1, 0)</f>
        <v>1</v>
      </c>
      <c r="H890">
        <f>IF(HeartData[[#This Row],[trestbps]]&gt;$P$4, 1, 0)</f>
        <v>0</v>
      </c>
      <c r="I890">
        <f>IF(HeartData[[#This Row],[oldpeak]]&gt;$P$5,1,0)</f>
        <v>0</v>
      </c>
      <c r="J890">
        <f>IF(HeartData[[#This Row],[exang]]="TRUE",1,0)</f>
        <v>0</v>
      </c>
      <c r="K890">
        <f>IF(HeartData[[#This Row],[fbs]]="TRUE",1,0)</f>
        <v>1</v>
      </c>
      <c r="L890">
        <f>IF(HeartData[[#This Row],[ca]]&gt;0,1,0)</f>
        <v>0</v>
      </c>
      <c r="M890">
        <f t="shared" si="40"/>
        <v>2</v>
      </c>
      <c r="N890">
        <f t="shared" si="41"/>
        <v>1</v>
      </c>
    </row>
    <row r="891" spans="1:14" x14ac:dyDescent="0.3">
      <c r="A891">
        <f>HeartData[[#This Row],[id]]</f>
        <v>890</v>
      </c>
      <c r="B891" s="4">
        <f>HeartData[[#This Row],[age]]</f>
        <v>57</v>
      </c>
      <c r="C891" t="str">
        <f>HeartData[[#This Row],[sex]]</f>
        <v>Male</v>
      </c>
      <c r="D891" t="str">
        <f t="shared" si="39"/>
        <v>55-64</v>
      </c>
      <c r="E891" t="str">
        <f>HeartData[[#This Row],[cp]]</f>
        <v>atypical angina</v>
      </c>
      <c r="F891" t="str">
        <f>IF(HeartData[[#This Row],[num]]&gt;0, "Diseased", "Healthy")</f>
        <v>Diseased</v>
      </c>
      <c r="G891">
        <f>IF(HeartData[[#This Row],[chol]]&gt;$P$3, 1, 0)</f>
        <v>1</v>
      </c>
      <c r="H891">
        <f>IF(HeartData[[#This Row],[trestbps]]&gt;$P$4, 1, 0)</f>
        <v>1</v>
      </c>
      <c r="I891">
        <f>IF(HeartData[[#This Row],[oldpeak]]&gt;$P$5,1,0)</f>
        <v>1</v>
      </c>
      <c r="J891">
        <f>IF(HeartData[[#This Row],[exang]]="TRUE",1,0)</f>
        <v>0</v>
      </c>
      <c r="K891">
        <f>IF(HeartData[[#This Row],[fbs]]="TRUE",1,0)</f>
        <v>1</v>
      </c>
      <c r="L891">
        <f>IF(HeartData[[#This Row],[ca]]&gt;0,1,0)</f>
        <v>0</v>
      </c>
      <c r="M891">
        <f t="shared" si="40"/>
        <v>4</v>
      </c>
      <c r="N891">
        <f t="shared" si="41"/>
        <v>1</v>
      </c>
    </row>
    <row r="892" spans="1:14" x14ac:dyDescent="0.3">
      <c r="A892">
        <f>HeartData[[#This Row],[id]]</f>
        <v>891</v>
      </c>
      <c r="B892" s="4">
        <f>HeartData[[#This Row],[age]]</f>
        <v>53</v>
      </c>
      <c r="C892" t="str">
        <f>HeartData[[#This Row],[sex]]</f>
        <v>Male</v>
      </c>
      <c r="D892" t="str">
        <f t="shared" si="39"/>
        <v>45-54</v>
      </c>
      <c r="E892" t="str">
        <f>HeartData[[#This Row],[cp]]</f>
        <v>asymptomatic</v>
      </c>
      <c r="F892" t="str">
        <f>IF(HeartData[[#This Row],[num]]&gt;0, "Diseased", "Healthy")</f>
        <v>Diseased</v>
      </c>
      <c r="G892">
        <f>IF(HeartData[[#This Row],[chol]]&gt;$P$3, 1, 0)</f>
        <v>1</v>
      </c>
      <c r="H892">
        <f>IF(HeartData[[#This Row],[trestbps]]&gt;$P$4, 1, 0)</f>
        <v>1</v>
      </c>
      <c r="I892">
        <f>IF(HeartData[[#This Row],[oldpeak]]&gt;$P$5,1,0)</f>
        <v>1</v>
      </c>
      <c r="J892">
        <f>IF(HeartData[[#This Row],[exang]]="TRUE",1,0)</f>
        <v>1</v>
      </c>
      <c r="K892">
        <f>IF(HeartData[[#This Row],[fbs]]="TRUE",1,0)</f>
        <v>0</v>
      </c>
      <c r="L892">
        <f>IF(HeartData[[#This Row],[ca]]&gt;0,1,0)</f>
        <v>0</v>
      </c>
      <c r="M892">
        <f t="shared" si="40"/>
        <v>4</v>
      </c>
      <c r="N892">
        <f t="shared" si="41"/>
        <v>1</v>
      </c>
    </row>
    <row r="893" spans="1:14" x14ac:dyDescent="0.3">
      <c r="A893">
        <f>HeartData[[#This Row],[id]]</f>
        <v>892</v>
      </c>
      <c r="B893" s="4">
        <f>HeartData[[#This Row],[age]]</f>
        <v>37</v>
      </c>
      <c r="C893" t="str">
        <f>HeartData[[#This Row],[sex]]</f>
        <v>Male</v>
      </c>
      <c r="D893" t="str">
        <f t="shared" si="39"/>
        <v>Under 45</v>
      </c>
      <c r="E893" t="str">
        <f>HeartData[[#This Row],[cp]]</f>
        <v>non-anginal</v>
      </c>
      <c r="F893" t="str">
        <f>IF(HeartData[[#This Row],[num]]&gt;0, "Diseased", "Healthy")</f>
        <v>Healthy</v>
      </c>
      <c r="G893">
        <f>IF(HeartData[[#This Row],[chol]]&gt;$P$3, 1, 0)</f>
        <v>1</v>
      </c>
      <c r="H893">
        <f>IF(HeartData[[#This Row],[trestbps]]&gt;$P$4, 1, 0)</f>
        <v>1</v>
      </c>
      <c r="I893">
        <f>IF(HeartData[[#This Row],[oldpeak]]&gt;$P$5,1,0)</f>
        <v>1</v>
      </c>
      <c r="J893">
        <f>IF(HeartData[[#This Row],[exang]]="TRUE",1,0)</f>
        <v>0</v>
      </c>
      <c r="K893">
        <f>IF(HeartData[[#This Row],[fbs]]="TRUE",1,0)</f>
        <v>0</v>
      </c>
      <c r="L893">
        <f>IF(HeartData[[#This Row],[ca]]&gt;0,1,0)</f>
        <v>0</v>
      </c>
      <c r="M893">
        <f t="shared" si="40"/>
        <v>3</v>
      </c>
      <c r="N893">
        <f t="shared" si="41"/>
        <v>0</v>
      </c>
    </row>
    <row r="894" spans="1:14" x14ac:dyDescent="0.3">
      <c r="A894">
        <f>HeartData[[#This Row],[id]]</f>
        <v>893</v>
      </c>
      <c r="B894" s="4">
        <f>HeartData[[#This Row],[age]]</f>
        <v>67</v>
      </c>
      <c r="C894" t="str">
        <f>HeartData[[#This Row],[sex]]</f>
        <v>Male</v>
      </c>
      <c r="D894" t="str">
        <f t="shared" si="39"/>
        <v>65+</v>
      </c>
      <c r="E894" t="str">
        <f>HeartData[[#This Row],[cp]]</f>
        <v>asymptomatic</v>
      </c>
      <c r="F894" t="str">
        <f>IF(HeartData[[#This Row],[num]]&gt;0, "Diseased", "Healthy")</f>
        <v>Diseased</v>
      </c>
      <c r="G894">
        <f>IF(HeartData[[#This Row],[chol]]&gt;$P$3, 1, 0)</f>
        <v>1</v>
      </c>
      <c r="H894">
        <f>IF(HeartData[[#This Row],[trestbps]]&gt;$P$4, 1, 0)</f>
        <v>1</v>
      </c>
      <c r="I894">
        <f>IF(HeartData[[#This Row],[oldpeak]]&gt;$P$5,1,0)</f>
        <v>1</v>
      </c>
      <c r="J894">
        <f>IF(HeartData[[#This Row],[exang]]="TRUE",1,0)</f>
        <v>1</v>
      </c>
      <c r="K894">
        <f>IF(HeartData[[#This Row],[fbs]]="TRUE",1,0)</f>
        <v>0</v>
      </c>
      <c r="L894">
        <f>IF(HeartData[[#This Row],[ca]]&gt;0,1,0)</f>
        <v>0</v>
      </c>
      <c r="M894">
        <f t="shared" si="40"/>
        <v>4</v>
      </c>
      <c r="N894">
        <f t="shared" si="41"/>
        <v>1</v>
      </c>
    </row>
    <row r="895" spans="1:14" x14ac:dyDescent="0.3">
      <c r="A895">
        <f>HeartData[[#This Row],[id]]</f>
        <v>894</v>
      </c>
      <c r="B895" s="4">
        <f>HeartData[[#This Row],[age]]</f>
        <v>74</v>
      </c>
      <c r="C895" t="str">
        <f>HeartData[[#This Row],[sex]]</f>
        <v>Male</v>
      </c>
      <c r="D895" t="str">
        <f t="shared" si="39"/>
        <v>65+</v>
      </c>
      <c r="E895" t="str">
        <f>HeartData[[#This Row],[cp]]</f>
        <v>non-anginal</v>
      </c>
      <c r="F895" t="str">
        <f>IF(HeartData[[#This Row],[num]]&gt;0, "Diseased", "Healthy")</f>
        <v>Diseased</v>
      </c>
      <c r="G895">
        <f>IF(HeartData[[#This Row],[chol]]&gt;$P$3, 1, 0)</f>
        <v>1</v>
      </c>
      <c r="H895">
        <f>IF(HeartData[[#This Row],[trestbps]]&gt;$P$4, 1, 0)</f>
        <v>1</v>
      </c>
      <c r="I895">
        <f>IF(HeartData[[#This Row],[oldpeak]]&gt;$P$5,1,0)</f>
        <v>0</v>
      </c>
      <c r="J895">
        <f>IF(HeartData[[#This Row],[exang]]="TRUE",1,0)</f>
        <v>0</v>
      </c>
      <c r="K895">
        <f>IF(HeartData[[#This Row],[fbs]]="TRUE",1,0)</f>
        <v>1</v>
      </c>
      <c r="L895">
        <f>IF(HeartData[[#This Row],[ca]]&gt;0,1,0)</f>
        <v>0</v>
      </c>
      <c r="M895">
        <f t="shared" si="40"/>
        <v>3</v>
      </c>
      <c r="N895">
        <f t="shared" si="41"/>
        <v>1</v>
      </c>
    </row>
    <row r="896" spans="1:14" x14ac:dyDescent="0.3">
      <c r="A896">
        <f>HeartData[[#This Row],[id]]</f>
        <v>895</v>
      </c>
      <c r="B896" s="4">
        <f>HeartData[[#This Row],[age]]</f>
        <v>63</v>
      </c>
      <c r="C896" t="str">
        <f>HeartData[[#This Row],[sex]]</f>
        <v>Male</v>
      </c>
      <c r="D896" t="str">
        <f t="shared" si="39"/>
        <v>55-64</v>
      </c>
      <c r="E896" t="str">
        <f>HeartData[[#This Row],[cp]]</f>
        <v>atypical angina</v>
      </c>
      <c r="F896" t="str">
        <f>IF(HeartData[[#This Row],[num]]&gt;0, "Diseased", "Healthy")</f>
        <v>Healthy</v>
      </c>
      <c r="G896">
        <f>IF(HeartData[[#This Row],[chol]]&gt;$P$3, 1, 0)</f>
        <v>1</v>
      </c>
      <c r="H896">
        <f>IF(HeartData[[#This Row],[trestbps]]&gt;$P$4, 1, 0)</f>
        <v>0</v>
      </c>
      <c r="I896">
        <f>IF(HeartData[[#This Row],[oldpeak]]&gt;$P$5,1,0)</f>
        <v>0</v>
      </c>
      <c r="J896">
        <f>IF(HeartData[[#This Row],[exang]]="TRUE",1,0)</f>
        <v>0</v>
      </c>
      <c r="K896">
        <f>IF(HeartData[[#This Row],[fbs]]="TRUE",1,0)</f>
        <v>0</v>
      </c>
      <c r="L896">
        <f>IF(HeartData[[#This Row],[ca]]&gt;0,1,0)</f>
        <v>0</v>
      </c>
      <c r="M896">
        <f t="shared" si="40"/>
        <v>1</v>
      </c>
      <c r="N896">
        <f t="shared" si="41"/>
        <v>0</v>
      </c>
    </row>
    <row r="897" spans="1:14" x14ac:dyDescent="0.3">
      <c r="A897">
        <f>HeartData[[#This Row],[id]]</f>
        <v>896</v>
      </c>
      <c r="B897" s="4">
        <f>HeartData[[#This Row],[age]]</f>
        <v>58</v>
      </c>
      <c r="C897" t="str">
        <f>HeartData[[#This Row],[sex]]</f>
        <v>Male</v>
      </c>
      <c r="D897" t="str">
        <f t="shared" si="39"/>
        <v>55-64</v>
      </c>
      <c r="E897" t="str">
        <f>HeartData[[#This Row],[cp]]</f>
        <v>asymptomatic</v>
      </c>
      <c r="F897" t="str">
        <f>IF(HeartData[[#This Row],[num]]&gt;0, "Diseased", "Healthy")</f>
        <v>Healthy</v>
      </c>
      <c r="G897">
        <f>IF(HeartData[[#This Row],[chol]]&gt;$P$3, 1, 0)</f>
        <v>1</v>
      </c>
      <c r="H897">
        <f>IF(HeartData[[#This Row],[trestbps]]&gt;$P$4, 1, 0)</f>
        <v>1</v>
      </c>
      <c r="I897">
        <f>IF(HeartData[[#This Row],[oldpeak]]&gt;$P$5,1,0)</f>
        <v>0</v>
      </c>
      <c r="J897">
        <f>IF(HeartData[[#This Row],[exang]]="TRUE",1,0)</f>
        <v>0</v>
      </c>
      <c r="K897">
        <f>IF(HeartData[[#This Row],[fbs]]="TRUE",1,0)</f>
        <v>0</v>
      </c>
      <c r="L897">
        <f>IF(HeartData[[#This Row],[ca]]&gt;0,1,0)</f>
        <v>0</v>
      </c>
      <c r="M897">
        <f t="shared" si="40"/>
        <v>2</v>
      </c>
      <c r="N897">
        <f t="shared" si="41"/>
        <v>0</v>
      </c>
    </row>
    <row r="898" spans="1:14" x14ac:dyDescent="0.3">
      <c r="A898">
        <f>HeartData[[#This Row],[id]]</f>
        <v>897</v>
      </c>
      <c r="B898" s="4">
        <f>HeartData[[#This Row],[age]]</f>
        <v>61</v>
      </c>
      <c r="C898" t="str">
        <f>HeartData[[#This Row],[sex]]</f>
        <v>Male</v>
      </c>
      <c r="D898" t="str">
        <f t="shared" ref="D898:D921" si="42">IF(B898&lt;45,"Under 45",IF(B898&lt;=54,"45-54",IF(B898&lt;=64,"55-64","65+")))</f>
        <v>55-64</v>
      </c>
      <c r="E898" t="str">
        <f>HeartData[[#This Row],[cp]]</f>
        <v>asymptomatic</v>
      </c>
      <c r="F898" t="str">
        <f>IF(HeartData[[#This Row],[num]]&gt;0, "Diseased", "Healthy")</f>
        <v>Diseased</v>
      </c>
      <c r="G898">
        <f>IF(HeartData[[#This Row],[chol]]&gt;$P$3, 1, 0)</f>
        <v>1</v>
      </c>
      <c r="H898">
        <f>IF(HeartData[[#This Row],[trestbps]]&gt;$P$4, 1, 0)</f>
        <v>1</v>
      </c>
      <c r="I898">
        <f>IF(HeartData[[#This Row],[oldpeak]]&gt;$P$5,1,0)</f>
        <v>1</v>
      </c>
      <c r="J898">
        <f>IF(HeartData[[#This Row],[exang]]="TRUE",1,0)</f>
        <v>1</v>
      </c>
      <c r="K898">
        <f>IF(HeartData[[#This Row],[fbs]]="TRUE",1,0)</f>
        <v>1</v>
      </c>
      <c r="L898">
        <f>IF(HeartData[[#This Row],[ca]]&gt;0,1,0)</f>
        <v>0</v>
      </c>
      <c r="M898">
        <f t="shared" si="40"/>
        <v>5</v>
      </c>
      <c r="N898">
        <f t="shared" si="41"/>
        <v>1</v>
      </c>
    </row>
    <row r="899" spans="1:14" x14ac:dyDescent="0.3">
      <c r="A899">
        <f>HeartData[[#This Row],[id]]</f>
        <v>898</v>
      </c>
      <c r="B899" s="4">
        <f>HeartData[[#This Row],[age]]</f>
        <v>64</v>
      </c>
      <c r="C899" t="str">
        <f>HeartData[[#This Row],[sex]]</f>
        <v>Male</v>
      </c>
      <c r="D899" t="str">
        <f t="shared" si="42"/>
        <v>55-64</v>
      </c>
      <c r="E899" t="str">
        <f>HeartData[[#This Row],[cp]]</f>
        <v>asymptomatic</v>
      </c>
      <c r="F899" t="str">
        <f>IF(HeartData[[#This Row],[num]]&gt;0, "Diseased", "Healthy")</f>
        <v>Diseased</v>
      </c>
      <c r="G899">
        <f>IF(HeartData[[#This Row],[chol]]&gt;$P$3, 1, 0)</f>
        <v>1</v>
      </c>
      <c r="H899">
        <f>IF(HeartData[[#This Row],[trestbps]]&gt;$P$4, 1, 0)</f>
        <v>1</v>
      </c>
      <c r="I899">
        <f>IF(HeartData[[#This Row],[oldpeak]]&gt;$P$5,1,0)</f>
        <v>0</v>
      </c>
      <c r="J899">
        <f>IF(HeartData[[#This Row],[exang]]="TRUE",1,0)</f>
        <v>0</v>
      </c>
      <c r="K899">
        <f>IF(HeartData[[#This Row],[fbs]]="TRUE",1,0)</f>
        <v>1</v>
      </c>
      <c r="L899">
        <f>IF(HeartData[[#This Row],[ca]]&gt;0,1,0)</f>
        <v>0</v>
      </c>
      <c r="M899">
        <f t="shared" ref="M899:M921" si="43">G899+H899+I899+J899+K899+L899</f>
        <v>3</v>
      </c>
      <c r="N899">
        <f t="shared" ref="N899:N921" si="44">IF(F899="Diseased",1,0)</f>
        <v>1</v>
      </c>
    </row>
    <row r="900" spans="1:14" x14ac:dyDescent="0.3">
      <c r="A900">
        <f>HeartData[[#This Row],[id]]</f>
        <v>899</v>
      </c>
      <c r="B900" s="4">
        <f>HeartData[[#This Row],[age]]</f>
        <v>58</v>
      </c>
      <c r="C900" t="str">
        <f>HeartData[[#This Row],[sex]]</f>
        <v>Male</v>
      </c>
      <c r="D900" t="str">
        <f t="shared" si="42"/>
        <v>55-64</v>
      </c>
      <c r="E900" t="str">
        <f>HeartData[[#This Row],[cp]]</f>
        <v>asymptomatic</v>
      </c>
      <c r="F900" t="str">
        <f>IF(HeartData[[#This Row],[num]]&gt;0, "Diseased", "Healthy")</f>
        <v>Diseased</v>
      </c>
      <c r="G900">
        <f>IF(HeartData[[#This Row],[chol]]&gt;$P$3, 1, 0)</f>
        <v>1</v>
      </c>
      <c r="H900">
        <f>IF(HeartData[[#This Row],[trestbps]]&gt;$P$4, 1, 0)</f>
        <v>1</v>
      </c>
      <c r="I900">
        <f>IF(HeartData[[#This Row],[oldpeak]]&gt;$P$5,1,0)</f>
        <v>1</v>
      </c>
      <c r="J900">
        <f>IF(HeartData[[#This Row],[exang]]="TRUE",1,0)</f>
        <v>1</v>
      </c>
      <c r="K900">
        <f>IF(HeartData[[#This Row],[fbs]]="TRUE",1,0)</f>
        <v>1</v>
      </c>
      <c r="L900">
        <f>IF(HeartData[[#This Row],[ca]]&gt;0,1,0)</f>
        <v>0</v>
      </c>
      <c r="M900">
        <f t="shared" si="43"/>
        <v>5</v>
      </c>
      <c r="N900">
        <f t="shared" si="44"/>
        <v>1</v>
      </c>
    </row>
    <row r="901" spans="1:14" x14ac:dyDescent="0.3">
      <c r="A901">
        <f>HeartData[[#This Row],[id]]</f>
        <v>900</v>
      </c>
      <c r="B901" s="4">
        <f>HeartData[[#This Row],[age]]</f>
        <v>60</v>
      </c>
      <c r="C901" t="str">
        <f>HeartData[[#This Row],[sex]]</f>
        <v>Male</v>
      </c>
      <c r="D901" t="str">
        <f t="shared" si="42"/>
        <v>55-64</v>
      </c>
      <c r="E901" t="str">
        <f>HeartData[[#This Row],[cp]]</f>
        <v>asymptomatic</v>
      </c>
      <c r="F901" t="str">
        <f>IF(HeartData[[#This Row],[num]]&gt;0, "Diseased", "Healthy")</f>
        <v>Diseased</v>
      </c>
      <c r="G901">
        <f>IF(HeartData[[#This Row],[chol]]&gt;$P$3, 1, 0)</f>
        <v>1</v>
      </c>
      <c r="H901">
        <f>IF(HeartData[[#This Row],[trestbps]]&gt;$P$4, 1, 0)</f>
        <v>1</v>
      </c>
      <c r="I901">
        <f>IF(HeartData[[#This Row],[oldpeak]]&gt;$P$5,1,0)</f>
        <v>1</v>
      </c>
      <c r="J901">
        <f>IF(HeartData[[#This Row],[exang]]="TRUE",1,0)</f>
        <v>1</v>
      </c>
      <c r="K901">
        <f>IF(HeartData[[#This Row],[fbs]]="TRUE",1,0)</f>
        <v>1</v>
      </c>
      <c r="L901">
        <f>IF(HeartData[[#This Row],[ca]]&gt;0,1,0)</f>
        <v>0</v>
      </c>
      <c r="M901">
        <f t="shared" si="43"/>
        <v>5</v>
      </c>
      <c r="N901">
        <f t="shared" si="44"/>
        <v>1</v>
      </c>
    </row>
    <row r="902" spans="1:14" x14ac:dyDescent="0.3">
      <c r="A902">
        <f>HeartData[[#This Row],[id]]</f>
        <v>901</v>
      </c>
      <c r="B902" s="4">
        <f>HeartData[[#This Row],[age]]</f>
        <v>57</v>
      </c>
      <c r="C902" t="str">
        <f>HeartData[[#This Row],[sex]]</f>
        <v>Male</v>
      </c>
      <c r="D902" t="str">
        <f t="shared" si="42"/>
        <v>55-64</v>
      </c>
      <c r="E902" t="str">
        <f>HeartData[[#This Row],[cp]]</f>
        <v>asymptomatic</v>
      </c>
      <c r="F902" t="str">
        <f>IF(HeartData[[#This Row],[num]]&gt;0, "Diseased", "Healthy")</f>
        <v>Diseased</v>
      </c>
      <c r="G902">
        <f>IF(HeartData[[#This Row],[chol]]&gt;$P$3, 1, 0)</f>
        <v>1</v>
      </c>
      <c r="H902">
        <f>IF(HeartData[[#This Row],[trestbps]]&gt;$P$4, 1, 0)</f>
        <v>1</v>
      </c>
      <c r="I902">
        <f>IF(HeartData[[#This Row],[oldpeak]]&gt;$P$5,1,0)</f>
        <v>0</v>
      </c>
      <c r="J902">
        <f>IF(HeartData[[#This Row],[exang]]="TRUE",1,0)</f>
        <v>0</v>
      </c>
      <c r="K902">
        <f>IF(HeartData[[#This Row],[fbs]]="TRUE",1,0)</f>
        <v>0</v>
      </c>
      <c r="L902">
        <f>IF(HeartData[[#This Row],[ca]]&gt;0,1,0)</f>
        <v>0</v>
      </c>
      <c r="M902">
        <f t="shared" si="43"/>
        <v>2</v>
      </c>
      <c r="N902">
        <f t="shared" si="44"/>
        <v>1</v>
      </c>
    </row>
    <row r="903" spans="1:14" x14ac:dyDescent="0.3">
      <c r="A903">
        <f>HeartData[[#This Row],[id]]</f>
        <v>902</v>
      </c>
      <c r="B903" s="4">
        <f>HeartData[[#This Row],[age]]</f>
        <v>55</v>
      </c>
      <c r="C903" t="str">
        <f>HeartData[[#This Row],[sex]]</f>
        <v>Male</v>
      </c>
      <c r="D903" t="str">
        <f t="shared" si="42"/>
        <v>55-64</v>
      </c>
      <c r="E903" t="str">
        <f>HeartData[[#This Row],[cp]]</f>
        <v>non-anginal</v>
      </c>
      <c r="F903" t="str">
        <f>IF(HeartData[[#This Row],[num]]&gt;0, "Diseased", "Healthy")</f>
        <v>Healthy</v>
      </c>
      <c r="G903">
        <f>IF(HeartData[[#This Row],[chol]]&gt;$P$3, 1, 0)</f>
        <v>0</v>
      </c>
      <c r="H903">
        <f>IF(HeartData[[#This Row],[trestbps]]&gt;$P$4, 1, 0)</f>
        <v>0</v>
      </c>
      <c r="I903">
        <f>IF(HeartData[[#This Row],[oldpeak]]&gt;$P$5,1,0)</f>
        <v>0</v>
      </c>
      <c r="J903">
        <f>IF(HeartData[[#This Row],[exang]]="TRUE",1,0)</f>
        <v>0</v>
      </c>
      <c r="K903">
        <f>IF(HeartData[[#This Row],[fbs]]="TRUE",1,0)</f>
        <v>0</v>
      </c>
      <c r="L903">
        <f>IF(HeartData[[#This Row],[ca]]&gt;0,1,0)</f>
        <v>0</v>
      </c>
      <c r="M903">
        <f t="shared" si="43"/>
        <v>0</v>
      </c>
      <c r="N903">
        <f t="shared" si="44"/>
        <v>0</v>
      </c>
    </row>
    <row r="904" spans="1:14" x14ac:dyDescent="0.3">
      <c r="A904">
        <f>HeartData[[#This Row],[id]]</f>
        <v>903</v>
      </c>
      <c r="B904" s="4">
        <f>HeartData[[#This Row],[age]]</f>
        <v>55</v>
      </c>
      <c r="C904" t="str">
        <f>HeartData[[#This Row],[sex]]</f>
        <v>Male</v>
      </c>
      <c r="D904" t="str">
        <f t="shared" si="42"/>
        <v>55-64</v>
      </c>
      <c r="E904" t="str">
        <f>HeartData[[#This Row],[cp]]</f>
        <v>asymptomatic</v>
      </c>
      <c r="F904" t="str">
        <f>IF(HeartData[[#This Row],[num]]&gt;0, "Diseased", "Healthy")</f>
        <v>Diseased</v>
      </c>
      <c r="G904">
        <f>IF(HeartData[[#This Row],[chol]]&gt;$P$3, 1, 0)</f>
        <v>1</v>
      </c>
      <c r="H904">
        <f>IF(HeartData[[#This Row],[trestbps]]&gt;$P$4, 1, 0)</f>
        <v>1</v>
      </c>
      <c r="I904">
        <f>IF(HeartData[[#This Row],[oldpeak]]&gt;$P$5,1,0)</f>
        <v>1</v>
      </c>
      <c r="J904">
        <f>IF(HeartData[[#This Row],[exang]]="TRUE",1,0)</f>
        <v>1</v>
      </c>
      <c r="K904">
        <f>IF(HeartData[[#This Row],[fbs]]="TRUE",1,0)</f>
        <v>0</v>
      </c>
      <c r="L904">
        <f>IF(HeartData[[#This Row],[ca]]&gt;0,1,0)</f>
        <v>0</v>
      </c>
      <c r="M904">
        <f t="shared" si="43"/>
        <v>4</v>
      </c>
      <c r="N904">
        <f t="shared" si="44"/>
        <v>1</v>
      </c>
    </row>
    <row r="905" spans="1:14" x14ac:dyDescent="0.3">
      <c r="A905">
        <f>HeartData[[#This Row],[id]]</f>
        <v>904</v>
      </c>
      <c r="B905" s="4">
        <f>HeartData[[#This Row],[age]]</f>
        <v>56</v>
      </c>
      <c r="C905" t="str">
        <f>HeartData[[#This Row],[sex]]</f>
        <v>Male</v>
      </c>
      <c r="D905" t="str">
        <f t="shared" si="42"/>
        <v>55-64</v>
      </c>
      <c r="E905" t="str">
        <f>HeartData[[#This Row],[cp]]</f>
        <v>asymptomatic</v>
      </c>
      <c r="F905" t="str">
        <f>IF(HeartData[[#This Row],[num]]&gt;0, "Diseased", "Healthy")</f>
        <v>Diseased</v>
      </c>
      <c r="G905">
        <f>IF(HeartData[[#This Row],[chol]]&gt;$P$3, 1, 0)</f>
        <v>1</v>
      </c>
      <c r="H905">
        <f>IF(HeartData[[#This Row],[trestbps]]&gt;$P$4, 1, 0)</f>
        <v>1</v>
      </c>
      <c r="I905">
        <f>IF(HeartData[[#This Row],[oldpeak]]&gt;$P$5,1,0)</f>
        <v>1</v>
      </c>
      <c r="J905">
        <f>IF(HeartData[[#This Row],[exang]]="TRUE",1,0)</f>
        <v>0</v>
      </c>
      <c r="K905">
        <f>IF(HeartData[[#This Row],[fbs]]="TRUE",1,0)</f>
        <v>1</v>
      </c>
      <c r="L905">
        <f>IF(HeartData[[#This Row],[ca]]&gt;0,1,0)</f>
        <v>0</v>
      </c>
      <c r="M905">
        <f t="shared" si="43"/>
        <v>4</v>
      </c>
      <c r="N905">
        <f t="shared" si="44"/>
        <v>1</v>
      </c>
    </row>
    <row r="906" spans="1:14" x14ac:dyDescent="0.3">
      <c r="A906">
        <f>HeartData[[#This Row],[id]]</f>
        <v>905</v>
      </c>
      <c r="B906" s="4">
        <f>HeartData[[#This Row],[age]]</f>
        <v>57</v>
      </c>
      <c r="C906" t="str">
        <f>HeartData[[#This Row],[sex]]</f>
        <v>Male</v>
      </c>
      <c r="D906" t="str">
        <f t="shared" si="42"/>
        <v>55-64</v>
      </c>
      <c r="E906" t="str">
        <f>HeartData[[#This Row],[cp]]</f>
        <v>asymptomatic</v>
      </c>
      <c r="F906" t="str">
        <f>IF(HeartData[[#This Row],[num]]&gt;0, "Diseased", "Healthy")</f>
        <v>Healthy</v>
      </c>
      <c r="G906">
        <f>IF(HeartData[[#This Row],[chol]]&gt;$P$3, 1, 0)</f>
        <v>1</v>
      </c>
      <c r="H906">
        <f>IF(HeartData[[#This Row],[trestbps]]&gt;$P$4, 1, 0)</f>
        <v>1</v>
      </c>
      <c r="I906">
        <f>IF(HeartData[[#This Row],[oldpeak]]&gt;$P$5,1,0)</f>
        <v>1</v>
      </c>
      <c r="J906">
        <f>IF(HeartData[[#This Row],[exang]]="TRUE",1,0)</f>
        <v>1</v>
      </c>
      <c r="K906">
        <f>IF(HeartData[[#This Row],[fbs]]="TRUE",1,0)</f>
        <v>0</v>
      </c>
      <c r="L906">
        <f>IF(HeartData[[#This Row],[ca]]&gt;0,1,0)</f>
        <v>0</v>
      </c>
      <c r="M906">
        <f t="shared" si="43"/>
        <v>4</v>
      </c>
      <c r="N906">
        <f t="shared" si="44"/>
        <v>0</v>
      </c>
    </row>
    <row r="907" spans="1:14" x14ac:dyDescent="0.3">
      <c r="A907">
        <f>HeartData[[#This Row],[id]]</f>
        <v>906</v>
      </c>
      <c r="B907" s="4">
        <f>HeartData[[#This Row],[age]]</f>
        <v>61</v>
      </c>
      <c r="C907" t="str">
        <f>HeartData[[#This Row],[sex]]</f>
        <v>Male</v>
      </c>
      <c r="D907" t="str">
        <f t="shared" si="42"/>
        <v>55-64</v>
      </c>
      <c r="E907" t="str">
        <f>HeartData[[#This Row],[cp]]</f>
        <v>non-anginal</v>
      </c>
      <c r="F907" t="str">
        <f>IF(HeartData[[#This Row],[num]]&gt;0, "Diseased", "Healthy")</f>
        <v>Diseased</v>
      </c>
      <c r="G907">
        <f>IF(HeartData[[#This Row],[chol]]&gt;$P$3, 1, 0)</f>
        <v>1</v>
      </c>
      <c r="H907">
        <f>IF(HeartData[[#This Row],[trestbps]]&gt;$P$4, 1, 0)</f>
        <v>0</v>
      </c>
      <c r="I907">
        <f>IF(HeartData[[#This Row],[oldpeak]]&gt;$P$5,1,0)</f>
        <v>0</v>
      </c>
      <c r="J907">
        <f>IF(HeartData[[#This Row],[exang]]="TRUE",1,0)</f>
        <v>0</v>
      </c>
      <c r="K907">
        <f>IF(HeartData[[#This Row],[fbs]]="TRUE",1,0)</f>
        <v>0</v>
      </c>
      <c r="L907">
        <f>IF(HeartData[[#This Row],[ca]]&gt;0,1,0)</f>
        <v>0</v>
      </c>
      <c r="M907">
        <f t="shared" si="43"/>
        <v>1</v>
      </c>
      <c r="N907">
        <f t="shared" si="44"/>
        <v>1</v>
      </c>
    </row>
    <row r="908" spans="1:14" x14ac:dyDescent="0.3">
      <c r="A908">
        <f>HeartData[[#This Row],[id]]</f>
        <v>907</v>
      </c>
      <c r="B908" s="4">
        <f>HeartData[[#This Row],[age]]</f>
        <v>61</v>
      </c>
      <c r="C908" t="str">
        <f>HeartData[[#This Row],[sex]]</f>
        <v>Male</v>
      </c>
      <c r="D908" t="str">
        <f t="shared" si="42"/>
        <v>55-64</v>
      </c>
      <c r="E908" t="str">
        <f>HeartData[[#This Row],[cp]]</f>
        <v>non-anginal</v>
      </c>
      <c r="F908" t="str">
        <f>IF(HeartData[[#This Row],[num]]&gt;0, "Diseased", "Healthy")</f>
        <v>Diseased</v>
      </c>
      <c r="G908">
        <f>IF(HeartData[[#This Row],[chol]]&gt;$P$3, 1, 0)</f>
        <v>1</v>
      </c>
      <c r="H908">
        <f>IF(HeartData[[#This Row],[trestbps]]&gt;$P$4, 1, 0)</f>
        <v>1</v>
      </c>
      <c r="I908">
        <f>IF(HeartData[[#This Row],[oldpeak]]&gt;$P$5,1,0)</f>
        <v>0</v>
      </c>
      <c r="J908">
        <f>IF(HeartData[[#This Row],[exang]]="TRUE",1,0)</f>
        <v>1</v>
      </c>
      <c r="K908">
        <f>IF(HeartData[[#This Row],[fbs]]="TRUE",1,0)</f>
        <v>0</v>
      </c>
      <c r="L908">
        <f>IF(HeartData[[#This Row],[ca]]&gt;0,1,0)</f>
        <v>0</v>
      </c>
      <c r="M908">
        <f t="shared" si="43"/>
        <v>3</v>
      </c>
      <c r="N908">
        <f t="shared" si="44"/>
        <v>1</v>
      </c>
    </row>
    <row r="909" spans="1:14" x14ac:dyDescent="0.3">
      <c r="A909">
        <f>HeartData[[#This Row],[id]]</f>
        <v>908</v>
      </c>
      <c r="B909" s="4">
        <f>HeartData[[#This Row],[age]]</f>
        <v>58</v>
      </c>
      <c r="C909" t="str">
        <f>HeartData[[#This Row],[sex]]</f>
        <v>Male</v>
      </c>
      <c r="D909" t="str">
        <f t="shared" si="42"/>
        <v>55-64</v>
      </c>
      <c r="E909" t="str">
        <f>HeartData[[#This Row],[cp]]</f>
        <v>non-anginal</v>
      </c>
      <c r="F909" t="str">
        <f>IF(HeartData[[#This Row],[num]]&gt;0, "Diseased", "Healthy")</f>
        <v>Diseased</v>
      </c>
      <c r="G909">
        <f>IF(HeartData[[#This Row],[chol]]&gt;$P$3, 1, 0)</f>
        <v>1</v>
      </c>
      <c r="H909">
        <f>IF(HeartData[[#This Row],[trestbps]]&gt;$P$4, 1, 0)</f>
        <v>1</v>
      </c>
      <c r="I909">
        <f>IF(HeartData[[#This Row],[oldpeak]]&gt;$P$5,1,0)</f>
        <v>0</v>
      </c>
      <c r="J909">
        <f>IF(HeartData[[#This Row],[exang]]="TRUE",1,0)</f>
        <v>1</v>
      </c>
      <c r="K909">
        <f>IF(HeartData[[#This Row],[fbs]]="TRUE",1,0)</f>
        <v>0</v>
      </c>
      <c r="L909">
        <f>IF(HeartData[[#This Row],[ca]]&gt;0,1,0)</f>
        <v>0</v>
      </c>
      <c r="M909">
        <f t="shared" si="43"/>
        <v>3</v>
      </c>
      <c r="N909">
        <f t="shared" si="44"/>
        <v>1</v>
      </c>
    </row>
    <row r="910" spans="1:14" x14ac:dyDescent="0.3">
      <c r="A910">
        <f>HeartData[[#This Row],[id]]</f>
        <v>909</v>
      </c>
      <c r="B910" s="4">
        <f>HeartData[[#This Row],[age]]</f>
        <v>74</v>
      </c>
      <c r="C910" t="str">
        <f>HeartData[[#This Row],[sex]]</f>
        <v>Male</v>
      </c>
      <c r="D910" t="str">
        <f t="shared" si="42"/>
        <v>65+</v>
      </c>
      <c r="E910" t="str">
        <f>HeartData[[#This Row],[cp]]</f>
        <v>asymptomatic</v>
      </c>
      <c r="F910" t="str">
        <f>IF(HeartData[[#This Row],[num]]&gt;0, "Diseased", "Healthy")</f>
        <v>Diseased</v>
      </c>
      <c r="G910">
        <f>IF(HeartData[[#This Row],[chol]]&gt;$P$3, 1, 0)</f>
        <v>1</v>
      </c>
      <c r="H910">
        <f>IF(HeartData[[#This Row],[trestbps]]&gt;$P$4, 1, 0)</f>
        <v>1</v>
      </c>
      <c r="I910">
        <f>IF(HeartData[[#This Row],[oldpeak]]&gt;$P$5,1,0)</f>
        <v>1</v>
      </c>
      <c r="J910">
        <f>IF(HeartData[[#This Row],[exang]]="TRUE",1,0)</f>
        <v>1</v>
      </c>
      <c r="K910">
        <f>IF(HeartData[[#This Row],[fbs]]="TRUE",1,0)</f>
        <v>0</v>
      </c>
      <c r="L910">
        <f>IF(HeartData[[#This Row],[ca]]&gt;0,1,0)</f>
        <v>0</v>
      </c>
      <c r="M910">
        <f t="shared" si="43"/>
        <v>4</v>
      </c>
      <c r="N910">
        <f t="shared" si="44"/>
        <v>1</v>
      </c>
    </row>
    <row r="911" spans="1:14" x14ac:dyDescent="0.3">
      <c r="A911">
        <f>HeartData[[#This Row],[id]]</f>
        <v>910</v>
      </c>
      <c r="B911" s="4">
        <f>HeartData[[#This Row],[age]]</f>
        <v>68</v>
      </c>
      <c r="C911" t="str">
        <f>HeartData[[#This Row],[sex]]</f>
        <v>Male</v>
      </c>
      <c r="D911" t="str">
        <f t="shared" si="42"/>
        <v>65+</v>
      </c>
      <c r="E911" t="str">
        <f>HeartData[[#This Row],[cp]]</f>
        <v>non-anginal</v>
      </c>
      <c r="F911" t="str">
        <f>IF(HeartData[[#This Row],[num]]&gt;0, "Diseased", "Healthy")</f>
        <v>Healthy</v>
      </c>
      <c r="G911">
        <f>IF(HeartData[[#This Row],[chol]]&gt;$P$3, 1, 0)</f>
        <v>1</v>
      </c>
      <c r="H911">
        <f>IF(HeartData[[#This Row],[trestbps]]&gt;$P$4, 1, 0)</f>
        <v>1</v>
      </c>
      <c r="I911">
        <f>IF(HeartData[[#This Row],[oldpeak]]&gt;$P$5,1,0)</f>
        <v>0</v>
      </c>
      <c r="J911">
        <f>IF(HeartData[[#This Row],[exang]]="TRUE",1,0)</f>
        <v>1</v>
      </c>
      <c r="K911">
        <f>IF(HeartData[[#This Row],[fbs]]="TRUE",1,0)</f>
        <v>1</v>
      </c>
      <c r="L911">
        <f>IF(HeartData[[#This Row],[ca]]&gt;0,1,0)</f>
        <v>0</v>
      </c>
      <c r="M911">
        <f t="shared" si="43"/>
        <v>4</v>
      </c>
      <c r="N911">
        <f t="shared" si="44"/>
        <v>0</v>
      </c>
    </row>
    <row r="912" spans="1:14" x14ac:dyDescent="0.3">
      <c r="A912">
        <f>HeartData[[#This Row],[id]]</f>
        <v>911</v>
      </c>
      <c r="B912" s="4">
        <f>HeartData[[#This Row],[age]]</f>
        <v>51</v>
      </c>
      <c r="C912" t="str">
        <f>HeartData[[#This Row],[sex]]</f>
        <v>Female</v>
      </c>
      <c r="D912" t="str">
        <f t="shared" si="42"/>
        <v>45-54</v>
      </c>
      <c r="E912" t="str">
        <f>HeartData[[#This Row],[cp]]</f>
        <v>asymptomatic</v>
      </c>
      <c r="F912" t="str">
        <f>IF(HeartData[[#This Row],[num]]&gt;0, "Diseased", "Healthy")</f>
        <v>Healthy</v>
      </c>
      <c r="G912">
        <f>IF(HeartData[[#This Row],[chol]]&gt;$P$3, 1, 0)</f>
        <v>1</v>
      </c>
      <c r="H912">
        <f>IF(HeartData[[#This Row],[trestbps]]&gt;$P$4, 1, 0)</f>
        <v>1</v>
      </c>
      <c r="I912">
        <f>IF(HeartData[[#This Row],[oldpeak]]&gt;$P$5,1,0)</f>
        <v>1</v>
      </c>
      <c r="J912">
        <f>IF(HeartData[[#This Row],[exang]]="TRUE",1,0)</f>
        <v>0</v>
      </c>
      <c r="K912">
        <f>IF(HeartData[[#This Row],[fbs]]="TRUE",1,0)</f>
        <v>1</v>
      </c>
      <c r="L912">
        <f>IF(HeartData[[#This Row],[ca]]&gt;0,1,0)</f>
        <v>0</v>
      </c>
      <c r="M912">
        <f t="shared" si="43"/>
        <v>4</v>
      </c>
      <c r="N912">
        <f t="shared" si="44"/>
        <v>0</v>
      </c>
    </row>
    <row r="913" spans="1:14" x14ac:dyDescent="0.3">
      <c r="A913">
        <f>HeartData[[#This Row],[id]]</f>
        <v>912</v>
      </c>
      <c r="B913" s="4">
        <f>HeartData[[#This Row],[age]]</f>
        <v>62</v>
      </c>
      <c r="C913" t="str">
        <f>HeartData[[#This Row],[sex]]</f>
        <v>Male</v>
      </c>
      <c r="D913" t="str">
        <f t="shared" si="42"/>
        <v>55-64</v>
      </c>
      <c r="E913" t="str">
        <f>HeartData[[#This Row],[cp]]</f>
        <v>asymptomatic</v>
      </c>
      <c r="F913" t="str">
        <f>IF(HeartData[[#This Row],[num]]&gt;0, "Diseased", "Healthy")</f>
        <v>Diseased</v>
      </c>
      <c r="G913">
        <f>IF(HeartData[[#This Row],[chol]]&gt;$P$3, 1, 0)</f>
        <v>1</v>
      </c>
      <c r="H913">
        <f>IF(HeartData[[#This Row],[trestbps]]&gt;$P$4, 1, 0)</f>
        <v>1</v>
      </c>
      <c r="I913">
        <f>IF(HeartData[[#This Row],[oldpeak]]&gt;$P$5,1,0)</f>
        <v>1</v>
      </c>
      <c r="J913">
        <f>IF(HeartData[[#This Row],[exang]]="TRUE",1,0)</f>
        <v>1</v>
      </c>
      <c r="K913">
        <f>IF(HeartData[[#This Row],[fbs]]="TRUE",1,0)</f>
        <v>1</v>
      </c>
      <c r="L913">
        <f>IF(HeartData[[#This Row],[ca]]&gt;0,1,0)</f>
        <v>0</v>
      </c>
      <c r="M913">
        <f t="shared" si="43"/>
        <v>5</v>
      </c>
      <c r="N913">
        <f t="shared" si="44"/>
        <v>1</v>
      </c>
    </row>
    <row r="914" spans="1:14" x14ac:dyDescent="0.3">
      <c r="A914">
        <f>HeartData[[#This Row],[id]]</f>
        <v>913</v>
      </c>
      <c r="B914" s="4">
        <f>HeartData[[#This Row],[age]]</f>
        <v>53</v>
      </c>
      <c r="C914" t="str">
        <f>HeartData[[#This Row],[sex]]</f>
        <v>Male</v>
      </c>
      <c r="D914" t="str">
        <f t="shared" si="42"/>
        <v>45-54</v>
      </c>
      <c r="E914" t="str">
        <f>HeartData[[#This Row],[cp]]</f>
        <v>asymptomatic</v>
      </c>
      <c r="F914" t="str">
        <f>IF(HeartData[[#This Row],[num]]&gt;0, "Diseased", "Healthy")</f>
        <v>Diseased</v>
      </c>
      <c r="G914">
        <f>IF(HeartData[[#This Row],[chol]]&gt;$P$3, 1, 0)</f>
        <v>1</v>
      </c>
      <c r="H914">
        <f>IF(HeartData[[#This Row],[trestbps]]&gt;$P$4, 1, 0)</f>
        <v>1</v>
      </c>
      <c r="I914">
        <f>IF(HeartData[[#This Row],[oldpeak]]&gt;$P$5,1,0)</f>
        <v>1</v>
      </c>
      <c r="J914">
        <f>IF(HeartData[[#This Row],[exang]]="TRUE",1,0)</f>
        <v>1</v>
      </c>
      <c r="K914">
        <f>IF(HeartData[[#This Row],[fbs]]="TRUE",1,0)</f>
        <v>1</v>
      </c>
      <c r="L914">
        <f>IF(HeartData[[#This Row],[ca]]&gt;0,1,0)</f>
        <v>0</v>
      </c>
      <c r="M914">
        <f t="shared" si="43"/>
        <v>5</v>
      </c>
      <c r="N914">
        <f t="shared" si="44"/>
        <v>1</v>
      </c>
    </row>
    <row r="915" spans="1:14" x14ac:dyDescent="0.3">
      <c r="A915">
        <f>HeartData[[#This Row],[id]]</f>
        <v>914</v>
      </c>
      <c r="B915" s="4">
        <f>HeartData[[#This Row],[age]]</f>
        <v>62</v>
      </c>
      <c r="C915" t="str">
        <f>HeartData[[#This Row],[sex]]</f>
        <v>Male</v>
      </c>
      <c r="D915" t="str">
        <f t="shared" si="42"/>
        <v>55-64</v>
      </c>
      <c r="E915" t="str">
        <f>HeartData[[#This Row],[cp]]</f>
        <v>asymptomatic</v>
      </c>
      <c r="F915" t="str">
        <f>IF(HeartData[[#This Row],[num]]&gt;0, "Diseased", "Healthy")</f>
        <v>Diseased</v>
      </c>
      <c r="G915">
        <f>IF(HeartData[[#This Row],[chol]]&gt;$P$3, 1, 0)</f>
        <v>1</v>
      </c>
      <c r="H915">
        <f>IF(HeartData[[#This Row],[trestbps]]&gt;$P$4, 1, 0)</f>
        <v>1</v>
      </c>
      <c r="I915">
        <f>IF(HeartData[[#This Row],[oldpeak]]&gt;$P$5,1,0)</f>
        <v>0</v>
      </c>
      <c r="J915">
        <f>IF(HeartData[[#This Row],[exang]]="TRUE",1,0)</f>
        <v>1</v>
      </c>
      <c r="K915">
        <f>IF(HeartData[[#This Row],[fbs]]="TRUE",1,0)</f>
        <v>0</v>
      </c>
      <c r="L915">
        <f>IF(HeartData[[#This Row],[ca]]&gt;0,1,0)</f>
        <v>0</v>
      </c>
      <c r="M915">
        <f t="shared" si="43"/>
        <v>3</v>
      </c>
      <c r="N915">
        <f t="shared" si="44"/>
        <v>1</v>
      </c>
    </row>
    <row r="916" spans="1:14" x14ac:dyDescent="0.3">
      <c r="A916">
        <f>HeartData[[#This Row],[id]]</f>
        <v>915</v>
      </c>
      <c r="B916" s="4">
        <f>HeartData[[#This Row],[age]]</f>
        <v>46</v>
      </c>
      <c r="C916" t="str">
        <f>HeartData[[#This Row],[sex]]</f>
        <v>Male</v>
      </c>
      <c r="D916" t="str">
        <f t="shared" si="42"/>
        <v>45-54</v>
      </c>
      <c r="E916" t="str">
        <f>HeartData[[#This Row],[cp]]</f>
        <v>asymptomatic</v>
      </c>
      <c r="F916" t="str">
        <f>IF(HeartData[[#This Row],[num]]&gt;0, "Diseased", "Healthy")</f>
        <v>Diseased</v>
      </c>
      <c r="G916">
        <f>IF(HeartData[[#This Row],[chol]]&gt;$P$3, 1, 0)</f>
        <v>1</v>
      </c>
      <c r="H916">
        <f>IF(HeartData[[#This Row],[trestbps]]&gt;$P$4, 1, 0)</f>
        <v>1</v>
      </c>
      <c r="I916">
        <f>IF(HeartData[[#This Row],[oldpeak]]&gt;$P$5,1,0)</f>
        <v>0</v>
      </c>
      <c r="J916">
        <f>IF(HeartData[[#This Row],[exang]]="TRUE",1,0)</f>
        <v>0</v>
      </c>
      <c r="K916">
        <f>IF(HeartData[[#This Row],[fbs]]="TRUE",1,0)</f>
        <v>0</v>
      </c>
      <c r="L916">
        <f>IF(HeartData[[#This Row],[ca]]&gt;0,1,0)</f>
        <v>0</v>
      </c>
      <c r="M916">
        <f t="shared" si="43"/>
        <v>2</v>
      </c>
      <c r="N916">
        <f t="shared" si="44"/>
        <v>1</v>
      </c>
    </row>
    <row r="917" spans="1:14" x14ac:dyDescent="0.3">
      <c r="A917">
        <f>HeartData[[#This Row],[id]]</f>
        <v>916</v>
      </c>
      <c r="B917" s="4">
        <f>HeartData[[#This Row],[age]]</f>
        <v>54</v>
      </c>
      <c r="C917" t="str">
        <f>HeartData[[#This Row],[sex]]</f>
        <v>Female</v>
      </c>
      <c r="D917" t="str">
        <f t="shared" si="42"/>
        <v>45-54</v>
      </c>
      <c r="E917" t="str">
        <f>HeartData[[#This Row],[cp]]</f>
        <v>asymptomatic</v>
      </c>
      <c r="F917" t="str">
        <f>IF(HeartData[[#This Row],[num]]&gt;0, "Diseased", "Healthy")</f>
        <v>Diseased</v>
      </c>
      <c r="G917">
        <f>IF(HeartData[[#This Row],[chol]]&gt;$P$3, 1, 0)</f>
        <v>1</v>
      </c>
      <c r="H917">
        <f>IF(HeartData[[#This Row],[trestbps]]&gt;$P$4, 1, 0)</f>
        <v>1</v>
      </c>
      <c r="I917">
        <f>IF(HeartData[[#This Row],[oldpeak]]&gt;$P$5,1,0)</f>
        <v>0</v>
      </c>
      <c r="J917">
        <f>IF(HeartData[[#This Row],[exang]]="TRUE",1,0)</f>
        <v>0</v>
      </c>
      <c r="K917">
        <f>IF(HeartData[[#This Row],[fbs]]="TRUE",1,0)</f>
        <v>1</v>
      </c>
      <c r="L917">
        <f>IF(HeartData[[#This Row],[ca]]&gt;0,1,0)</f>
        <v>0</v>
      </c>
      <c r="M917">
        <f t="shared" si="43"/>
        <v>3</v>
      </c>
      <c r="N917">
        <f t="shared" si="44"/>
        <v>1</v>
      </c>
    </row>
    <row r="918" spans="1:14" x14ac:dyDescent="0.3">
      <c r="A918">
        <f>HeartData[[#This Row],[id]]</f>
        <v>917</v>
      </c>
      <c r="B918" s="4">
        <f>HeartData[[#This Row],[age]]</f>
        <v>62</v>
      </c>
      <c r="C918" t="str">
        <f>HeartData[[#This Row],[sex]]</f>
        <v>Male</v>
      </c>
      <c r="D918" t="str">
        <f t="shared" si="42"/>
        <v>55-64</v>
      </c>
      <c r="E918" t="str">
        <f>HeartData[[#This Row],[cp]]</f>
        <v>typical angina</v>
      </c>
      <c r="F918" t="str">
        <f>IF(HeartData[[#This Row],[num]]&gt;0, "Diseased", "Healthy")</f>
        <v>Healthy</v>
      </c>
      <c r="G918">
        <f>IF(HeartData[[#This Row],[chol]]&gt;$P$3, 1, 0)</f>
        <v>1</v>
      </c>
      <c r="H918">
        <f>IF(HeartData[[#This Row],[trestbps]]&gt;$P$4, 1, 0)</f>
        <v>0</v>
      </c>
      <c r="I918">
        <f>IF(HeartData[[#This Row],[oldpeak]]&gt;$P$5,1,0)</f>
        <v>0</v>
      </c>
      <c r="J918">
        <f>IF(HeartData[[#This Row],[exang]]="TRUE",1,0)</f>
        <v>0</v>
      </c>
      <c r="K918">
        <f>IF(HeartData[[#This Row],[fbs]]="TRUE",1,0)</f>
        <v>0</v>
      </c>
      <c r="L918">
        <f>IF(HeartData[[#This Row],[ca]]&gt;0,1,0)</f>
        <v>0</v>
      </c>
      <c r="M918">
        <f t="shared" si="43"/>
        <v>1</v>
      </c>
      <c r="N918">
        <f t="shared" si="44"/>
        <v>0</v>
      </c>
    </row>
    <row r="919" spans="1:14" x14ac:dyDescent="0.3">
      <c r="A919">
        <f>HeartData[[#This Row],[id]]</f>
        <v>918</v>
      </c>
      <c r="B919" s="4">
        <f>HeartData[[#This Row],[age]]</f>
        <v>55</v>
      </c>
      <c r="C919" t="str">
        <f>HeartData[[#This Row],[sex]]</f>
        <v>Male</v>
      </c>
      <c r="D919" t="str">
        <f t="shared" si="42"/>
        <v>55-64</v>
      </c>
      <c r="E919" t="str">
        <f>HeartData[[#This Row],[cp]]</f>
        <v>asymptomatic</v>
      </c>
      <c r="F919" t="str">
        <f>IF(HeartData[[#This Row],[num]]&gt;0, "Diseased", "Healthy")</f>
        <v>Diseased</v>
      </c>
      <c r="G919">
        <f>IF(HeartData[[#This Row],[chol]]&gt;$P$3, 1, 0)</f>
        <v>1</v>
      </c>
      <c r="H919">
        <f>IF(HeartData[[#This Row],[trestbps]]&gt;$P$4, 1, 0)</f>
        <v>1</v>
      </c>
      <c r="I919">
        <f>IF(HeartData[[#This Row],[oldpeak]]&gt;$P$5,1,0)</f>
        <v>0</v>
      </c>
      <c r="J919">
        <f>IF(HeartData[[#This Row],[exang]]="TRUE",1,0)</f>
        <v>0</v>
      </c>
      <c r="K919">
        <f>IF(HeartData[[#This Row],[fbs]]="TRUE",1,0)</f>
        <v>1</v>
      </c>
      <c r="L919">
        <f>IF(HeartData[[#This Row],[ca]]&gt;0,1,0)</f>
        <v>0</v>
      </c>
      <c r="M919">
        <f t="shared" si="43"/>
        <v>3</v>
      </c>
      <c r="N919">
        <f t="shared" si="44"/>
        <v>1</v>
      </c>
    </row>
    <row r="920" spans="1:14" x14ac:dyDescent="0.3">
      <c r="A920">
        <f>HeartData[[#This Row],[id]]</f>
        <v>919</v>
      </c>
      <c r="B920" s="4">
        <f>HeartData[[#This Row],[age]]</f>
        <v>58</v>
      </c>
      <c r="C920" t="str">
        <f>HeartData[[#This Row],[sex]]</f>
        <v>Male</v>
      </c>
      <c r="D920" t="str">
        <f t="shared" si="42"/>
        <v>55-64</v>
      </c>
      <c r="E920" t="str">
        <f>HeartData[[#This Row],[cp]]</f>
        <v>asymptomatic</v>
      </c>
      <c r="F920" t="str">
        <f>IF(HeartData[[#This Row],[num]]&gt;0, "Diseased", "Healthy")</f>
        <v>Healthy</v>
      </c>
      <c r="G920">
        <f>IF(HeartData[[#This Row],[chol]]&gt;$P$3, 1, 0)</f>
        <v>1</v>
      </c>
      <c r="H920">
        <f>IF(HeartData[[#This Row],[trestbps]]&gt;$P$4, 1, 0)</f>
        <v>0</v>
      </c>
      <c r="I920">
        <f>IF(HeartData[[#This Row],[oldpeak]]&gt;$P$5,1,0)</f>
        <v>0</v>
      </c>
      <c r="J920">
        <f>IF(HeartData[[#This Row],[exang]]="TRUE",1,0)</f>
        <v>0</v>
      </c>
      <c r="K920">
        <f>IF(HeartData[[#This Row],[fbs]]="TRUE",1,0)</f>
        <v>1</v>
      </c>
      <c r="L920">
        <f>IF(HeartData[[#This Row],[ca]]&gt;0,1,0)</f>
        <v>0</v>
      </c>
      <c r="M920">
        <f t="shared" si="43"/>
        <v>2</v>
      </c>
      <c r="N920">
        <f t="shared" si="44"/>
        <v>0</v>
      </c>
    </row>
    <row r="921" spans="1:14" x14ac:dyDescent="0.3">
      <c r="A921">
        <f>HeartData[[#This Row],[id]]</f>
        <v>920</v>
      </c>
      <c r="B921" s="4">
        <f>HeartData[[#This Row],[age]]</f>
        <v>62</v>
      </c>
      <c r="C921" t="str">
        <f>HeartData[[#This Row],[sex]]</f>
        <v>Male</v>
      </c>
      <c r="D921" t="str">
        <f t="shared" si="42"/>
        <v>55-64</v>
      </c>
      <c r="E921" t="str">
        <f>HeartData[[#This Row],[cp]]</f>
        <v>atypical angina</v>
      </c>
      <c r="F921" t="str">
        <f>IF(HeartData[[#This Row],[num]]&gt;0, "Diseased", "Healthy")</f>
        <v>Diseased</v>
      </c>
      <c r="G921">
        <f>IF(HeartData[[#This Row],[chol]]&gt;$P$3, 1, 0)</f>
        <v>1</v>
      </c>
      <c r="H921">
        <f>IF(HeartData[[#This Row],[trestbps]]&gt;$P$4, 1, 0)</f>
        <v>1</v>
      </c>
      <c r="I921">
        <f>IF(HeartData[[#This Row],[oldpeak]]&gt;$P$5,1,0)</f>
        <v>0</v>
      </c>
      <c r="J921">
        <f>IF(HeartData[[#This Row],[exang]]="TRUE",1,0)</f>
        <v>1</v>
      </c>
      <c r="K921">
        <f>IF(HeartData[[#This Row],[fbs]]="TRUE",1,0)</f>
        <v>0</v>
      </c>
      <c r="L921">
        <f>IF(HeartData[[#This Row],[ca]]&gt;0,1,0)</f>
        <v>0</v>
      </c>
      <c r="M921">
        <f t="shared" si="43"/>
        <v>3</v>
      </c>
      <c r="N921">
        <f t="shared" si="44"/>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3AFC-280F-4F92-A035-4D9964D62095}">
  <dimension ref="A3:Q707"/>
  <sheetViews>
    <sheetView topLeftCell="D1" zoomScale="85" zoomScaleNormal="85" workbookViewId="0">
      <selection activeCell="B5" sqref="B5"/>
    </sheetView>
  </sheetViews>
  <sheetFormatPr defaultRowHeight="14.4" x14ac:dyDescent="0.3"/>
  <cols>
    <col min="1" max="1" width="12.5546875" bestFit="1" customWidth="1"/>
    <col min="2" max="2" width="13.33203125" style="4" bestFit="1" customWidth="1"/>
    <col min="3" max="3" width="8.5546875" style="4" bestFit="1" customWidth="1"/>
    <col min="4" max="4" width="18.109375" bestFit="1" customWidth="1"/>
    <col min="6" max="6" width="13.44140625" bestFit="1" customWidth="1"/>
    <col min="7" max="7" width="16.44140625" bestFit="1" customWidth="1"/>
    <col min="8" max="8" width="8.5546875" bestFit="1" customWidth="1"/>
    <col min="9" max="9" width="8.21875" bestFit="1" customWidth="1"/>
    <col min="10" max="10" width="8.5546875" bestFit="1" customWidth="1"/>
    <col min="11" max="11" width="15.33203125" bestFit="1" customWidth="1"/>
    <col min="12" max="12" width="11.21875" bestFit="1" customWidth="1"/>
    <col min="14" max="14" width="14" bestFit="1" customWidth="1"/>
    <col min="15" max="15" width="13.33203125" bestFit="1" customWidth="1"/>
    <col min="16" max="16" width="17.33203125" bestFit="1" customWidth="1"/>
    <col min="17" max="17" width="13.44140625" bestFit="1" customWidth="1"/>
  </cols>
  <sheetData>
    <row r="3" spans="1:17" x14ac:dyDescent="0.3">
      <c r="A3" s="7" t="s">
        <v>58</v>
      </c>
      <c r="B3" s="4" t="s">
        <v>61</v>
      </c>
      <c r="C3" t="s">
        <v>62</v>
      </c>
      <c r="D3" s="6" t="s">
        <v>65</v>
      </c>
      <c r="G3" s="7" t="s">
        <v>70</v>
      </c>
      <c r="N3" s="7" t="s">
        <v>59</v>
      </c>
      <c r="O3" t="s">
        <v>61</v>
      </c>
      <c r="P3" t="s">
        <v>64</v>
      </c>
      <c r="Q3" s="6" t="s">
        <v>65</v>
      </c>
    </row>
    <row r="4" spans="1:17" x14ac:dyDescent="0.3">
      <c r="A4" s="8">
        <v>0</v>
      </c>
      <c r="B4" s="4">
        <v>9</v>
      </c>
      <c r="C4" s="4">
        <v>5</v>
      </c>
      <c r="D4" s="2">
        <f>C4/B4</f>
        <v>0.55555555555555558</v>
      </c>
      <c r="G4" t="s">
        <v>29</v>
      </c>
      <c r="I4" t="s">
        <v>16</v>
      </c>
      <c r="N4" s="8" t="s">
        <v>24</v>
      </c>
      <c r="O4">
        <v>496</v>
      </c>
      <c r="P4">
        <v>392</v>
      </c>
      <c r="Q4" s="2">
        <f>P4/O4</f>
        <v>0.79032258064516125</v>
      </c>
    </row>
    <row r="5" spans="1:17" x14ac:dyDescent="0.3">
      <c r="A5" s="8">
        <v>1</v>
      </c>
      <c r="B5" s="4">
        <v>84</v>
      </c>
      <c r="C5" s="4">
        <v>52</v>
      </c>
      <c r="D5" s="2">
        <f t="shared" ref="D5:D10" si="0">C5/B5</f>
        <v>0.61904761904761907</v>
      </c>
      <c r="F5" s="7" t="s">
        <v>59</v>
      </c>
      <c r="G5" t="s">
        <v>71</v>
      </c>
      <c r="H5" t="s">
        <v>62</v>
      </c>
      <c r="I5" t="s">
        <v>71</v>
      </c>
      <c r="J5" t="s">
        <v>62</v>
      </c>
      <c r="K5" s="6" t="s">
        <v>77</v>
      </c>
      <c r="L5" s="6" t="s">
        <v>78</v>
      </c>
      <c r="N5" s="8" t="s">
        <v>30</v>
      </c>
      <c r="O5">
        <v>174</v>
      </c>
      <c r="P5">
        <v>24</v>
      </c>
      <c r="Q5" s="2">
        <f t="shared" ref="Q5:Q8" si="1">P5/O5</f>
        <v>0.13793103448275862</v>
      </c>
    </row>
    <row r="6" spans="1:17" x14ac:dyDescent="0.3">
      <c r="A6" s="8">
        <v>2</v>
      </c>
      <c r="B6" s="4">
        <v>304</v>
      </c>
      <c r="C6" s="4">
        <v>104</v>
      </c>
      <c r="D6" s="2">
        <f t="shared" si="0"/>
        <v>0.34210526315789475</v>
      </c>
      <c r="F6" s="8" t="s">
        <v>69</v>
      </c>
      <c r="G6">
        <v>42</v>
      </c>
      <c r="H6">
        <v>5</v>
      </c>
      <c r="I6">
        <v>136</v>
      </c>
      <c r="J6">
        <v>53</v>
      </c>
      <c r="K6" s="2">
        <f>H6/G6</f>
        <v>0.11904761904761904</v>
      </c>
      <c r="L6" s="2">
        <f>J6/I6</f>
        <v>0.38970588235294118</v>
      </c>
      <c r="N6" s="8" t="s">
        <v>28</v>
      </c>
      <c r="O6">
        <v>204</v>
      </c>
      <c r="P6">
        <v>73</v>
      </c>
      <c r="Q6" s="2">
        <f t="shared" si="1"/>
        <v>0.35784313725490197</v>
      </c>
    </row>
    <row r="7" spans="1:17" x14ac:dyDescent="0.3">
      <c r="A7" s="8">
        <v>3</v>
      </c>
      <c r="B7" s="4">
        <v>221</v>
      </c>
      <c r="C7" s="4">
        <v>114</v>
      </c>
      <c r="D7" s="2">
        <f t="shared" si="0"/>
        <v>0.51583710407239824</v>
      </c>
      <c r="F7" s="8" t="s">
        <v>66</v>
      </c>
      <c r="G7">
        <v>74</v>
      </c>
      <c r="H7">
        <v>12</v>
      </c>
      <c r="I7">
        <v>220</v>
      </c>
      <c r="J7">
        <v>127</v>
      </c>
      <c r="K7" s="2">
        <f t="shared" ref="K7:K10" si="2">H7/G7</f>
        <v>0.16216216216216217</v>
      </c>
      <c r="L7" s="2">
        <f t="shared" ref="L7:L10" si="3">J7/I7</f>
        <v>0.57727272727272727</v>
      </c>
      <c r="N7" s="8" t="s">
        <v>18</v>
      </c>
      <c r="O7">
        <v>46</v>
      </c>
      <c r="P7">
        <v>20</v>
      </c>
      <c r="Q7" s="2">
        <f t="shared" si="1"/>
        <v>0.43478260869565216</v>
      </c>
    </row>
    <row r="8" spans="1:17" x14ac:dyDescent="0.3">
      <c r="A8" s="8">
        <v>4</v>
      </c>
      <c r="B8" s="4">
        <v>215</v>
      </c>
      <c r="C8" s="4">
        <v>158</v>
      </c>
      <c r="D8" s="2">
        <f t="shared" si="0"/>
        <v>0.73488372093023258</v>
      </c>
      <c r="F8" s="8" t="s">
        <v>67</v>
      </c>
      <c r="G8">
        <v>59</v>
      </c>
      <c r="H8">
        <v>29</v>
      </c>
      <c r="I8">
        <v>286</v>
      </c>
      <c r="J8">
        <v>211</v>
      </c>
      <c r="K8" s="2">
        <f t="shared" si="2"/>
        <v>0.49152542372881358</v>
      </c>
      <c r="L8" s="2">
        <f t="shared" si="3"/>
        <v>0.73776223776223782</v>
      </c>
      <c r="N8" s="8" t="s">
        <v>60</v>
      </c>
      <c r="O8">
        <v>920</v>
      </c>
      <c r="P8">
        <v>509</v>
      </c>
      <c r="Q8" s="9">
        <f t="shared" si="1"/>
        <v>0.55326086956521736</v>
      </c>
    </row>
    <row r="9" spans="1:17" x14ac:dyDescent="0.3">
      <c r="A9" s="8">
        <v>5</v>
      </c>
      <c r="B9" s="4">
        <v>80</v>
      </c>
      <c r="C9" s="4">
        <v>69</v>
      </c>
      <c r="D9" s="2">
        <f t="shared" si="0"/>
        <v>0.86250000000000004</v>
      </c>
      <c r="F9" s="8" t="s">
        <v>68</v>
      </c>
      <c r="G9">
        <v>19</v>
      </c>
      <c r="H9">
        <v>4</v>
      </c>
      <c r="I9">
        <v>84</v>
      </c>
      <c r="J9">
        <v>68</v>
      </c>
      <c r="K9" s="2">
        <f t="shared" si="2"/>
        <v>0.21052631578947367</v>
      </c>
      <c r="L9" s="2">
        <f t="shared" si="3"/>
        <v>0.80952380952380953</v>
      </c>
    </row>
    <row r="10" spans="1:17" x14ac:dyDescent="0.3">
      <c r="A10" s="8">
        <v>6</v>
      </c>
      <c r="B10" s="4">
        <v>7</v>
      </c>
      <c r="C10" s="4">
        <v>7</v>
      </c>
      <c r="D10" s="2">
        <f t="shared" si="0"/>
        <v>1</v>
      </c>
      <c r="F10" s="8" t="s">
        <v>60</v>
      </c>
      <c r="G10">
        <v>194</v>
      </c>
      <c r="H10">
        <v>50</v>
      </c>
      <c r="I10">
        <v>726</v>
      </c>
      <c r="J10">
        <v>459</v>
      </c>
      <c r="K10" s="9">
        <f t="shared" si="2"/>
        <v>0.25773195876288657</v>
      </c>
      <c r="L10" s="9">
        <f t="shared" si="3"/>
        <v>0.63223140495867769</v>
      </c>
    </row>
    <row r="11" spans="1:17" x14ac:dyDescent="0.3">
      <c r="A11" s="8" t="s">
        <v>60</v>
      </c>
      <c r="B11" s="4">
        <v>920</v>
      </c>
      <c r="C11" s="4">
        <v>509</v>
      </c>
      <c r="D11" s="9">
        <f>C11/B11</f>
        <v>0.55326086956521736</v>
      </c>
    </row>
    <row r="700" spans="1:2" x14ac:dyDescent="0.3">
      <c r="A700" t="s">
        <v>58</v>
      </c>
      <c r="B700" t="s">
        <v>65</v>
      </c>
    </row>
    <row r="701" spans="1:2" x14ac:dyDescent="0.3">
      <c r="A701">
        <v>0</v>
      </c>
      <c r="B701" s="2">
        <f>D4</f>
        <v>0.55555555555555558</v>
      </c>
    </row>
    <row r="702" spans="1:2" x14ac:dyDescent="0.3">
      <c r="A702">
        <v>1</v>
      </c>
      <c r="B702" s="2">
        <f t="shared" ref="B702:B707" si="4">D5</f>
        <v>0.61904761904761907</v>
      </c>
    </row>
    <row r="703" spans="1:2" x14ac:dyDescent="0.3">
      <c r="A703">
        <v>2</v>
      </c>
      <c r="B703" s="2">
        <f t="shared" si="4"/>
        <v>0.34210526315789475</v>
      </c>
    </row>
    <row r="704" spans="1:2" x14ac:dyDescent="0.3">
      <c r="A704">
        <v>3</v>
      </c>
      <c r="B704" s="2">
        <f t="shared" si="4"/>
        <v>0.51583710407239824</v>
      </c>
    </row>
    <row r="705" spans="1:2" x14ac:dyDescent="0.3">
      <c r="A705">
        <v>4</v>
      </c>
      <c r="B705" s="2">
        <f t="shared" si="4"/>
        <v>0.73488372093023258</v>
      </c>
    </row>
    <row r="706" spans="1:2" x14ac:dyDescent="0.3">
      <c r="A706">
        <v>5</v>
      </c>
      <c r="B706" s="2">
        <f t="shared" si="4"/>
        <v>0.86250000000000004</v>
      </c>
    </row>
    <row r="707" spans="1:2" x14ac:dyDescent="0.3">
      <c r="A707">
        <v>6</v>
      </c>
      <c r="B707" s="2">
        <f t="shared" si="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25417-EDCF-4D00-A1C4-BA5A6FAD41BF}">
  <dimension ref="B2:L6"/>
  <sheetViews>
    <sheetView zoomScale="65" zoomScaleNormal="108" workbookViewId="0">
      <selection activeCell="S28" sqref="S28"/>
    </sheetView>
  </sheetViews>
  <sheetFormatPr defaultRowHeight="14.4" x14ac:dyDescent="0.3"/>
  <cols>
    <col min="2" max="2" width="10.5546875" bestFit="1" customWidth="1"/>
    <col min="11" max="11" width="12.6640625" bestFit="1" customWidth="1"/>
    <col min="12" max="12" width="6.77734375" customWidth="1"/>
  </cols>
  <sheetData>
    <row r="2" spans="2:12" ht="23.4" x14ac:dyDescent="0.45">
      <c r="B2" s="20" t="s">
        <v>73</v>
      </c>
      <c r="C2" s="21"/>
      <c r="D2" s="21"/>
      <c r="E2" s="21"/>
      <c r="F2" s="21"/>
      <c r="G2" s="21"/>
      <c r="H2" s="21"/>
      <c r="I2" s="21"/>
      <c r="J2" s="21"/>
      <c r="K2" s="21"/>
      <c r="L2" s="21"/>
    </row>
    <row r="3" spans="2:12" x14ac:dyDescent="0.3">
      <c r="B3" s="22" t="s">
        <v>74</v>
      </c>
      <c r="C3" s="23"/>
      <c r="D3" s="23"/>
      <c r="E3" s="23"/>
      <c r="F3" s="23"/>
      <c r="G3" s="23"/>
      <c r="H3" s="23"/>
      <c r="I3" s="23"/>
      <c r="J3" s="23"/>
      <c r="K3" s="23"/>
      <c r="L3" s="23"/>
    </row>
    <row r="5" spans="2:12" x14ac:dyDescent="0.3">
      <c r="B5" s="10" t="s">
        <v>61</v>
      </c>
      <c r="C5" s="11"/>
      <c r="E5" s="10" t="s">
        <v>62</v>
      </c>
      <c r="F5" s="11"/>
      <c r="H5" s="10" t="s">
        <v>75</v>
      </c>
      <c r="I5" s="11"/>
      <c r="K5" s="10" t="s">
        <v>76</v>
      </c>
      <c r="L5" s="11"/>
    </row>
    <row r="6" spans="2:12" ht="25.8" x14ac:dyDescent="0.5">
      <c r="B6" s="12">
        <f>ROWS(HeartData[])</f>
        <v>920</v>
      </c>
      <c r="C6" s="13"/>
      <c r="E6" s="14">
        <f>COUNTIF(analysis[Status],"Diseased")</f>
        <v>509</v>
      </c>
      <c r="F6" s="13"/>
      <c r="H6" s="15">
        <f>COUNTIF(analysis[Status],"Healthy")</f>
        <v>411</v>
      </c>
      <c r="I6" s="13"/>
      <c r="K6" s="16">
        <f>E6/B6</f>
        <v>0.55326086956521736</v>
      </c>
      <c r="L6" s="13"/>
    </row>
  </sheetData>
  <sheetProtection selectLockedCells="1"/>
  <mergeCells count="2">
    <mergeCell ref="B2:L2"/>
    <mergeCell ref="B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9031B-01D9-4DA9-BDFF-E3C447491BAF}">
  <dimension ref="B1:C18"/>
  <sheetViews>
    <sheetView workbookViewId="0">
      <selection activeCell="C3" sqref="C3"/>
    </sheetView>
  </sheetViews>
  <sheetFormatPr defaultRowHeight="14.4" x14ac:dyDescent="0.3"/>
  <cols>
    <col min="2" max="2" width="20.6640625" bestFit="1" customWidth="1"/>
    <col min="3" max="3" width="21.33203125" bestFit="1" customWidth="1"/>
  </cols>
  <sheetData>
    <row r="1" spans="2:3" ht="15" thickBot="1" x14ac:dyDescent="0.35"/>
    <row r="2" spans="2:3" ht="19.2" thickTop="1" thickBot="1" x14ac:dyDescent="0.4">
      <c r="B2" s="17" t="s">
        <v>79</v>
      </c>
      <c r="C2" s="19"/>
    </row>
    <row r="3" spans="2:3" ht="15" thickTop="1" x14ac:dyDescent="0.3"/>
    <row r="4" spans="2:3" x14ac:dyDescent="0.3">
      <c r="B4" s="18" t="s">
        <v>44</v>
      </c>
      <c r="C4" t="str">
        <f>IFERROR(VLOOKUP($C$2,HeartData[],2,0),"ID not found")</f>
        <v>ID not found</v>
      </c>
    </row>
    <row r="5" spans="2:3" x14ac:dyDescent="0.3">
      <c r="B5" s="18" t="s">
        <v>45</v>
      </c>
      <c r="C5" t="str">
        <f>IFERROR( VLOOKUP($C$2,HeartData[],3,FALSE), "ID not found")</f>
        <v>ID not found</v>
      </c>
    </row>
    <row r="6" spans="2:3" x14ac:dyDescent="0.3">
      <c r="B6" s="18" t="s">
        <v>80</v>
      </c>
      <c r="C6" t="str">
        <f>IFERROR( VLOOKUP($C$2,HeartData[],5,FALSE), "ID not found")</f>
        <v>ID not found</v>
      </c>
    </row>
    <row r="7" spans="2:3" x14ac:dyDescent="0.3">
      <c r="B7" s="18" t="s">
        <v>81</v>
      </c>
      <c r="C7" t="str">
        <f>IFERROR( VLOOKUP($C$2,HeartData[],6,FALSE),"ID not found")</f>
        <v>ID not found</v>
      </c>
    </row>
    <row r="8" spans="2:3" x14ac:dyDescent="0.3">
      <c r="B8" s="18" t="s">
        <v>82</v>
      </c>
      <c r="C8" t="str">
        <f>IFERROR( VLOOKUP($C$2,HeartData[],7,FALSE), "ID not found")</f>
        <v>ID not found</v>
      </c>
    </row>
    <row r="9" spans="2:3" x14ac:dyDescent="0.3">
      <c r="B9" s="18" t="s">
        <v>83</v>
      </c>
      <c r="C9" t="str">
        <f>IFERROR(VLOOKUP($C$2,HeartData[],8,FALSE), "ID not found")</f>
        <v>ID not found</v>
      </c>
    </row>
    <row r="10" spans="2:3" x14ac:dyDescent="0.3">
      <c r="B10" s="18" t="s">
        <v>84</v>
      </c>
      <c r="C10" t="str">
        <f>IFERROR(VLOOKUP($C$2,HeartData[],10,FALSE),"ID not found")</f>
        <v>ID not found</v>
      </c>
    </row>
    <row r="11" spans="2:3" x14ac:dyDescent="0.3">
      <c r="B11" s="18" t="s">
        <v>85</v>
      </c>
      <c r="C11" t="str">
        <f>IFERROR(VLOOKUP($C$2,HeartData[],11,FALSE),"ID not found")</f>
        <v>ID not found</v>
      </c>
    </row>
    <row r="12" spans="2:3" x14ac:dyDescent="0.3">
      <c r="B12" s="18" t="s">
        <v>86</v>
      </c>
      <c r="C12" t="str">
        <f>IFERROR(VLOOKUP($C$2,HeartData[],16,FALSE),"ID not found")</f>
        <v>ID not found</v>
      </c>
    </row>
    <row r="13" spans="2:3" x14ac:dyDescent="0.3">
      <c r="B13" s="18" t="s">
        <v>87</v>
      </c>
      <c r="C13" t="str">
        <f>IFERROR(VLOOKUP($C$2,HeartData[],13,FALSE),"ID not found")</f>
        <v>ID not found</v>
      </c>
    </row>
    <row r="14" spans="2:3" x14ac:dyDescent="0.3">
      <c r="B14" s="18" t="s">
        <v>88</v>
      </c>
      <c r="C14" t="str">
        <f>IFERROR(VLOOKUP($C$2,HeartData[],14,FALSE),"ID not found")</f>
        <v>ID not found</v>
      </c>
    </row>
    <row r="15" spans="2:3" x14ac:dyDescent="0.3">
      <c r="B15" s="18" t="s">
        <v>89</v>
      </c>
      <c r="C15" t="str">
        <f>IFERROR(VLOOKUP($C$2,HeartData[],15,FALSE),"ID not found")</f>
        <v>ID not found</v>
      </c>
    </row>
    <row r="16" spans="2:3" x14ac:dyDescent="0.3">
      <c r="B16" s="18" t="s">
        <v>46</v>
      </c>
      <c r="C16" t="str">
        <f>IFERROR(VLOOKUP($C$2,analysis[],4,FALSE),"ID not found")</f>
        <v>ID not found</v>
      </c>
    </row>
    <row r="17" spans="2:3" x14ac:dyDescent="0.3">
      <c r="B17" s="18" t="s">
        <v>58</v>
      </c>
      <c r="C17" t="str">
        <f>IFERROR(VLOOKUP($C$2,analysis[],13,FALSE),"ID not found")</f>
        <v>ID not found</v>
      </c>
    </row>
    <row r="18" spans="2:3" x14ac:dyDescent="0.3">
      <c r="B18" s="18" t="s">
        <v>47</v>
      </c>
      <c r="C18" t="str">
        <f>IFERROR(VLOOKUP($C$2,analysis[],6,FALSE),"ID not found")</f>
        <v>ID not found</v>
      </c>
    </row>
  </sheetData>
  <conditionalFormatting sqref="C17">
    <cfRule type="cellIs" dxfId="7" priority="1" operator="between">
      <formula>5</formula>
      <formula>6</formula>
    </cfRule>
    <cfRule type="cellIs" dxfId="6" priority="2" operator="between">
      <formula>3</formula>
      <formula>4</formula>
    </cfRule>
    <cfRule type="cellIs" dxfId="5" priority="3" operator="between">
      <formula>0</formula>
      <formula>2</formula>
    </cfRule>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04535-3D21-4376-A42F-BCEAA443033D}">
  <dimension ref="A2:G9"/>
  <sheetViews>
    <sheetView tabSelected="1" workbookViewId="0">
      <selection activeCell="A27" sqref="A27"/>
    </sheetView>
  </sheetViews>
  <sheetFormatPr defaultRowHeight="14.4" x14ac:dyDescent="0.3"/>
  <cols>
    <col min="1" max="1" width="17.33203125" bestFit="1" customWidth="1"/>
    <col min="2" max="2" width="11.77734375" bestFit="1" customWidth="1"/>
    <col min="3" max="3" width="12.77734375" bestFit="1" customWidth="1"/>
    <col min="4" max="4" width="13.6640625" bestFit="1" customWidth="1"/>
    <col min="5" max="5" width="14.6640625" bestFit="1" customWidth="1"/>
  </cols>
  <sheetData>
    <row r="2" spans="1:7" ht="18" x14ac:dyDescent="0.35">
      <c r="B2" s="24" t="s">
        <v>90</v>
      </c>
      <c r="C2" s="24"/>
      <c r="D2" s="24"/>
      <c r="E2" s="24"/>
      <c r="F2" s="24"/>
      <c r="G2" s="24"/>
    </row>
    <row r="4" spans="1:7" x14ac:dyDescent="0.3">
      <c r="B4" t="s">
        <v>91</v>
      </c>
      <c r="C4" t="s">
        <v>92</v>
      </c>
      <c r="D4" t="s">
        <v>93</v>
      </c>
      <c r="E4" t="s">
        <v>94</v>
      </c>
    </row>
    <row r="5" spans="1:7" x14ac:dyDescent="0.3">
      <c r="A5" t="s">
        <v>95</v>
      </c>
      <c r="B5" s="5">
        <f>AVERAGEIFS(HeartData[chol], HeartData[sex], "Male", HeartData[chol],"&gt;"&amp;0,analysis[Status], "Healthy")</f>
        <v>234.52966101694915</v>
      </c>
      <c r="C5" s="5">
        <f>AVERAGEIFS(HeartData[chol],HeartData[sex],"Male",HeartData[chol],"&gt;"&amp;0,analysis[Status],"Diseased")</f>
        <v>250.718954248366</v>
      </c>
      <c r="D5" s="5">
        <f>AVERAGEIFS(HeartData[chol],HeartData[sex],"Female",HeartData[chol],"&gt;"&amp;0,analysis[Status],"Healthy")</f>
        <v>249.9264705882353</v>
      </c>
      <c r="E5" s="5">
        <f>AVERAGEIFS(HeartData[chol],HeartData[sex],"Female",HeartData[chol],"&gt;"&amp;0,analysis[Status],"Diseased")</f>
        <v>279.17500000000001</v>
      </c>
    </row>
    <row r="6" spans="1:7" x14ac:dyDescent="0.3">
      <c r="A6" t="s">
        <v>96</v>
      </c>
      <c r="B6" s="5">
        <f>AVERAGEIFS(HeartData[trestbps],HeartData[sex],"Male",HeartData[trestbps],"&gt;"&amp;0,analysis[Status],"Healthy")</f>
        <v>130.6586345381526</v>
      </c>
      <c r="C6" s="5">
        <f>AVERAGEIFS(HeartData[trestbps],HeartData[sex],"Male",HeartData[trestbps],"&gt;"&amp;0,analysis[Status],"Diseased")</f>
        <v>133.34128878281624</v>
      </c>
      <c r="D6" s="5">
        <f>AVERAGEIFS(HeartData[trestbps],HeartData[sex],"Female",HeartData[trestbps],"&gt;"&amp;0,analysis[Status],"Healthy")</f>
        <v>128.6056338028169</v>
      </c>
      <c r="E6" s="5">
        <f>AVERAGEIFS(HeartData[trestbps],HeartData[sex],"Female",HeartData[trestbps],"&gt;"&amp;0,analysis[Status],"Diseased")</f>
        <v>142</v>
      </c>
    </row>
    <row r="7" spans="1:7" x14ac:dyDescent="0.3">
      <c r="A7" t="s">
        <v>97</v>
      </c>
      <c r="B7" s="5">
        <f>AVERAGEIFS(HeartData[thalch], HeartData[sex], "Male", analysis[Status], "Healthy")</f>
        <v>148.56626506024097</v>
      </c>
      <c r="C7" s="5">
        <f>AVERAGEIFS(HeartData[thalch], HeartData[sex], "Male", analysis[Status], "Diseased")</f>
        <v>127.13443396226415</v>
      </c>
      <c r="D7" s="5">
        <f>AVERAGEIFS(HeartData[thalch], HeartData[sex], "Female", analysis[Status], "Healthy")</f>
        <v>149.21126760563379</v>
      </c>
      <c r="E7" s="5">
        <f>AVERAGEIFS(HeartData[thalch], HeartData[sex], "Female", analysis[Status], "Diseased")</f>
        <v>137.82</v>
      </c>
    </row>
    <row r="8" spans="1:7" x14ac:dyDescent="0.3">
      <c r="A8" t="s">
        <v>98</v>
      </c>
      <c r="B8" s="5">
        <f>AVERAGEIFS(HeartData[oldpeak],HeartData[sex],"Male",analysis[Status],"Healthy")</f>
        <v>0.26275303643724701</v>
      </c>
      <c r="C8" s="5">
        <f>AVERAGEIFS(HeartData[oldpeak],HeartData[sex],"Male",analysis[Status],"Diseased")</f>
        <v>0.80167464114832543</v>
      </c>
      <c r="D8" s="5">
        <f>AVERAGEIFS(HeartData[oldpeak],HeartData[sex],"Female",analysis[Status],"Healthy")</f>
        <v>0.29510489510489513</v>
      </c>
      <c r="E8" s="5">
        <f>AVERAGEIFS(HeartData[oldpeak],HeartData[sex],"Female",analysis[Status],"Diseased")</f>
        <v>0.7360000000000001</v>
      </c>
    </row>
    <row r="9" spans="1:7" x14ac:dyDescent="0.3">
      <c r="A9" t="s">
        <v>99</v>
      </c>
      <c r="B9" s="4">
        <f>COUNTIFS(HeartData[sex],"Male",analysis[Status],"Healthy")</f>
        <v>267</v>
      </c>
      <c r="C9" s="4">
        <f>COUNTIFS(HeartData[sex],"Male",analysis[Status],"Diseased")</f>
        <v>459</v>
      </c>
      <c r="D9" s="4">
        <f>COUNTIFS(HeartData[sex],"Female",analysis[Status],"Healthy")</f>
        <v>144</v>
      </c>
      <c r="E9" s="4">
        <f>COUNTIFS(HeartData[sex],"Female",analysis[Status],"Diseased")</f>
        <v>50</v>
      </c>
    </row>
  </sheetData>
  <mergeCells count="1">
    <mergeCell ref="B2:G2"/>
  </mergeCells>
  <conditionalFormatting sqref="B5:E5">
    <cfRule type="colorScale" priority="4">
      <colorScale>
        <cfvo type="min"/>
        <cfvo type="percentile" val="50"/>
        <cfvo type="max"/>
        <color rgb="FF63BE7B"/>
        <color rgb="FFFFEB84"/>
        <color rgb="FFF8696B"/>
      </colorScale>
    </cfRule>
  </conditionalFormatting>
  <conditionalFormatting sqref="B6:E6">
    <cfRule type="colorScale" priority="3">
      <colorScale>
        <cfvo type="min"/>
        <cfvo type="percentile" val="50"/>
        <cfvo type="max"/>
        <color rgb="FF63BE7B"/>
        <color rgb="FFFFEB84"/>
        <color rgb="FFF8696B"/>
      </colorScale>
    </cfRule>
  </conditionalFormatting>
  <conditionalFormatting sqref="B7:E7">
    <cfRule type="colorScale" priority="2">
      <colorScale>
        <cfvo type="min"/>
        <cfvo type="percentile" val="50"/>
        <cfvo type="max"/>
        <color rgb="FFF8696B"/>
        <color rgb="FFFFEB84"/>
        <color rgb="FF63BE7B"/>
      </colorScale>
    </cfRule>
  </conditionalFormatting>
  <conditionalFormatting sqref="B8:E8">
    <cfRule type="colorScale" priority="1">
      <colorScale>
        <cfvo type="min"/>
        <cfvo type="percentile" val="50"/>
        <cfvo type="max"/>
        <color rgb="FF63BE7B"/>
        <color rgb="FFFFEB84"/>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43A070-32BF-49A4-9CDF-C068D5BD09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HeartData</vt:lpstr>
      <vt:lpstr>data quality</vt:lpstr>
      <vt:lpstr>analysis</vt:lpstr>
      <vt:lpstr>PivotTables</vt:lpstr>
      <vt:lpstr>Dashboard</vt:lpstr>
      <vt:lpstr>Patient Lookup</vt:lpstr>
      <vt:lpstr>Summary 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Гурамовна Teo</dc:creator>
  <cp:lastModifiedBy>Гурамовна Teo</cp:lastModifiedBy>
  <dcterms:created xsi:type="dcterms:W3CDTF">2026-06-16T19:04:36Z</dcterms:created>
  <dcterms:modified xsi:type="dcterms:W3CDTF">2026-06-23T19:17:52Z</dcterms:modified>
</cp:coreProperties>
</file>